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ocuments" sheetId="2" state="visible" r:id="rId4"/>
    <sheet name="Narrative_moves" sheetId="3" state="visible" r:id="rId5"/>
    <sheet name="Formulae_by_period" sheetId="4" state="visible" r:id="rId6"/>
    <sheet name="Official_formulae" sheetId="5" state="visible" r:id="rId7"/>
    <sheet name="Deed_types" sheetId="6" state="visible" r:id="rId8"/>
    <sheet name="Land_and_money" sheetId="7" state="visible" r:id="rId9"/>
    <sheet name="Deed_chains" sheetId="8" state="visible" r:id="rId10"/>
    <sheet name="OCR_issues" sheetId="9" state="visible" r:id="rId11"/>
  </sheets>
  <definedNames>
    <definedName function="false" hidden="true" localSheetId="1" name="_xlnm._FilterDatabase" vbProcedure="false">Documents!$A$1:$BH$408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<sst xmlns="http://schemas.openxmlformats.org/spreadsheetml/2006/main" count="6808" uniqueCount="3505">
  <si>
    <t xml:space="preserve">Minzhong land deeds: OCR tables</t>
  </si>
  <si>
    <t xml:space="preserve">Source</t>
  </si>
  <si>
    <t xml:space="preserve">OCR_results/ (407 pages, 234 items) in eastd143a-team-Youxiao, joined to the catalogue chinese_land_records_235.csv (jackieldyh branch) by Pitt ID.</t>
  </si>
  <si>
    <t xml:space="preserve">Sheets</t>
  </si>
  <si>
    <t xml:space="preserve">Documents: one row per OCR page. Catalogue fields (reliable), auto-extracted OCR fields (need checking), 0/1 formula flags, OCR quality counts, cleaned text.</t>
  </si>
  <si>
    <t xml:space="preserve">Narrative_moves: the 12-move structure of a private deed, with counts.</t>
  </si>
  <si>
    <t xml:space="preserve">Formulae_by_period: private-deed formulae by period.</t>
  </si>
  <si>
    <t xml:space="preserve">Official_formulae: bureaucratic formulae by regime (Qing / Republic / PRC).</t>
  </si>
  <si>
    <r>
      <rPr>
        <sz val="10"/>
        <rFont val="Arial"/>
        <family val="0"/>
        <charset val="1"/>
      </rPr>
      <t xml:space="preserve">Deed_types: every </t>
    </r>
    <r>
      <rPr>
        <sz val="10"/>
        <rFont val="Noto Sans CJK SC"/>
        <family val="2"/>
      </rPr>
      <t xml:space="preserve">立…契 </t>
    </r>
    <r>
      <rPr>
        <sz val="10"/>
        <rFont val="Arial"/>
        <family val="0"/>
        <charset val="1"/>
      </rPr>
      <t xml:space="preserve">title found, grouped into stages.</t>
    </r>
  </si>
  <si>
    <t xml:space="preserve">Land_and_money: land-layer and currency vocabulary.</t>
  </si>
  <si>
    <t xml:space="preserve">Deed_chains: documents that cite one another.</t>
  </si>
  <si>
    <t xml:space="preserve">OCR_issues: known recognition errors and their effect.</t>
  </si>
  <si>
    <t xml:space="preserve">How to read it</t>
  </si>
  <si>
    <t xml:space="preserve">All counts on the summary sheets are COUNTIFS formulas over the Documents sheet: correct a cell or a 0/1 flag there and every summary updates.</t>
  </si>
  <si>
    <t xml:space="preserve">Period and Regime are formulas based on Year (start). Items spanning periods count under their start year.</t>
  </si>
  <si>
    <t xml:space="preserve">Fields marked (OCR) are extracted by pattern matching. They are often incomplete (for example, only 28 of 118 private pages yield a buyer) and sometimes wrong. Check against the images before citing.</t>
  </si>
  <si>
    <t xml:space="preserve">Image blocks (seal descriptions written by the OCR model) and English sentences were removed from the text column.</t>
  </si>
  <si>
    <r>
      <rPr>
        <sz val="10"/>
        <rFont val="Arial"/>
        <family val="0"/>
        <charset val="1"/>
      </rPr>
      <t xml:space="preserve">Page types: "Private deed" = opens with </t>
    </r>
    <r>
      <rPr>
        <sz val="10"/>
        <rFont val="Noto Sans CJK SC"/>
        <family val="2"/>
      </rPr>
      <t xml:space="preserve">立…契</t>
    </r>
    <r>
      <rPr>
        <sz val="10"/>
        <rFont val="Arial"/>
        <family val="0"/>
        <charset val="1"/>
      </rPr>
      <t xml:space="preserve">/</t>
    </r>
    <r>
      <rPr>
        <sz val="10"/>
        <rFont val="Noto Sans CJK SC"/>
        <family val="2"/>
      </rPr>
      <t xml:space="preserve">字</t>
    </r>
    <r>
      <rPr>
        <sz val="10"/>
        <rFont val="Arial"/>
        <family val="0"/>
        <charset val="1"/>
      </rPr>
      <t xml:space="preserve">/</t>
    </r>
    <r>
      <rPr>
        <sz val="10"/>
        <rFont val="Noto Sans CJK SC"/>
        <family val="2"/>
      </rPr>
      <t xml:space="preserve">約</t>
    </r>
    <r>
      <rPr>
        <sz val="10"/>
        <rFont val="Arial"/>
        <family val="0"/>
        <charset val="1"/>
      </rPr>
      <t xml:space="preserve">; "Private deed + state certificate" = both voices on one sheet; "Official form" = state formulae only; "Other" = ledgers, receipts, fragments.</t>
    </r>
  </si>
  <si>
    <t xml:space="preserve">Companion analysis page: https://claude.ai/artifact/XqAXHuUGLNm4J5q7sqxaro</t>
  </si>
  <si>
    <t xml:space="preserve">Page ID</t>
  </si>
  <si>
    <t xml:space="preserve">Item ID</t>
  </si>
  <si>
    <t xml:space="preserve">Page</t>
  </si>
  <si>
    <t xml:space="preserve">Year (start)</t>
  </si>
  <si>
    <t xml:space="preserve">Year (end)</t>
  </si>
  <si>
    <t xml:space="preserve">Period</t>
  </si>
  <si>
    <t xml:space="preserve">Regime</t>
  </si>
  <si>
    <t xml:space="preserve">Catalogue date</t>
  </si>
  <si>
    <t xml:space="preserve">County (normalised)</t>
  </si>
  <si>
    <t xml:space="preserve">Place (catalogue)</t>
  </si>
  <si>
    <t xml:space="preserve">Catalogue nature</t>
  </si>
  <si>
    <t xml:space="preserve">Owner (catalogue)</t>
  </si>
  <si>
    <t xml:space="preserve">Seller (catalogue)</t>
  </si>
  <si>
    <t xml:space="preserve">Buyer (catalogue)</t>
  </si>
  <si>
    <t xml:space="preserve">Box / folder</t>
  </si>
  <si>
    <t xml:space="preserve">Page type</t>
  </si>
  <si>
    <r>
      <rPr>
        <b val="true"/>
        <sz val="10"/>
        <color rgb="FFFFFFFF"/>
        <rFont val="Arial"/>
        <family val="0"/>
        <charset val="1"/>
      </rPr>
      <t xml:space="preserve">Deed title </t>
    </r>
    <r>
      <rPr>
        <b val="true"/>
        <sz val="10"/>
        <color rgb="FFFFFFFF"/>
        <rFont val="Noto Sans CJK SC"/>
        <family val="2"/>
      </rPr>
      <t xml:space="preserve">立…契</t>
    </r>
  </si>
  <si>
    <t xml:space="preserve">Dates in text</t>
  </si>
  <si>
    <t xml:space="preserve">Seller / author (OCR)</t>
  </si>
  <si>
    <r>
      <rPr>
        <b val="true"/>
        <sz val="10"/>
        <color rgb="FFFFFFFF"/>
        <rFont val="Arial"/>
        <family val="0"/>
        <charset val="1"/>
      </rPr>
      <t xml:space="preserve">Buyer X</t>
    </r>
    <r>
      <rPr>
        <b val="true"/>
        <sz val="10"/>
        <color rgb="FFFFFFFF"/>
        <rFont val="Noto Sans CJK SC"/>
        <family val="2"/>
      </rPr>
      <t xml:space="preserve">處 </t>
    </r>
    <r>
      <rPr>
        <b val="true"/>
        <sz val="10"/>
        <color rgb="FFFFFFFF"/>
        <rFont val="Arial"/>
        <family val="0"/>
        <charset val="1"/>
      </rPr>
      <t xml:space="preserve">(OCR)</t>
    </r>
  </si>
  <si>
    <t xml:space="preserve">Price phrase (OCR)</t>
  </si>
  <si>
    <t xml:space="preserve">Currency</t>
  </si>
  <si>
    <r>
      <rPr>
        <b val="true"/>
        <sz val="10"/>
        <color rgb="FFFFFFFF"/>
        <rFont val="Arial"/>
        <family val="0"/>
        <charset val="1"/>
      </rPr>
      <t xml:space="preserve">Location </t>
    </r>
    <r>
      <rPr>
        <b val="true"/>
        <sz val="10"/>
        <color rgb="FFFFFFFF"/>
        <rFont val="Noto Sans CJK SC"/>
        <family val="2"/>
      </rPr>
      <t xml:space="preserve">坐落</t>
    </r>
  </si>
  <si>
    <r>
      <rPr>
        <b val="true"/>
        <sz val="10"/>
        <color rgb="FFFFFFFF"/>
        <rFont val="Arial"/>
        <family val="0"/>
        <charset val="1"/>
      </rPr>
      <t xml:space="preserve">Place-name </t>
    </r>
    <r>
      <rPr>
        <b val="true"/>
        <sz val="10"/>
        <color rgb="FFFFFFFF"/>
        <rFont val="Noto Sans CJK SC"/>
        <family val="2"/>
      </rPr>
      <t xml:space="preserve">土名</t>
    </r>
  </si>
  <si>
    <t xml:space="preserve">Land terms</t>
  </si>
  <si>
    <r>
      <rPr>
        <b val="true"/>
        <sz val="10"/>
        <color rgb="FFFFFFFF"/>
        <rFont val="Arial"/>
        <family val="0"/>
        <charset val="1"/>
      </rPr>
      <t xml:space="preserve">Middleman </t>
    </r>
    <r>
      <rPr>
        <b val="true"/>
        <sz val="10"/>
        <color rgb="FFFFFFFF"/>
        <rFont val="Noto Sans CJK SC"/>
        <family val="2"/>
      </rPr>
      <t xml:space="preserve">中人</t>
    </r>
  </si>
  <si>
    <r>
      <rPr>
        <b val="true"/>
        <sz val="10"/>
        <color rgb="FFFFFFFF"/>
        <rFont val="Arial"/>
        <family val="0"/>
        <charset val="1"/>
      </rPr>
      <t xml:space="preserve">Scribe </t>
    </r>
    <r>
      <rPr>
        <b val="true"/>
        <sz val="10"/>
        <color rgb="FFFFFFFF"/>
        <rFont val="Noto Sans CJK SC"/>
        <family val="2"/>
      </rPr>
      <t xml:space="preserve">代筆</t>
    </r>
  </si>
  <si>
    <r>
      <rPr>
        <b val="true"/>
        <sz val="10"/>
        <color rgb="FFFFFFFF"/>
        <rFont val="Arial"/>
        <family val="0"/>
        <charset val="1"/>
      </rPr>
      <t xml:space="preserve">Witnesses </t>
    </r>
    <r>
      <rPr>
        <b val="true"/>
        <sz val="10"/>
        <color rgb="FFFFFFFF"/>
        <rFont val="Noto Sans CJK SC"/>
        <family val="2"/>
      </rPr>
      <t xml:space="preserve">在見</t>
    </r>
  </si>
  <si>
    <r>
      <rPr>
        <b val="true"/>
        <sz val="10"/>
        <color rgb="FFFFFFFF"/>
        <rFont val="Arial"/>
        <family val="0"/>
        <charset val="1"/>
      </rPr>
      <t xml:space="preserve">Female consent </t>
    </r>
    <r>
      <rPr>
        <b val="true"/>
        <sz val="10"/>
        <color rgb="FFFFFFFF"/>
        <rFont val="Noto Sans CJK SC"/>
        <family val="2"/>
      </rPr>
      <t xml:space="preserve">知契…氏</t>
    </r>
  </si>
  <si>
    <t xml:space="preserve">Redemption term (yrs)</t>
  </si>
  <si>
    <t xml:space="preserve">Form headings</t>
  </si>
  <si>
    <t xml:space="preserve">Issuing office</t>
  </si>
  <si>
    <r>
      <rPr>
        <b val="true"/>
        <sz val="10"/>
        <color rgb="FFFFFFFF"/>
        <rFont val="Arial"/>
        <family val="0"/>
        <charset val="1"/>
      </rPr>
      <t xml:space="preserve">Holder </t>
    </r>
    <r>
      <rPr>
        <b val="true"/>
        <sz val="10"/>
        <color rgb="FFFFFFFF"/>
        <rFont val="Noto Sans CJK SC"/>
        <family val="2"/>
      </rPr>
      <t xml:space="preserve">業戶</t>
    </r>
    <r>
      <rPr>
        <b val="true"/>
        <sz val="10"/>
        <color rgb="FFFFFFFF"/>
        <rFont val="Arial"/>
        <family val="0"/>
        <charset val="1"/>
      </rPr>
      <t xml:space="preserve">/</t>
    </r>
    <r>
      <rPr>
        <b val="true"/>
        <sz val="10"/>
        <color rgb="FFFFFFFF"/>
        <rFont val="Noto Sans CJK SC"/>
        <family val="2"/>
      </rPr>
      <t xml:space="preserve">右給</t>
    </r>
  </si>
  <si>
    <r>
      <rPr>
        <b val="true"/>
        <sz val="10"/>
        <color rgb="FFFFFFFF"/>
        <rFont val="Arial"/>
        <family val="0"/>
        <charset val="1"/>
      </rPr>
      <t xml:space="preserve">Serial </t>
    </r>
    <r>
      <rPr>
        <b val="true"/>
        <sz val="10"/>
        <color rgb="FFFFFFFF"/>
        <rFont val="Noto Sans CJK SC"/>
        <family val="2"/>
      </rPr>
      <t xml:space="preserve">字第…號</t>
    </r>
  </si>
  <si>
    <r>
      <rPr>
        <b val="true"/>
        <sz val="10"/>
        <color rgb="FFFFFFFF"/>
        <rFont val="Noto Sans CJK SC"/>
        <family val="2"/>
      </rPr>
      <t xml:space="preserve">今因 </t>
    </r>
    <r>
      <rPr>
        <b val="true"/>
        <sz val="10"/>
        <color rgb="FFFFFFFF"/>
        <rFont val="Arial"/>
        <family val="0"/>
        <charset val="1"/>
      </rPr>
      <t xml:space="preserve">motive</t>
    </r>
  </si>
  <si>
    <r>
      <rPr>
        <b val="true"/>
        <sz val="10"/>
        <color rgb="FFFFFFFF"/>
        <rFont val="Noto Sans CJK SC"/>
        <family val="2"/>
      </rPr>
      <t xml:space="preserve">自願 </t>
    </r>
    <r>
      <rPr>
        <b val="true"/>
        <sz val="10"/>
        <color rgb="FFFFFFFF"/>
        <rFont val="Arial"/>
        <family val="0"/>
        <charset val="1"/>
      </rPr>
      <t xml:space="preserve">voluntary</t>
    </r>
  </si>
  <si>
    <r>
      <rPr>
        <b val="true"/>
        <sz val="10"/>
        <color rgb="FFFFFFFF"/>
        <rFont val="Noto Sans CJK SC"/>
        <family val="2"/>
      </rPr>
      <t xml:space="preserve">託中 </t>
    </r>
    <r>
      <rPr>
        <b val="true"/>
        <sz val="10"/>
        <color rgb="FFFFFFFF"/>
        <rFont val="Arial"/>
        <family val="0"/>
        <charset val="1"/>
      </rPr>
      <t xml:space="preserve">mediated</t>
    </r>
  </si>
  <si>
    <t xml:space="preserve">三面言議</t>
  </si>
  <si>
    <r>
      <rPr>
        <b val="true"/>
        <sz val="10"/>
        <color rgb="FFFFFFFF"/>
        <rFont val="Noto Sans CJK SC"/>
        <family val="2"/>
      </rPr>
      <t xml:space="preserve">即日交足 </t>
    </r>
    <r>
      <rPr>
        <b val="true"/>
        <sz val="10"/>
        <color rgb="FFFFFFFF"/>
        <rFont val="Arial"/>
        <family val="0"/>
        <charset val="1"/>
      </rPr>
      <t xml:space="preserve">paid</t>
    </r>
  </si>
  <si>
    <r>
      <rPr>
        <b val="true"/>
        <sz val="10"/>
        <color rgb="FFFFFFFF"/>
        <rFont val="Noto Sans CJK SC"/>
        <family val="2"/>
      </rPr>
      <t xml:space="preserve">無重典</t>
    </r>
    <r>
      <rPr>
        <b val="true"/>
        <sz val="10"/>
        <color rgb="FFFFFFFF"/>
        <rFont val="Arial"/>
        <family val="0"/>
        <charset val="1"/>
      </rPr>
      <t xml:space="preserve">/</t>
    </r>
    <r>
      <rPr>
        <b val="true"/>
        <sz val="10"/>
        <color rgb="FFFFFFFF"/>
        <rFont val="Noto Sans CJK SC"/>
        <family val="2"/>
      </rPr>
      <t xml:space="preserve">來歷 </t>
    </r>
    <r>
      <rPr>
        <b val="true"/>
        <sz val="10"/>
        <color rgb="FFFFFFFF"/>
        <rFont val="Arial"/>
        <family val="0"/>
        <charset val="1"/>
      </rPr>
      <t xml:space="preserve">warranty</t>
    </r>
  </si>
  <si>
    <r>
      <rPr>
        <b val="true"/>
        <sz val="10"/>
        <color rgb="FFFFFFFF"/>
        <rFont val="Noto Sans CJK SC"/>
        <family val="2"/>
      </rPr>
      <t xml:space="preserve">出頭承當 </t>
    </r>
    <r>
      <rPr>
        <b val="true"/>
        <sz val="10"/>
        <color rgb="FFFFFFFF"/>
        <rFont val="Arial"/>
        <family val="0"/>
        <charset val="1"/>
      </rPr>
      <t xml:space="preserve">seller answers</t>
    </r>
  </si>
  <si>
    <r>
      <rPr>
        <b val="true"/>
        <sz val="10"/>
        <color rgb="FFFFFFFF"/>
        <rFont val="Noto Sans CJK SC"/>
        <family val="2"/>
      </rPr>
      <t xml:space="preserve">取贖 </t>
    </r>
    <r>
      <rPr>
        <b val="true"/>
        <sz val="10"/>
        <color rgb="FFFFFFFF"/>
        <rFont val="Arial"/>
        <family val="0"/>
        <charset val="1"/>
      </rPr>
      <t xml:space="preserve">redemption</t>
    </r>
  </si>
  <si>
    <r>
      <rPr>
        <b val="true"/>
        <sz val="10"/>
        <color rgb="FFFFFFFF"/>
        <rFont val="Noto Sans CJK SC"/>
        <family val="2"/>
      </rPr>
      <t xml:space="preserve">永遠 </t>
    </r>
    <r>
      <rPr>
        <b val="true"/>
        <sz val="10"/>
        <color rgb="FFFFFFFF"/>
        <rFont val="Arial"/>
        <family val="0"/>
        <charset val="1"/>
      </rPr>
      <t xml:space="preserve">perpetual</t>
    </r>
  </si>
  <si>
    <r>
      <rPr>
        <b val="true"/>
        <sz val="10"/>
        <color rgb="FFFFFFFF"/>
        <rFont val="Noto Sans CJK SC"/>
        <family val="2"/>
      </rPr>
      <t xml:space="preserve">無反悔</t>
    </r>
    <r>
      <rPr>
        <b val="true"/>
        <sz val="10"/>
        <color rgb="FFFFFFFF"/>
        <rFont val="Arial"/>
        <family val="0"/>
        <charset val="1"/>
      </rPr>
      <t xml:space="preserve">/</t>
    </r>
    <r>
      <rPr>
        <b val="true"/>
        <sz val="10"/>
        <color rgb="FFFFFFFF"/>
        <rFont val="Noto Sans CJK SC"/>
        <family val="2"/>
      </rPr>
      <t xml:space="preserve">異言</t>
    </r>
  </si>
  <si>
    <r>
      <rPr>
        <b val="true"/>
        <sz val="10"/>
        <color rgb="FFFFFFFF"/>
        <rFont val="Noto Sans CJK SC"/>
        <family val="2"/>
      </rPr>
      <t xml:space="preserve">今欲有憑 </t>
    </r>
    <r>
      <rPr>
        <b val="true"/>
        <sz val="10"/>
        <color rgb="FFFFFFFF"/>
        <rFont val="Arial"/>
        <family val="0"/>
        <charset val="1"/>
      </rPr>
      <t xml:space="preserve">closing</t>
    </r>
  </si>
  <si>
    <r>
      <rPr>
        <b val="true"/>
        <sz val="10"/>
        <color rgb="FFFFFFFF"/>
        <rFont val="Noto Sans CJK SC"/>
        <family val="2"/>
      </rPr>
      <t xml:space="preserve">併繳 </t>
    </r>
    <r>
      <rPr>
        <b val="true"/>
        <sz val="10"/>
        <color rgb="FFFFFFFF"/>
        <rFont val="Arial"/>
        <family val="0"/>
        <charset val="1"/>
      </rPr>
      <t xml:space="preserve">prior deeds</t>
    </r>
  </si>
  <si>
    <r>
      <rPr>
        <b val="true"/>
        <sz val="10"/>
        <color rgb="FFFFFFFF"/>
        <rFont val="Noto Sans CJK SC"/>
        <family val="2"/>
      </rPr>
      <t xml:space="preserve">內改 </t>
    </r>
    <r>
      <rPr>
        <b val="true"/>
        <sz val="10"/>
        <color rgb="FFFFFFFF"/>
        <rFont val="Arial"/>
        <family val="0"/>
        <charset val="1"/>
      </rPr>
      <t xml:space="preserve">correction</t>
    </r>
  </si>
  <si>
    <t xml:space="preserve">吉日</t>
  </si>
  <si>
    <t xml:space="preserve">為…事</t>
  </si>
  <si>
    <r>
      <rPr>
        <b val="true"/>
        <sz val="10"/>
        <color rgb="FFFFFFFF"/>
        <rFont val="Noto Sans CJK SC"/>
        <family val="2"/>
      </rPr>
      <t xml:space="preserve">案奉</t>
    </r>
    <r>
      <rPr>
        <b val="true"/>
        <sz val="10"/>
        <color rgb="FFFFFFFF"/>
        <rFont val="Arial"/>
        <family val="0"/>
        <charset val="1"/>
      </rPr>
      <t xml:space="preserve">/</t>
    </r>
    <r>
      <rPr>
        <b val="true"/>
        <sz val="10"/>
        <color rgb="FFFFFFFF"/>
        <rFont val="Noto Sans CJK SC"/>
        <family val="2"/>
      </rPr>
      <t xml:space="preserve">等因奉此</t>
    </r>
  </si>
  <si>
    <t xml:space="preserve">須至…者</t>
  </si>
  <si>
    <t xml:space="preserve">右給…</t>
  </si>
  <si>
    <r>
      <rPr>
        <b val="true"/>
        <sz val="10"/>
        <color rgb="FFFFFFFF"/>
        <rFont val="Noto Sans CJK SC"/>
        <family val="2"/>
      </rPr>
      <t xml:space="preserve">罰</t>
    </r>
    <r>
      <rPr>
        <b val="true"/>
        <sz val="10"/>
        <color rgb="FFFFFFFF"/>
        <rFont val="Arial"/>
        <family val="0"/>
        <charset val="1"/>
      </rPr>
      <t xml:space="preserve">/</t>
    </r>
    <r>
      <rPr>
        <b val="true"/>
        <sz val="10"/>
        <color rgb="FFFFFFFF"/>
        <rFont val="Noto Sans CJK SC"/>
        <family val="2"/>
      </rPr>
      <t xml:space="preserve">逾限</t>
    </r>
  </si>
  <si>
    <r>
      <rPr>
        <b val="true"/>
        <sz val="10"/>
        <color rgb="FFFFFFFF"/>
        <rFont val="Noto Sans CJK SC"/>
        <family val="2"/>
      </rPr>
      <t xml:space="preserve">訴訟</t>
    </r>
    <r>
      <rPr>
        <b val="true"/>
        <sz val="10"/>
        <color rgb="FFFFFFFF"/>
        <rFont val="Arial"/>
        <family val="0"/>
        <charset val="1"/>
      </rPr>
      <t xml:space="preserve">/</t>
    </r>
    <r>
      <rPr>
        <b val="true"/>
        <sz val="10"/>
        <color rgb="FFFFFFFF"/>
        <rFont val="Noto Sans CJK SC"/>
        <family val="2"/>
      </rPr>
      <t xml:space="preserve">憑證</t>
    </r>
  </si>
  <si>
    <t xml:space="preserve">Characters</t>
  </si>
  <si>
    <t xml:space="preserve">Seal/image blocks</t>
  </si>
  <si>
    <t xml:space="preserve">Truncated blocks</t>
  </si>
  <si>
    <t xml:space="preserve">English mixed in</t>
  </si>
  <si>
    <t xml:space="preserve">Pitt URL</t>
  </si>
  <si>
    <t xml:space="preserve">OCR text (cleaned, ≤3000 chars)</t>
  </si>
  <si>
    <t xml:space="preserve">31735064607413_001</t>
  </si>
  <si>
    <t xml:space="preserve">31735064607413</t>
  </si>
  <si>
    <t xml:space="preserve">1886</t>
  </si>
  <si>
    <t xml:space="preserve">福清</t>
  </si>
  <si>
    <t xml:space="preserve">福建省福清縣</t>
  </si>
  <si>
    <t xml:space="preserve">Government</t>
  </si>
  <si>
    <t xml:space="preserve">高恭地</t>
  </si>
  <si>
    <t xml:space="preserve">Box 2, Folder 60</t>
  </si>
  <si>
    <t xml:space="preserve">Other / fragment</t>
  </si>
  <si>
    <r>
      <rPr>
        <sz val="10"/>
        <rFont val="Noto Sans CJK SC"/>
        <family val="2"/>
      </rPr>
      <t xml:space="preserve">契 </t>
    </r>
    <r>
      <rPr>
        <sz val="10"/>
        <rFont val="Arial"/>
        <family val="0"/>
        <charset val="1"/>
      </rPr>
      <t xml:space="preserve">| </t>
    </r>
    <r>
      <rPr>
        <sz val="10"/>
        <rFont val="Noto Sans CJK SC"/>
        <family val="2"/>
      </rPr>
      <t xml:space="preserve">尾</t>
    </r>
  </si>
  <si>
    <t xml:space="preserve">https://digital.library.pitt.edu/islandora/object/pitt:31735064607413</t>
  </si>
  <si>
    <r>
      <rPr>
        <sz val="10"/>
        <rFont val="Noto Sans CJK SC"/>
        <family val="2"/>
      </rPr>
      <t xml:space="preserve">契尾布九三三雷查該縣於十五年正月二十日奉准部咨開司案所有本縣舊有印信等項應行更換</t>
    </r>
    <r>
      <rPr>
        <sz val="10"/>
        <rFont val="Arial"/>
        <family val="0"/>
        <charset val="1"/>
      </rPr>
      <t xml:space="preserve">...</t>
    </r>
    <r>
      <rPr>
        <sz val="10"/>
        <rFont val="Noto Sans CJK SC"/>
        <family val="2"/>
      </rPr>
      <t xml:space="preserve">查該縣於十五年正月二十日奉准部咨開司案所有本縣舊有印信等項應行更換</t>
    </r>
    <r>
      <rPr>
        <sz val="10"/>
        <rFont val="Arial"/>
        <family val="0"/>
        <charset val="1"/>
      </rPr>
      <t xml:space="preserve">...</t>
    </r>
    <r>
      <rPr>
        <sz val="10"/>
        <rFont val="Noto Sans CJK SC"/>
        <family val="2"/>
      </rPr>
      <t xml:space="preserve">高恭地聖蓮店一間高山市街致千卷百肆拾肆福清高恭地准此拾捌年捌月三</t>
    </r>
    <r>
      <rPr>
        <sz val="10"/>
        <rFont val="Arial"/>
        <family val="0"/>
        <charset val="1"/>
      </rPr>
      <t xml:space="preserve">...</t>
    </r>
    <r>
      <rPr>
        <sz val="10"/>
        <rFont val="Noto Sans CJK SC"/>
        <family val="2"/>
      </rPr>
      <t xml:space="preserve">拾</t>
    </r>
    <r>
      <rPr>
        <sz val="10"/>
        <rFont val="Arial"/>
        <family val="0"/>
        <charset val="1"/>
      </rPr>
      <t xml:space="preserve">...</t>
    </r>
    <r>
      <rPr>
        <sz val="10"/>
        <rFont val="Noto Sans CJK SC"/>
        <family val="2"/>
      </rPr>
      <t xml:space="preserve">日陸拾叁捌拾分陸拾叁捌拾分</t>
    </r>
  </si>
  <si>
    <t xml:space="preserve">31735064607421_001</t>
  </si>
  <si>
    <t xml:space="preserve">31735064607421</t>
  </si>
  <si>
    <t xml:space="preserve">1946/1951</t>
  </si>
  <si>
    <t xml:space="preserve">張學車</t>
  </si>
  <si>
    <r>
      <rPr>
        <sz val="10"/>
        <rFont val="Noto Sans CJK SC"/>
        <family val="2"/>
      </rPr>
      <t xml:space="preserve">陳書寶 </t>
    </r>
    <r>
      <rPr>
        <sz val="10"/>
        <rFont val="Arial"/>
        <family val="0"/>
        <charset val="1"/>
      </rPr>
      <t xml:space="preserve">| </t>
    </r>
    <r>
      <rPr>
        <sz val="10"/>
        <rFont val="Noto Sans CJK SC"/>
        <family val="2"/>
      </rPr>
      <t xml:space="preserve">張學車</t>
    </r>
  </si>
  <si>
    <t xml:space="preserve">Box 4, Folder 173</t>
  </si>
  <si>
    <t xml:space="preserve">Private deed + state certificate</t>
  </si>
  <si>
    <t xml:space="preserve">立契</t>
  </si>
  <si>
    <r>
      <rPr>
        <sz val="10"/>
        <rFont val="Noto Sans CJK SC"/>
        <family val="2"/>
      </rPr>
      <t xml:space="preserve">公元一九四六年</t>
    </r>
    <r>
      <rPr>
        <sz val="10"/>
        <rFont val="Arial"/>
        <family val="0"/>
        <charset val="1"/>
      </rPr>
      <t xml:space="preserve">; </t>
    </r>
    <r>
      <rPr>
        <sz val="10"/>
        <rFont val="Noto Sans CJK SC"/>
        <family val="2"/>
      </rPr>
      <t xml:space="preserve">中華民國三十五年</t>
    </r>
    <r>
      <rPr>
        <sz val="10"/>
        <rFont val="Arial"/>
        <family val="0"/>
        <charset val="1"/>
      </rPr>
      <t xml:space="preserve">; </t>
    </r>
    <r>
      <rPr>
        <sz val="10"/>
        <rFont val="Noto Sans CJK SC"/>
        <family val="2"/>
      </rPr>
      <t xml:space="preserve">民國</t>
    </r>
    <r>
      <rPr>
        <sz val="10"/>
        <rFont val="Arial"/>
        <family val="0"/>
        <charset val="1"/>
      </rPr>
      <t xml:space="preserve">35</t>
    </r>
    <r>
      <rPr>
        <sz val="10"/>
        <rFont val="Noto Sans CJK SC"/>
        <family val="2"/>
      </rPr>
      <t xml:space="preserve">年</t>
    </r>
    <r>
      <rPr>
        <sz val="10"/>
        <rFont val="Arial"/>
        <family val="0"/>
        <charset val="1"/>
      </rPr>
      <t xml:space="preserve">; </t>
    </r>
    <r>
      <rPr>
        <sz val="10"/>
        <rFont val="Noto Sans CJK SC"/>
        <family val="2"/>
      </rPr>
      <t xml:space="preserve">民國三十五年</t>
    </r>
  </si>
  <si>
    <t xml:space="preserve">日期上手</t>
  </si>
  <si>
    <r>
      <rPr>
        <sz val="10"/>
        <rFont val="Noto Sans CJK SC"/>
        <family val="2"/>
      </rPr>
      <t xml:space="preserve">幣壹佰捌拾萬元</t>
    </r>
    <r>
      <rPr>
        <sz val="10"/>
        <rFont val="Arial"/>
        <family val="0"/>
        <charset val="1"/>
      </rPr>
      <t xml:space="preserve">; </t>
    </r>
    <r>
      <rPr>
        <sz val="10"/>
        <rFont val="Noto Sans CJK SC"/>
        <family val="2"/>
      </rPr>
      <t xml:space="preserve">幣壹萬元正</t>
    </r>
  </si>
  <si>
    <r>
      <rPr>
        <sz val="10"/>
        <rFont val="Noto Sans CJK SC"/>
        <family val="2"/>
      </rPr>
      <t xml:space="preserve">人民幣</t>
    </r>
    <r>
      <rPr>
        <sz val="10"/>
        <rFont val="Arial"/>
        <family val="0"/>
        <charset val="1"/>
      </rPr>
      <t xml:space="preserve">; </t>
    </r>
    <r>
      <rPr>
        <sz val="10"/>
        <rFont val="Noto Sans CJK SC"/>
        <family val="2"/>
      </rPr>
      <t xml:space="preserve">國幣</t>
    </r>
  </si>
  <si>
    <t xml:space="preserve">福州市五甲街</t>
  </si>
  <si>
    <r>
      <rPr>
        <sz val="10"/>
        <rFont val="Noto Sans CJK SC"/>
        <family val="2"/>
      </rPr>
      <t xml:space="preserve">店屋</t>
    </r>
    <r>
      <rPr>
        <sz val="10"/>
        <rFont val="Arial"/>
        <family val="0"/>
        <charset val="1"/>
      </rPr>
      <t xml:space="preserve">; </t>
    </r>
    <r>
      <rPr>
        <sz val="10"/>
        <rFont val="Noto Sans CJK SC"/>
        <family val="2"/>
      </rPr>
      <t xml:space="preserve">地基</t>
    </r>
    <r>
      <rPr>
        <sz val="10"/>
        <rFont val="Arial"/>
        <family val="0"/>
        <charset val="1"/>
      </rPr>
      <t xml:space="preserve">; </t>
    </r>
    <r>
      <rPr>
        <sz val="10"/>
        <rFont val="Noto Sans CJK SC"/>
        <family val="2"/>
      </rPr>
      <t xml:space="preserve">基地</t>
    </r>
  </si>
  <si>
    <t xml:space="preserve">https://digital.library.pitt.edu/islandora/object/pitt:31735064607421</t>
  </si>
  <si>
    <r>
      <rPr>
        <sz val="10"/>
        <rFont val="Noto Sans CJK SC"/>
        <family val="2"/>
      </rPr>
      <t xml:space="preserve">元九月市長日發給收執繳納稅額屋價屋式四至面積坐落不動產種類姓名承受人人民幣壹拾萬捌仟九人民幣壹佰捌拾萬元坐西向東五柱二棚樓屋直進壹欄南至隣屋九九九地號西至隣屋九九九地號北至隣屋九九九地號零畝零分伍厘肆毫五甲街門牌二七號宅陳寶學車附註監證人簽名蓋章立契日期上手原契區段別姓名原所有姓名公元一九四六年六月三區二二段九九八地號</t>
    </r>
    <r>
      <rPr>
        <sz val="10"/>
        <rFont val="Arial"/>
        <family val="0"/>
        <charset val="1"/>
      </rPr>
      <t xml:space="preserve">(</t>
    </r>
    <r>
      <rPr>
        <sz val="10"/>
        <rFont val="Noto Sans CJK SC"/>
        <family val="2"/>
      </rPr>
      <t xml:space="preserve">此契人受未權有原請中交聯此</t>
    </r>
    <r>
      <rPr>
        <sz val="10"/>
        <rFont val="Arial"/>
        <family val="0"/>
        <charset val="1"/>
      </rPr>
      <t xml:space="preserve">)</t>
    </r>
    <r>
      <rPr>
        <sz val="10"/>
        <rFont val="Noto Sans CJK SC"/>
        <family val="2"/>
      </rPr>
      <t xml:space="preserve">中華民國三十五年六月日賣斷契張學車民國</t>
    </r>
    <r>
      <rPr>
        <sz val="10"/>
        <rFont val="Arial"/>
        <family val="0"/>
        <charset val="1"/>
      </rPr>
      <t xml:space="preserve">35</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28</t>
    </r>
    <r>
      <rPr>
        <sz val="10"/>
        <rFont val="Noto Sans CJK SC"/>
        <family val="2"/>
      </rPr>
      <t xml:space="preserve">日</t>
    </r>
    <r>
      <rPr>
        <sz val="10"/>
        <rFont val="Arial"/>
        <family val="0"/>
        <charset val="1"/>
      </rPr>
      <t xml:space="preserve">21998219981401</t>
    </r>
    <r>
      <rPr>
        <sz val="10"/>
        <rFont val="Noto Sans CJK SC"/>
        <family val="2"/>
      </rPr>
      <t xml:space="preserve">立賣斷契張學車民國三十五年五月間買斷王依增店屋</t>
    </r>
    <r>
      <rPr>
        <sz val="10"/>
        <rFont val="Arial"/>
        <family val="0"/>
        <charset val="1"/>
      </rPr>
      <t xml:space="preserve">(</t>
    </r>
    <r>
      <rPr>
        <sz val="10"/>
        <rFont val="Noto Sans CJK SC"/>
        <family val="2"/>
      </rPr>
      <t xml:space="preserve">座坐落福州市五甲街地方門牌</t>
    </r>
    <r>
      <rPr>
        <sz val="10"/>
        <rFont val="Arial"/>
        <family val="0"/>
        <charset val="1"/>
      </rPr>
      <t xml:space="preserve">19</t>
    </r>
    <r>
      <rPr>
        <sz val="10"/>
        <rFont val="Noto Sans CJK SC"/>
        <family val="2"/>
      </rPr>
      <t xml:space="preserve">號屬</t>
    </r>
    <r>
      <rPr>
        <sz val="10"/>
        <rFont val="Arial"/>
        <family val="0"/>
        <charset val="1"/>
      </rPr>
      <t xml:space="preserve">3</t>
    </r>
    <r>
      <rPr>
        <sz val="10"/>
        <rFont val="Noto Sans CJK SC"/>
        <family val="2"/>
      </rPr>
      <t xml:space="preserve">區</t>
    </r>
    <r>
      <rPr>
        <sz val="10"/>
        <rFont val="Arial"/>
        <family val="0"/>
        <charset val="1"/>
      </rPr>
      <t xml:space="preserve">11</t>
    </r>
    <r>
      <rPr>
        <sz val="10"/>
        <rFont val="Noto Sans CJK SC"/>
        <family val="2"/>
      </rPr>
      <t xml:space="preserve">段</t>
    </r>
    <r>
      <rPr>
        <sz val="10"/>
        <rFont val="Arial"/>
        <family val="0"/>
        <charset val="1"/>
      </rPr>
      <t xml:space="preserve">1401</t>
    </r>
    <r>
      <rPr>
        <sz val="10"/>
        <rFont val="Noto Sans CJK SC"/>
        <family val="2"/>
      </rPr>
      <t xml:space="preserve">地號面積</t>
    </r>
    <r>
      <rPr>
        <sz val="10"/>
        <rFont val="Arial"/>
        <family val="0"/>
        <charset val="1"/>
      </rPr>
      <t xml:space="preserve">14</t>
    </r>
    <r>
      <rPr>
        <sz val="10"/>
        <rFont val="Noto Sans CJK SC"/>
        <family val="2"/>
      </rPr>
      <t xml:space="preserve">毫定着物坐西向東五柱直進單欄排上下堵木尺橫澗前後均壹丈長深寸零直深三丈四尺零東至五甲街西至隣屋九九九號南至隣屋九九九號北至隣屋九九七號上至椽瓦天下至礫石地基地六至叙明屋內所有附屬物品一切俱全今因別置托中將上列店屋連同基地賣斷與陳書寶處為業議定斷國幣壹萬元正其款即日收足其屋即聽陳家移轉登記享受所有權收益使用自由處分串自賣斷之後價定終休永不敢別生枝節有言借湊畫牘之理但此店屋係車自置與房族上下人等無干亦無重疊典押來歷各等情如有發生意外轉輾均由車得欺人處理負責不涉買主之事彼此兩願各無反悔恐口易翻特立賣斷契壹紙並繳王依增斷契壹紙樊汝濟斷契壹紙楊生春斷契稅証各壹紙鄔細細佛斷契壹紙稅証式紙共成捌紙付執為据</t>
    </r>
  </si>
  <si>
    <t xml:space="preserve">31735064607439_001</t>
  </si>
  <si>
    <t xml:space="preserve">31735064607439</t>
  </si>
  <si>
    <t xml:space="preserve">1929</t>
  </si>
  <si>
    <t xml:space="preserve">古田</t>
  </si>
  <si>
    <t xml:space="preserve">福建省古田縣</t>
  </si>
  <si>
    <t xml:space="preserve">林枝貴</t>
  </si>
  <si>
    <t xml:space="preserve">Box 3, Folder 139</t>
  </si>
  <si>
    <t xml:space="preserve">Official form</t>
  </si>
  <si>
    <t xml:space="preserve">立之不動產舊契</t>
  </si>
  <si>
    <t xml:space="preserve">中華民國十年</t>
  </si>
  <si>
    <t xml:space="preserve">價壹萬零九百零四元</t>
  </si>
  <si>
    <t xml:space="preserve">四至原契已載明白遵章呈驗應納紙價</t>
  </si>
  <si>
    <r>
      <rPr>
        <sz val="10"/>
        <rFont val="Noto Sans CJK SC"/>
        <family val="2"/>
      </rPr>
      <t xml:space="preserve">驗 稅 契 證 </t>
    </r>
    <r>
      <rPr>
        <sz val="10"/>
        <rFont val="Arial"/>
        <family val="0"/>
        <charset val="1"/>
      </rPr>
      <t xml:space="preserve">| </t>
    </r>
    <r>
      <rPr>
        <sz val="10"/>
        <rFont val="Noto Sans CJK SC"/>
        <family val="2"/>
      </rPr>
      <t xml:space="preserve">福建財政廳</t>
    </r>
  </si>
  <si>
    <t xml:space="preserve">福建財政廳</t>
  </si>
  <si>
    <t xml:space="preserve">林枝秀</t>
  </si>
  <si>
    <r>
      <rPr>
        <sz val="10"/>
        <rFont val="Noto Sans CJK SC"/>
        <family val="2"/>
      </rPr>
      <t xml:space="preserve">契證新字第 </t>
    </r>
    <r>
      <rPr>
        <sz val="10"/>
        <rFont val="Arial"/>
        <family val="0"/>
        <charset val="1"/>
      </rPr>
      <t xml:space="preserve">306 </t>
    </r>
    <r>
      <rPr>
        <sz val="10"/>
        <rFont val="Noto Sans CJK SC"/>
        <family val="2"/>
      </rPr>
      <t xml:space="preserve">號</t>
    </r>
  </si>
  <si>
    <t xml:space="preserve">https://digital.library.pitt.edu/islandora/object/pitt:31735064607439</t>
  </si>
  <si>
    <r>
      <rPr>
        <sz val="10"/>
        <rFont val="Noto Sans CJK SC"/>
        <family val="2"/>
      </rPr>
      <t xml:space="preserve">驗稅契證福建財政廳為給發驗稅契證事案奉國民政府財政部訓令頒發驗契暫行條例及各省驗契章程凡在此次開辦驗契以前成立之不動產舊契無已稅未稅均應一律限期呈驗換發新契紙倘逾限不呈驗遇有訴訟不能作為憑證如經人告發或官廳查出者並加以處罰業由財政部咨行司法部通飭遵辦以為匿驗者等因奉此當經擬具徵收方法電奉財政部核准照辦並已訂定本堂驗契補充辦法分別通令布告遵照在案茲據業戶林枝秀呈繳已稅田契壹張產價壹萬零九百零四元坐落四至原契已載明白遵章呈驗應納紙價壹元八角分註冊費五角附加教育費貳角業已如數收訖除註冊外合填驗稅契證粘連原契給收執管業須至契證者奉財政廳令定逾限按屆遞加紙價十分之二右給業戶林枝秀准此中華民國十年八月日給小契證新字第</t>
    </r>
    <r>
      <rPr>
        <sz val="10"/>
        <rFont val="Arial"/>
        <family val="0"/>
        <charset val="1"/>
      </rPr>
      <t xml:space="preserve">306</t>
    </r>
    <r>
      <rPr>
        <sz val="10"/>
        <rFont val="Noto Sans CJK SC"/>
        <family val="2"/>
      </rPr>
      <t xml:space="preserve">號系所</t>
    </r>
    <r>
      <rPr>
        <sz val="10"/>
        <rFont val="Arial"/>
        <family val="0"/>
        <charset val="1"/>
      </rPr>
      <t xml:space="preserve">......</t>
    </r>
  </si>
  <si>
    <t xml:space="preserve">31735064607447_001</t>
  </si>
  <si>
    <t xml:space="preserve">31735064607447</t>
  </si>
  <si>
    <t xml:space="preserve">1866</t>
  </si>
  <si>
    <t xml:space="preserve">閩侯（閩縣・侯官・林森）</t>
  </si>
  <si>
    <t xml:space="preserve">福建省閩邑</t>
  </si>
  <si>
    <t xml:space="preserve">Personal</t>
  </si>
  <si>
    <t xml:space="preserve">林春源</t>
  </si>
  <si>
    <t xml:space="preserve">Box 1, Folder 41</t>
  </si>
  <si>
    <t xml:space="preserve">Private deed</t>
  </si>
  <si>
    <t xml:space="preserve">立賣斷契</t>
  </si>
  <si>
    <t xml:space="preserve">同治伍年</t>
  </si>
  <si>
    <t xml:space="preserve">銀庫砵壹拾貳兩正</t>
  </si>
  <si>
    <t xml:space="preserve">閩邑嘉崇里秋龍巷</t>
  </si>
  <si>
    <r>
      <rPr>
        <sz val="10"/>
        <rFont val="Noto Sans CJK SC"/>
        <family val="2"/>
      </rPr>
      <t xml:space="preserve">將此地屋賣斷</t>
    </r>
    <r>
      <rPr>
        <sz val="10"/>
        <rFont val="Arial"/>
        <family val="0"/>
        <charset val="1"/>
      </rPr>
      <t xml:space="preserve">; </t>
    </r>
    <r>
      <rPr>
        <sz val="10"/>
        <rFont val="Noto Sans CJK SC"/>
        <family val="2"/>
      </rPr>
      <t xml:space="preserve">陳友梅</t>
    </r>
  </si>
  <si>
    <t xml:space="preserve">張秉中</t>
  </si>
  <si>
    <t xml:space="preserve">堂弟</t>
  </si>
  <si>
    <t xml:space="preserve">https://digital.library.pitt.edu/islandora/object/pitt:31735064607447</t>
  </si>
  <si>
    <t xml:space="preserve">立賣斷契林春源承父遺下有式柱破屋壹直參堵右邊更有殘地壹塊在王家店後坐落閩邑嘉崇里秋龍巷地方其屋前至王家店後至王家屋左至李家屋右至翰家屋其地前至翰家屋後至王家屋肆至載明今因乏用托中友將此地屋賣斷王處為業參面言議本日賣斷得地屋價足色鏡銀庫砵壹拾貳兩正其銀即日隨券收清其地屋俱聽王家掌管永遠為世業價足心愿永斷葛藤不敢別生枝節異說翻言以至後日亦不敢言取贖湊盡之事但此地屋係源遺父遺已業歷掌無異與親疏房份伯叔兄弟侄等無干並未曾重張曲當他人財物如有來歷不明承葛各等情弊源自愿出頭承當與王家毫無干涉其原契夾連別業不得繳賣今欲有憑立賣斷契壹紙付執永遠為照內塗遺壹字標照陸王姓在店後居住者出入皆由王家店內而行標照壹同治伍年參月吉日立賣斷契林春源謹堂叔長發在見堂弟春榮樓中友陳友梅樓地保代筆張秉中謹</t>
  </si>
  <si>
    <t xml:space="preserve">31735064607454_001</t>
  </si>
  <si>
    <t xml:space="preserve">31735064607454</t>
  </si>
  <si>
    <t xml:space="preserve">1862</t>
  </si>
  <si>
    <t xml:space="preserve">张华富</t>
  </si>
  <si>
    <t xml:space="preserve">Box 1, Folder 36</t>
  </si>
  <si>
    <t xml:space="preserve">立賣斷山契</t>
  </si>
  <si>
    <t xml:space="preserve">張華富</t>
  </si>
  <si>
    <r>
      <rPr>
        <sz val="10"/>
        <rFont val="Noto Sans CJK SC"/>
        <family val="2"/>
      </rPr>
      <t xml:space="preserve">價銅錢捌仟五百文正</t>
    </r>
    <r>
      <rPr>
        <sz val="10"/>
        <rFont val="Arial"/>
        <family val="0"/>
        <charset val="1"/>
      </rPr>
      <t xml:space="preserve">; </t>
    </r>
    <r>
      <rPr>
        <sz val="10"/>
        <rFont val="Noto Sans CJK SC"/>
        <family val="2"/>
      </rPr>
      <t xml:space="preserve">價銅錢捌仟伍百文正</t>
    </r>
  </si>
  <si>
    <t xml:space="preserve">田里南坑上名鳳坑仔即目上至崗頂下</t>
  </si>
  <si>
    <r>
      <rPr>
        <sz val="10"/>
        <rFont val="Noto Sans CJK SC"/>
        <family val="2"/>
      </rPr>
      <t xml:space="preserve">皮骨</t>
    </r>
    <r>
      <rPr>
        <sz val="10"/>
        <rFont val="Arial"/>
        <family val="0"/>
        <charset val="1"/>
      </rPr>
      <t xml:space="preserve">; </t>
    </r>
    <r>
      <rPr>
        <sz val="10"/>
        <rFont val="Noto Sans CJK SC"/>
        <family val="2"/>
      </rPr>
      <t xml:space="preserve">茶山</t>
    </r>
    <r>
      <rPr>
        <sz val="10"/>
        <rFont val="Arial"/>
        <family val="0"/>
        <charset val="1"/>
      </rPr>
      <t xml:space="preserve">; </t>
    </r>
    <r>
      <rPr>
        <sz val="10"/>
        <rFont val="Noto Sans CJK SC"/>
        <family val="2"/>
      </rPr>
      <t xml:space="preserve">山場</t>
    </r>
  </si>
  <si>
    <t xml:space="preserve">張華春</t>
  </si>
  <si>
    <t xml:space="preserve">詹王佐鑾</t>
  </si>
  <si>
    <t xml:space="preserve">https://digital.library.pitt.edu/islandora/object/pitt:31735064607454</t>
  </si>
  <si>
    <t xml:space="preserve">立賣斷山契人張華富承祖遺下置有皮骨茶山壹片坐落田里南坑上名鳳坑仔即目上至崗頂下至日榜左至本張宅分水為界右至亦本張分水為界今來俱出四至明白茲因缺錢應用情愿託中說諭甘將榕桐竹茶雜木皮骨山場盡立契出賣斷與程金寶名下邊為業當日三面言議時值價銅錢捌仟五百文正成契之日一頓交足不少分文並無債化員準折之類亦無重典復賣之理所賣斷其山的係自己股內物業與親房伯叔兄弟侄人等各不相干自賣斷之後任從買者永遠管業收租不敢阻執此係兩家甘允各無異說今欲有憑故立賣斷契為照當日實交得賣斷價銅錢捌仟伍百文正足訖所有上手契卷一時不及尋出日後尋出不堪行用執照同治壬戌元年柒月日立賣斷契人張華富張說諭人張喜孫張為中人張華春在見人張華應張代筆人詹王佐鑾張華富</t>
  </si>
  <si>
    <t xml:space="preserve">31735064607462_001</t>
  </si>
  <si>
    <t xml:space="preserve">31735064607462</t>
  </si>
  <si>
    <t xml:space="preserve">1931</t>
  </si>
  <si>
    <t xml:space="preserve">高天钏</t>
  </si>
  <si>
    <t xml:space="preserve">郑祚龙</t>
  </si>
  <si>
    <t xml:space="preserve">Box 3, Folder 142</t>
  </si>
  <si>
    <t xml:space="preserve">立送字</t>
  </si>
  <si>
    <t xml:space="preserve">民國貳拾年</t>
  </si>
  <si>
    <t xml:space="preserve">高天釗</t>
  </si>
  <si>
    <t xml:space="preserve">過洋</t>
  </si>
  <si>
    <t xml:space="preserve">墳</t>
  </si>
  <si>
    <t xml:space="preserve">經手人族</t>
  </si>
  <si>
    <t xml:space="preserve">兄居碑誌</t>
  </si>
  <si>
    <t xml:space="preserve">https://digital.library.pitt.edu/islandora/object/pitt:31735064607462</t>
  </si>
  <si>
    <t xml:space="preserve">立送字永遠山地契高天釗承祖純剛公派下有壙穴坐產土名過洋山北山墓埕下大坪園下有吉穴上至大坪園下至山坡左至居耐墓右至居炉墓親歷四至明白今因要用將此山地送友鄭祚龍處造墳葬親即听鄭家破土興工造墳葬親面約前無遮蔽後無開鑿金至於鄭家高者鋪平低者補滿堆疊圓山嶺仍憑順處一派路徑通行通用開門放水听從其便係天釗但此山地承祖物業前別房伯叔兄弟姪無干並未曾重張曲當情弊如有來歷不明係天釗出頭承當鄭家無涉到後帮葬花紅一概全免兩相允諾各毋反悔今啟有憑立送字永遠墳地契壙帛為據民國貳拾年春初立送字高天釗在見兄居碑誌代筆經手人族姪信釗代筆人</t>
  </si>
  <si>
    <t xml:space="preserve">31735064607470_001</t>
  </si>
  <si>
    <t xml:space="preserve">31735064607470</t>
  </si>
  <si>
    <t xml:space="preserve">1887</t>
  </si>
  <si>
    <t xml:space="preserve">福建省閩縣</t>
  </si>
  <si>
    <t xml:space="preserve">王錦發</t>
  </si>
  <si>
    <t xml:space="preserve">王錦枝</t>
  </si>
  <si>
    <t xml:space="preserve">Box 2, Folder 63</t>
  </si>
  <si>
    <t xml:space="preserve">光緒拾叁年</t>
  </si>
  <si>
    <t xml:space="preserve">價錠銀柒拾伍兩正</t>
  </si>
  <si>
    <t xml:space="preserve">閩邑橫山鋪秋龍社</t>
  </si>
  <si>
    <r>
      <rPr>
        <sz val="10"/>
        <rFont val="Noto Sans CJK SC"/>
        <family val="2"/>
      </rPr>
      <t xml:space="preserve">地基</t>
    </r>
    <r>
      <rPr>
        <sz val="10"/>
        <rFont val="Arial"/>
        <family val="0"/>
        <charset val="1"/>
      </rPr>
      <t xml:space="preserve">; </t>
    </r>
    <r>
      <rPr>
        <sz val="10"/>
        <rFont val="Noto Sans CJK SC"/>
        <family val="2"/>
      </rPr>
      <t xml:space="preserve">店屋</t>
    </r>
  </si>
  <si>
    <r>
      <rPr>
        <sz val="10"/>
        <rFont val="Noto Sans CJK SC"/>
        <family val="2"/>
      </rPr>
      <t xml:space="preserve">賣斷與堂兄</t>
    </r>
    <r>
      <rPr>
        <sz val="10"/>
        <rFont val="Arial"/>
        <family val="0"/>
        <charset val="1"/>
      </rPr>
      <t xml:space="preserve">; </t>
    </r>
    <r>
      <rPr>
        <sz val="10"/>
        <rFont val="Noto Sans CJK SC"/>
        <family val="2"/>
      </rPr>
      <t xml:space="preserve">林細弟</t>
    </r>
  </si>
  <si>
    <t xml:space="preserve">李逢銓</t>
  </si>
  <si>
    <t xml:space="preserve">堂兄</t>
  </si>
  <si>
    <t xml:space="preserve">母 林氏</t>
  </si>
  <si>
    <t xml:space="preserve">https://digital.library.pitt.edu/islandora/object/pitt:31735064607470</t>
  </si>
  <si>
    <t xml:space="preserve">立賣斷契王錦發原祖遺闔分份下有肆柱店面右半半內門窓戶榻前榻板地棚一切俱全坐產閩邑橫山鋪秋龍社地方前至官街後王清官屋在左邊錦枝半內店右至何家店上至掾桁磚瓦下至廊石礫石地基地陸至俱載明白今因要用情願將此右邊店面半內託中友賣斷與堂兄錦枝處永遠為業三面言議本日賣斷得店屋價錠銀柒拾伍兩正庫砵大錠白足色足兌其銀即日隨契親手收足其右邊半內店屋即所堂兄錦枝永遠管業千秋或自己居住或召租他人或折毀改式起蓋聽從其便係錦發自斷之後價足心願永斷葛藤向後永不敢言贖言湊言盡亦不敢別生枝節索取花紅之理但此店屋右半內係錦發祖遺闔分份下物業與親疎房份伯叔兄弟侄等無干亦未曾重張典當他人財物以及來歷不明各等情如有此情係錦發出頭抵當不涉堂兄之事兩相允愿各無翻悔今欲有憑立賣斷契事紙付執永遠為憑內併綴林春源典斷契司單下半屯相連標以知契母林氏光緒拾叁年冬月拾捌日立賣斷契王錦發胞弟森發在見堂兄俊發永發中友林細弟代筆李逢銓林春源</t>
  </si>
  <si>
    <t xml:space="preserve">31735064607488_001</t>
  </si>
  <si>
    <t xml:space="preserve">31735064607488</t>
  </si>
  <si>
    <t xml:space="preserve">1890</t>
  </si>
  <si>
    <t xml:space="preserve">福建省閩邑縣</t>
  </si>
  <si>
    <t xml:space="preserve">吳開成</t>
  </si>
  <si>
    <t xml:space="preserve">陳氏</t>
  </si>
  <si>
    <t xml:space="preserve">Box 2, Folder 71</t>
  </si>
  <si>
    <t xml:space="preserve">同治玖年</t>
  </si>
  <si>
    <t xml:space="preserve">價銀陸拾捌兩正</t>
  </si>
  <si>
    <t xml:space="preserve">厝屋</t>
  </si>
  <si>
    <r>
      <rPr>
        <sz val="10"/>
        <rFont val="Noto Sans CJK SC"/>
        <family val="2"/>
      </rPr>
      <t xml:space="preserve">其屋式瑞數陸至俱</t>
    </r>
    <r>
      <rPr>
        <sz val="10"/>
        <rFont val="Arial"/>
        <family val="0"/>
        <charset val="1"/>
      </rPr>
      <t xml:space="preserve">; </t>
    </r>
    <r>
      <rPr>
        <sz val="10"/>
        <rFont val="Noto Sans CJK SC"/>
        <family val="2"/>
      </rPr>
      <t xml:space="preserve">李懷鏡</t>
    </r>
  </si>
  <si>
    <t xml:space="preserve">林枝三</t>
  </si>
  <si>
    <t xml:space="preserve">親友陳清霖</t>
  </si>
  <si>
    <t xml:space="preserve">嫂 洪氏</t>
  </si>
  <si>
    <t xml:space="preserve">https://digital.library.pitt.edu/islandora/object/pitt:31735064607488</t>
  </si>
  <si>
    <t xml:space="preserve">立賣斷契吳開成全姓瑞枝長庚原承祖遺下有厝屋肆在式欄相手座生產閩邑橫街舖地方前叁在門樓後引道至橫墻牆內左邊肆在屋後又有土庫肆在壹欄右邊肆在後又有拔水壹欄於道光貳拾叁年肆柒等年間經兄開揚在日憑中立典契先後曲在陳前魏各姓處為業緣年限已滿今因宗房別置全姪枝等向陳鄭魏邀往現繳典主劉李鄭各姓贖回隨托中友其屋式瑞數陸至俱載在贖回契內明白憑中統賣斷契陳處永遠為業三言議賣斷出屋價銀陸拾捌兩正庫大銀四其銀即日經成等隨契收足其厝屋即聽陳家永為子孫世業掌管收租或自己居住悉從其便成與枝等原價收足時價過浮自賣之後價足心願永斷萬無嗣後不得言贖言奉言盡之理以及別生枝等此屋緣因年久損壞倘陳家所毀改式起蓋聽從其便亦不敢啓齒索取花紅等情如有此情係成與枝等事但此厝屋係承祖遺下物業與親疎房份伯叔兄弟姪無亦未曾重張典當他人財物以及來歷不明各等情如有此情係成與枝等出頭承當不涉陳家之事兩相允願各無反悔今欲有過立賣斷契壹紙併繳陳家贖回契壹紙目壹紙鄭家贖回契壹紙魏家贖回契壹紙向陳家借字壹紙陳世旺繳典契壹紙鄭茂城繳典契壹紙魏振發繳典契壹紙劉嘉茂繳典契壹紙吳標標典契壹紙上年原曲斷契併司單執照老契壹拾肆紙共成貳拾伍紙統付永遠為憑知契嫂洪氏陳氏同治玖年十二月吉日賣斷契吳開成全姓瑞枝長庚全姪瑞枝長庚左見親友陳清霖中友李懷鏡代筆林枝三該契已協之永遠</t>
  </si>
  <si>
    <t xml:space="preserve">31735064607496_001</t>
  </si>
  <si>
    <t xml:space="preserve">31735064607496</t>
  </si>
  <si>
    <t xml:space="preserve">1900</t>
  </si>
  <si>
    <t xml:space="preserve">鄒允春</t>
  </si>
  <si>
    <t xml:space="preserve">和意軒老人會</t>
  </si>
  <si>
    <t xml:space="preserve">Box 2, Folder 82</t>
  </si>
  <si>
    <t xml:space="preserve">光緒貳拾陸年</t>
  </si>
  <si>
    <t xml:space="preserve">價庫平銀肆拾肆兩正</t>
  </si>
  <si>
    <t xml:space="preserve">庫平</t>
  </si>
  <si>
    <r>
      <rPr>
        <sz val="10"/>
        <rFont val="Noto Sans CJK SC"/>
        <family val="2"/>
      </rPr>
      <t xml:space="preserve">厝屋</t>
    </r>
    <r>
      <rPr>
        <sz val="10"/>
        <rFont val="Arial"/>
        <family val="0"/>
        <charset val="1"/>
      </rPr>
      <t xml:space="preserve">; </t>
    </r>
    <r>
      <rPr>
        <sz val="10"/>
        <rFont val="Noto Sans CJK SC"/>
        <family val="2"/>
      </rPr>
      <t xml:space="preserve">地基</t>
    </r>
  </si>
  <si>
    <t xml:space="preserve">王伊細</t>
  </si>
  <si>
    <t xml:space="preserve">李松軒謹</t>
  </si>
  <si>
    <t xml:space="preserve">表弟黃公弼</t>
  </si>
  <si>
    <t xml:space="preserve">https://digital.library.pitt.edu/islandora/object/pitt:31735064607496</t>
  </si>
  <si>
    <t xml:space="preserve">立賣斷契鄒允春承父手置原有厝屋叁柱式欄排串座共成式堵上有標椽磚瓦上至天至天下至地基地礫石地地內有門窓戶榻地坪板榻一切俱全橫濶式丈式尺參直深式丈肆尺參左至鄭家屋右至鄭家簷坪後至蘓家墻六至俱俱明白厝角水井通用座產閩邑嘉崇里文山舖秋龍社地方今因要托中賣斷與和意軒老人會處永遠為業本日三面言議賣斷得厝價庫平銀肆拾肆兩正即日隨契收足其屋所憑買主或自己居住或租他人悉從其便春自賣之後價足心願永斷葛藤但此屋係父自己手置與親疎伯叔兄弟侄無干並未曾重張典當他人財物之理以及來歷不明各等情如有此情係春出頭承當與買主無涉之事不得異說各無反悔今欲有憑立賣斷契事紙並張銓銓原契事紙司單事紙共成叁紙付執為憑內標註至用式字為憑在見表弟黃公弼光緒貳拾陸年閏捌月吉日立賣斷契鄒允春中人王伊細代筆李松軒謹卷八</t>
  </si>
  <si>
    <t xml:space="preserve">31735064607504_001</t>
  </si>
  <si>
    <t xml:space="preserve">31735064607504</t>
  </si>
  <si>
    <t xml:space="preserve">1918</t>
  </si>
  <si>
    <t xml:space="preserve">福建省閩侯縣</t>
  </si>
  <si>
    <t xml:space="preserve">陳燦祥</t>
  </si>
  <si>
    <t xml:space="preserve">吳</t>
  </si>
  <si>
    <t xml:space="preserve">Box 2, Folder 108</t>
  </si>
  <si>
    <r>
      <rPr>
        <sz val="10"/>
        <rFont val="Noto Sans CJK SC"/>
        <family val="2"/>
      </rPr>
      <t xml:space="preserve">民國六年</t>
    </r>
    <r>
      <rPr>
        <sz val="10"/>
        <rFont val="Arial"/>
        <family val="0"/>
        <charset val="1"/>
      </rPr>
      <t xml:space="preserve">; </t>
    </r>
    <r>
      <rPr>
        <sz val="10"/>
        <rFont val="Noto Sans CJK SC"/>
        <family val="2"/>
      </rPr>
      <t xml:space="preserve">中華民國七年</t>
    </r>
  </si>
  <si>
    <t xml:space="preserve">價柒百元</t>
  </si>
  <si>
    <t xml:space="preserve">大洋</t>
  </si>
  <si>
    <t xml:space="preserve">橫街舖茶葉衙面積壹庄一不動產之買</t>
  </si>
  <si>
    <t xml:space="preserve">吳維清</t>
  </si>
  <si>
    <r>
      <rPr>
        <sz val="10"/>
        <rFont val="Noto Sans CJK SC"/>
        <family val="2"/>
      </rPr>
      <t xml:space="preserve">典 契 </t>
    </r>
    <r>
      <rPr>
        <sz val="10"/>
        <rFont val="Arial"/>
        <family val="0"/>
        <charset val="1"/>
      </rPr>
      <t xml:space="preserve">| </t>
    </r>
    <r>
      <rPr>
        <sz val="10"/>
        <rFont val="Noto Sans CJK SC"/>
        <family val="2"/>
      </rPr>
      <t xml:space="preserve">例 則 摘 要</t>
    </r>
  </si>
  <si>
    <t xml:space="preserve">https://digital.library.pitt.edu/islandora/object/pitt:31735064607504</t>
  </si>
  <si>
    <t xml:space="preserve">典契例則摘要承典人姓名吳不動產種類牆屋典價柒百元應納稅額貳拾壹元原契幾張立契年月日民國六年十二月四至北至西至南至東至坐落橫街舖茶葉衙面積壹庄一不動產之買主或承典人須於契紙成立後六個月以內赴該管徵收官署投稅一訂立不動產買契或典契時須由賣主或出典人赴該管徵收官署填具申請書請領契紙繳納契紙費大洋五角前項之契紙費五角由賣主與買主或出典人與承典人分擔一不動產之賣主或出典人請領契紙後已逾兩月其契約尚未成立者原領契紙失其効力但因有障礙致契約不能成立時得於限內赴徵收官署申明事由酌予寬限一原領契紙因遺失及其他事由須補領或更換時仍依第四條第一項之規定繳納契紙費一不動產之買主或承典人逾契約成立後六個月之期限不依本條例繳納契稅者除約定稅之稅額外並處以應納稅額之十倍罰金一繳納契稅時匿稅契價者除另換契紙改正契約繳納稅額外並處以左列之罰金一匿報契價十分之二以上未滿十分之三者短納稅額之二倍一匿報契價十分之三以上未滿十分之四者短納稅額之四倍一匿報契價十分之四以上未滿十分之五者短納稅額之八倍一匿報契價十分之五以上者短納稅額之十六倍或由徵稅官署依所報契價收買之一契約成立後六個月之納稅期間限於遵領官契紙者適用之其私紙所書之契約若事後不換寫契紙以逾限論一賣主或出典人以私紙訂立契約者得由徵稅官署處以五元以上五十元以下之罰金一逾限未稅之契訴訟時無憑證之效力中華民國七年四月廿六日出典人陳燦祥中人吳維清繕契核對陶筱泉縣給留字第虎完兌限合壹元</t>
  </si>
  <si>
    <t xml:space="preserve">31735064607512_001</t>
  </si>
  <si>
    <t xml:space="preserve">31735064607512</t>
  </si>
  <si>
    <t xml:space="preserve">1924</t>
  </si>
  <si>
    <t xml:space="preserve">王三妹</t>
  </si>
  <si>
    <t xml:space="preserve">陳軍漢</t>
  </si>
  <si>
    <t xml:space="preserve">Box 3, Folder 119</t>
  </si>
  <si>
    <t xml:space="preserve">立典屋契</t>
  </si>
  <si>
    <t xml:space="preserve">約王三妹</t>
  </si>
  <si>
    <r>
      <rPr>
        <sz val="10"/>
        <rFont val="Noto Sans CJK SC"/>
        <family val="2"/>
      </rPr>
      <t xml:space="preserve">伏壹佰式拾伍元正</t>
    </r>
    <r>
      <rPr>
        <sz val="10"/>
        <rFont val="Arial"/>
        <family val="0"/>
        <charset val="1"/>
      </rPr>
      <t xml:space="preserve">; </t>
    </r>
    <r>
      <rPr>
        <sz val="10"/>
        <rFont val="Noto Sans CJK SC"/>
        <family val="2"/>
      </rPr>
      <t xml:space="preserve">銀台伏壹佰叁拾伍元</t>
    </r>
  </si>
  <si>
    <t xml:space="preserve">台伏</t>
  </si>
  <si>
    <t xml:space="preserve">福州閩侯縣轄內文山鋪秋龍社下底埕</t>
  </si>
  <si>
    <t xml:space="preserve">地基</t>
  </si>
  <si>
    <t xml:space="preserve">林武欽</t>
  </si>
  <si>
    <t xml:space="preserve">五</t>
  </si>
  <si>
    <t xml:space="preserve">https://digital.library.pitt.edu/islandora/object/pitt:31735064607512</t>
  </si>
  <si>
    <t xml:space="preserve">立典屋契約王三妹承繼父遺下有民屋一所坐產福州閩侯縣轄內文山鋪秋龍社下底埕地方坐北向南其屋式柱一欄前至天井後至牆左至廊墘右至王家上至椽瓦天下至地基地左邊房屋一堵右邊廊墘一堵共成參堵門牌戶嫡及椽極地秤破舊畧全今因要需於中將該屋典與陳軍漢處為業三面議定典價銀台伏壹佰式拾伍元正又貼修理費壹拾元合共貳大壹佰叁拾伍元正其銀即日經中收足其屋即聽陳處掌管或已居住或租他人均從其便約定五年為限期滿之日聽妹籌備原典銀台伏壹佰叁拾伍元取贖不得半途言贖及別生枝節但此屋係妹繼父遺產與親疏所伯叔兄弟姪等無關亦未曾重張典當他人財物如有來應不明係妹出頭承當不涉與之事若遇天災時變兩家均分各半雙方允諾各無反悔今設有憑蓋屋契約一紙並繳王齊發契一紙共應式紙統付為據此照標明郭宗付老原契遺失中人林武欽王斌斌知契生父王繼保立典屋契約卷之二文山鋪秋龍巷</t>
  </si>
  <si>
    <t xml:space="preserve">31735064607512_002</t>
  </si>
  <si>
    <t xml:space="preserve">民國十三年</t>
  </si>
  <si>
    <t xml:space="preserve">價壹百貳拾伍元</t>
  </si>
  <si>
    <t xml:space="preserve">典</t>
  </si>
  <si>
    <t xml:space="preserve">第典李契銀每張收善附捐壹元相第張卷承典人姓名陳軍漢不動產種類厝屋典價壹百貳拾伍元應納稅額叁元柒角伍占原契幾張立契年月日民國十三年二月到坐面落文山鋪秋龍巷積貳拾壹元四至東至南至西至北至清查一不動產之買主或承典人須於契紙成立後六個月以內赴該管徵收官署投稅二出典人赴該管徵收官署填具申請書請領契紙三立者原領契紙失其效力但寬限四繳納契紙費五首余酌定稅</t>
  </si>
  <si>
    <t xml:space="preserve">31735064607520_001</t>
  </si>
  <si>
    <t xml:space="preserve">31735064607520</t>
  </si>
  <si>
    <t xml:space="preserve">1876</t>
  </si>
  <si>
    <t xml:space="preserve">永安</t>
  </si>
  <si>
    <t xml:space="preserve">福建省永安縣</t>
  </si>
  <si>
    <t xml:space="preserve">祿中</t>
  </si>
  <si>
    <t xml:space="preserve">Box 2, Folder 55</t>
  </si>
  <si>
    <t xml:space="preserve">立杜賣田皮骨契</t>
  </si>
  <si>
    <t xml:space="preserve">光緒二年</t>
  </si>
  <si>
    <t xml:space="preserve">祿中客</t>
  </si>
  <si>
    <t xml:space="preserve">價銀壹拾柒員正</t>
  </si>
  <si>
    <t xml:space="preserve">田皮</t>
  </si>
  <si>
    <t xml:space="preserve">海中客</t>
  </si>
  <si>
    <t xml:space="preserve">見代筆人海中客</t>
  </si>
  <si>
    <t xml:space="preserve">https://digital.library.pitt.edu/islandora/object/pitt:31735064607520</t>
  </si>
  <si>
    <t xml:space="preserve">立杜賣田皮骨契字人祿中今因少銀使用即將父分閩下禾田土名下屋仔虎形地堂下塘仔禾田一坵欲行出賣前來向到本家吉昌兄出首承買即日憑中三面時值盡骨併帶飯糧花押酒席一應在內共成六兌價銀壹拾柒員正其係隨字交付足額載今邑民未陸合其田自賣之後任憑賣主過手會業耕作其糧米任憑過割入冊有賣人叔侄兄弟不得添事等情此係正行交易不是負債準折之故價盡未足永無後贖恐口無憑立杜賣田皮骨契字一紙付與買主收執永遠為據即日收到字內畫骨田價銀壹拾柒員正俱收足記在場見代筆人海中客在堂母氏蘇光緒二年丙子歲十月廿七日立杜賣畫田字人祿中客</t>
  </si>
  <si>
    <t xml:space="preserve">31735064607538_001</t>
  </si>
  <si>
    <t xml:space="preserve">31735064607538</t>
  </si>
  <si>
    <t xml:space="preserve">1761/1762</t>
  </si>
  <si>
    <t xml:space="preserve">永定</t>
  </si>
  <si>
    <t xml:space="preserve">福建省永定縣</t>
  </si>
  <si>
    <t xml:space="preserve">許瓊栢</t>
  </si>
  <si>
    <t xml:space="preserve">吳省忠</t>
  </si>
  <si>
    <t xml:space="preserve">Box 1, Folder 5</t>
  </si>
  <si>
    <t xml:space="preserve">立賣買山埔土審契</t>
  </si>
  <si>
    <t xml:space="preserve">乾隆貳拾六年</t>
  </si>
  <si>
    <t xml:space="preserve">許瓊相</t>
  </si>
  <si>
    <r>
      <rPr>
        <sz val="10"/>
        <rFont val="Noto Sans CJK SC"/>
        <family val="2"/>
      </rPr>
      <t xml:space="preserve">銀九四星色叁拾兩正</t>
    </r>
    <r>
      <rPr>
        <sz val="10"/>
        <rFont val="Arial"/>
        <family val="0"/>
        <charset val="1"/>
      </rPr>
      <t xml:space="preserve">; </t>
    </r>
    <r>
      <rPr>
        <sz val="10"/>
        <rFont val="Noto Sans CJK SC"/>
        <family val="2"/>
      </rPr>
      <t xml:space="preserve">價銀叁拾兩正</t>
    </r>
  </si>
  <si>
    <t xml:space="preserve">大溪邊礫下崗上原有土審貳穴上至許</t>
  </si>
  <si>
    <r>
      <rPr>
        <sz val="10"/>
        <rFont val="Noto Sans CJK SC"/>
        <family val="2"/>
      </rPr>
      <t xml:space="preserve">山埔</t>
    </r>
    <r>
      <rPr>
        <sz val="10"/>
        <rFont val="Arial"/>
        <family val="0"/>
        <charset val="1"/>
      </rPr>
      <t xml:space="preserve">; </t>
    </r>
    <r>
      <rPr>
        <sz val="10"/>
        <rFont val="Noto Sans CJK SC"/>
        <family val="2"/>
      </rPr>
      <t xml:space="preserve">墳</t>
    </r>
  </si>
  <si>
    <t xml:space="preserve">https://digital.library.pitt.edu/islandora/object/pitt:31735064607538</t>
  </si>
  <si>
    <t xml:space="preserve">立賣買山埔土審契人許瓊相學明利錫今有祖父遺下山埔壹所坐落大溪邊礫下崗上原有土審貳穴上至許家墳下為界下至圳面為界左右並無土審相連其山埔內上下左右并土審貳穴欲行出賣前來托中送與吳省忠叔姪等出首承買當日憑中三向言斷時值山埔土審價銀九四星色叁拾兩正其銀即日隨契交訖不欠分文自的筆之日其大溪邊礫下崗上埔壹所共土審貳穴從吳省忠叔姪等前去堆砌土築板安置遷上遷下遷左遷右有許瓊相兄弟叔姪貳房等不得異言阻當等情其山埔土審與房族叔伯兄弟人等並無寸土干涉亦不會重複典當他人財物委係正行交易不是負債推折之故今欲有憑立賣買山埔土審契永遠為照即日得收山埔土審契內價銀叁拾兩正足訖說命人官盛清務房戶許芳相等乾隆貳拾六年辛巳歲拾月初二日立賣買山埔土審契人許瓊相北相瓊相或相字全姪信上利盛與平明聯上兩北上</t>
  </si>
  <si>
    <t xml:space="preserve">31735064607538_002</t>
  </si>
  <si>
    <r>
      <rPr>
        <sz val="10"/>
        <rFont val="Noto Sans CJK SC"/>
        <family val="2"/>
      </rPr>
      <t xml:space="preserve">乾隆十五年</t>
    </r>
    <r>
      <rPr>
        <sz val="10"/>
        <rFont val="Arial"/>
        <family val="0"/>
        <charset val="1"/>
      </rPr>
      <t xml:space="preserve">; </t>
    </r>
    <r>
      <rPr>
        <sz val="10"/>
        <rFont val="Noto Sans CJK SC"/>
        <family val="2"/>
      </rPr>
      <t xml:space="preserve">乾隆貳拾柒年</t>
    </r>
  </si>
  <si>
    <t xml:space="preserve">欽</t>
  </si>
  <si>
    <t xml:space="preserve">福建等處承宣布政使司</t>
  </si>
  <si>
    <t xml:space="preserve">欽永字一千四百十三號福建等處承宣布政使司為查據奏事乾隆十五年正月二十四日奉准戶部咨開司案呈所有奉部議覆河南布政使高爾隆奏買賣田產將契尾精連用印存貯申送府州藩司查驗等因一摺于本年十一月二十二日奉本日來查依議欽此相應抄錄原奏并頒發格式行文福憲照欽遵辦理可也計前單一紙格式一張內開該府等查得該布政使高爾隆奏稱部議多頒契尾以後巧取病民緣象勢難免例不與照根契中上已查驗不自備其與給民契尾則按數登與而于存官照根或將價銀刪改請照後州縣于票之納照時符即將應給集戶之契尾并州縣備案之照根等項從未議將花戶收執票與申繳上司收執等項與照根并送查發是難項更難于正賦稅與照根且當緣為奸情勒索查以致難戶經年累月求其難望其掛圖匿白契而不解不目誤費集照根而直隸州照州縣例例送照用之處均毋庸議至請嗣後布政司頒發給民契尾格式編列號數前中印鈐司印以備投稅時將契價稅銀數目太字與票和政司查核此係一行筆跡平分為二大小數目妥離子虞而契價無參差之契于民無累于稅無虧侵舒杜爭訟可息矣如蒙照其契尾一項經二衙門即多一衙門之停關由吏胥即多一吏胥之索索甚亦以憑票請州縣經收稅銀將契尾粘連存貯一單中送府州官照根而直隸吏以大細小奸民爭執訂訟定緣法久弊生不可不事為變通自應將照常細畫業戶等姓名買賣田房數目價銀稅銀若干後半幅下空白處印之處令業戶看明當面騎字截開將幅將業戶及執後幅司印冊景換其稅前州縣布政司銷送各契尾應將停止以省繁文庶契尾無停爭訟可息矣如蒙命下之日部頒發格式通行無有督撫一體欽遵謹此等因咨院行司奉此納稅銀玖錢五納稅銀玖錢五納稅銀玖錢五納稅銀玖錢五納稅銀玖錢五納稅銀玖錢五納稅銀玖錢五納稅銀玖錢五納稅銀玖錢五納稅銀玖錢五納稅銀玖錢五納稅銀玖錢五納稅銀玖錢五納稅銀玖錢五納稅銀玖錢五乾隆貳拾柒年捌月永字壹千肆百八拾號白給永茂縣葉口吳有德佳此</t>
  </si>
  <si>
    <t xml:space="preserve">31735064607546_001</t>
  </si>
  <si>
    <t xml:space="preserve">31735064607546</t>
  </si>
  <si>
    <t xml:space="preserve">1760/1767</t>
  </si>
  <si>
    <t xml:space="preserve">閩清</t>
  </si>
  <si>
    <t xml:space="preserve">福建省閩清縣</t>
  </si>
  <si>
    <t xml:space="preserve">黃毓扆</t>
  </si>
  <si>
    <t xml:space="preserve">Box 1, Folder 4</t>
  </si>
  <si>
    <t xml:space="preserve">立典契</t>
  </si>
  <si>
    <t xml:space="preserve">乾隆貳拾伍年</t>
  </si>
  <si>
    <t xml:space="preserve">黃毓辰</t>
  </si>
  <si>
    <t xml:space="preserve">葉</t>
  </si>
  <si>
    <t xml:space="preserve">價銀陸拾叁兩正</t>
  </si>
  <si>
    <t xml:space="preserve">檢壹都</t>
  </si>
  <si>
    <t xml:space="preserve">民田</t>
  </si>
  <si>
    <t xml:space="preserve">薛宜章</t>
  </si>
  <si>
    <t xml:space="preserve">劉有臺</t>
  </si>
  <si>
    <t xml:space="preserve">https://digital.library.pitt.edu/islandora/object/pitt:31735064607546</t>
  </si>
  <si>
    <t xml:space="preserve">立典契黃毓辰承祖有民田數號坐產檢壹都地方土名和尚壠長壠平水潭台尾上下大坵尾園前後埭埭利吳晉洋上中假桑園二小坵等處受種伍斗陸升伍合年載租米伍碩陸伍升伍合斗陸升伍合立在昇平文親孝仁戶下今因乏用托中典與葉處為葉三向言議得訖田價銀陸拾叁兩正紋廣其銀即日收足其田轉銀主前去會佃收租自是身苗糧聽從葉過割入戶西約伍年限滿之日借銀以契面銀兩定期取贖葉不得自留此田係自己物業與別房佃叔兄等無干上上本自重張典當他人財物如有未磨不明係辰出欵抵當不得借銀主事今欲有洗立典契為憑此為計開一個陳朝彩出名和尚壠載租米壹石捌斗官姓李長一個許維實出名長壠平水潭台尾抽出租米壹石捌斗官一個林子為土名上下大坵尾園前徐假埭利吳晉洋上中假桑園二小坵載租米貳石柒斗官乾隆貳拾伍年伍月立典契黃毓辰中人薛宜章左見劉有臺謝朝尊謹大壠</t>
  </si>
  <si>
    <t xml:space="preserve">31735064607546_002</t>
  </si>
  <si>
    <t xml:space="preserve">立湊字</t>
  </si>
  <si>
    <t xml:space="preserve">乾隆叁拾貳年</t>
  </si>
  <si>
    <t xml:space="preserve">黃毓辰原</t>
  </si>
  <si>
    <r>
      <rPr>
        <sz val="10"/>
        <rFont val="Noto Sans CJK SC"/>
        <family val="2"/>
      </rPr>
      <t xml:space="preserve">民田</t>
    </r>
    <r>
      <rPr>
        <sz val="10"/>
        <rFont val="Arial"/>
        <family val="0"/>
        <charset val="1"/>
      </rPr>
      <t xml:space="preserve">; </t>
    </r>
    <r>
      <rPr>
        <sz val="10"/>
        <rFont val="Noto Sans CJK SC"/>
        <family val="2"/>
      </rPr>
      <t xml:space="preserve">苗米</t>
    </r>
    <r>
      <rPr>
        <sz val="10"/>
        <rFont val="Arial"/>
        <family val="0"/>
        <charset val="1"/>
      </rPr>
      <t xml:space="preserve">; </t>
    </r>
    <r>
      <rPr>
        <sz val="10"/>
        <rFont val="Noto Sans CJK SC"/>
        <family val="2"/>
      </rPr>
      <t xml:space="preserve">田面</t>
    </r>
  </si>
  <si>
    <t xml:space="preserve">列有炳燧</t>
  </si>
  <si>
    <t xml:space="preserve">立湊字黃毓辰子前耳向有民田數號其理名銀西土名苗米俱載草契內明白若因立用托中向立葉表伯處湊出制鈔書拉子又石其鈔即日收其其田面約再限出仁耳備年之日以原湊專銀西取燒如未取燒契聽從以四收葉立湊字葉弟併原契其成或命助乃乾隆叁拾貳年伍月日立湊字黃毓辰原契中見列有炳燧</t>
  </si>
  <si>
    <t xml:space="preserve">31735064607553_001</t>
  </si>
  <si>
    <t xml:space="preserve">31735064607553</t>
  </si>
  <si>
    <t xml:space="preserve">1940</t>
  </si>
  <si>
    <r>
      <rPr>
        <sz val="10"/>
        <rFont val="Noto Sans CJK SC"/>
        <family val="2"/>
      </rPr>
      <t xml:space="preserve">藍維乾 </t>
    </r>
    <r>
      <rPr>
        <sz val="10"/>
        <rFont val="Arial"/>
        <family val="0"/>
        <charset val="1"/>
      </rPr>
      <t xml:space="preserve">| </t>
    </r>
    <r>
      <rPr>
        <sz val="10"/>
        <rFont val="Noto Sans CJK SC"/>
        <family val="2"/>
      </rPr>
      <t xml:space="preserve">藍維坤</t>
    </r>
  </si>
  <si>
    <t xml:space="preserve">吳淮棉</t>
  </si>
  <si>
    <t xml:space="preserve">Box 3, Folder 162</t>
  </si>
  <si>
    <t xml:space="preserve">立令賣契</t>
  </si>
  <si>
    <t xml:space="preserve">要藍維坤</t>
  </si>
  <si>
    <t xml:space="preserve">幣銀書佰壹拾員正</t>
  </si>
  <si>
    <t xml:space="preserve">國幣</t>
  </si>
  <si>
    <r>
      <rPr>
        <sz val="10"/>
        <rFont val="Noto Sans CJK SC"/>
        <family val="2"/>
      </rPr>
      <t xml:space="preserve">抵當不涉銀主之事</t>
    </r>
    <r>
      <rPr>
        <sz val="10"/>
        <rFont val="Arial"/>
        <family val="0"/>
        <charset val="1"/>
      </rPr>
      <t xml:space="preserve">; </t>
    </r>
    <r>
      <rPr>
        <sz val="10"/>
        <rFont val="Noto Sans CJK SC"/>
        <family val="2"/>
      </rPr>
      <t xml:space="preserve">吳淮西</t>
    </r>
  </si>
  <si>
    <t xml:space="preserve">陳鳳英</t>
  </si>
  <si>
    <t xml:space="preserve">龍叔世錄</t>
  </si>
  <si>
    <t xml:space="preserve">https://digital.library.pitt.edu/islandora/object/pitt:31735064607553</t>
  </si>
  <si>
    <t xml:space="preserve">立令賣契藍維坤原史手闕於下有山國書號坐地本山土名定下坑大小坑近載藤書千伍佰餘根東至淮球國為界西至立善園為界南至淮元田為界北至土墓為界於立以少令因要用托中引引吳淮棉處三面言說賣契以示國所國幣銀書佰壹拾員正其銀即日親手收足其山國即付銀主壹壹名佃他人耕作栽種地依此山國係坤原史手闕於下有立業為本房內諸人等於子並未重此典當他人財物中有不以唯坤原史手已出頭令中見抵當不涉銀主之事自賣契以後永為銀主久遠實業與坤原史手孫半點無干園內有吉穴聽從銀主擇吉這並不敢言說取贖說契契膠貼易生枝節之理此乃係足心願各勿反悔今致有憑立賣契契書序為據在見龍叔世錄中華民國庚辰年拾月吉日立賣契要藍維坤坤原史手中人吳淮西代筆陳鳳英</t>
  </si>
  <si>
    <t xml:space="preserve">31735064607561_001</t>
  </si>
  <si>
    <t xml:space="preserve">31735064607561</t>
  </si>
  <si>
    <t xml:space="preserve">1917</t>
  </si>
  <si>
    <t xml:space="preserve">維衜</t>
  </si>
  <si>
    <t xml:space="preserve">Box 2, Folder 105</t>
  </si>
  <si>
    <t xml:space="preserve">贈侄孫維</t>
  </si>
  <si>
    <t xml:space="preserve">價番銀貳拾柒員正</t>
  </si>
  <si>
    <t xml:space="preserve">番銀</t>
  </si>
  <si>
    <t xml:space="preserve">本增墾頭</t>
  </si>
  <si>
    <t xml:space="preserve">中陳端率</t>
  </si>
  <si>
    <t xml:space="preserve">胞弟</t>
  </si>
  <si>
    <t xml:space="preserve">https://digital.library.pitt.edu/islandora/object/pitt:31735064607561</t>
  </si>
  <si>
    <t xml:space="preserve">立賣斷契贈侄孫維衡原祖上遺下有茄種園雲驛坐址本增墾頭土名竹籃下雲坵載籐書千伍百餘根西至路為界東至青元茄種園為界南至良良園為界北至現為界肆至明白今因要用托中引到贈叔祖公勳懷諸面議賣斷得出價番銀貳拾柒員正每員陸份捌分重其銀即日親手收足其茄種園聽從贈叔祖管業召佃耕作栽種地瓜此茄種園係原祖上遺下實業由本房內諸人無干並未重張典當他人財中有不明係自行抵當不涉贈叔祖之事自賣斷以後永為贈叔祖久遠實業由半點絲毫無干如有因內吉穴聽從贈叔祖擇吉起蓋並不敢言說取贖贖貼另生枝節之理此乃價足心愿各無反悔今故有憑立賣斷契書紙為據在見胞弟維壽維炎從命男長善中華民國丁巳陸年拾月廿日立賣斷契贈侄孫維衡代筆中陳端率禮大和</t>
  </si>
  <si>
    <t xml:space="preserve">31735064607579_001</t>
  </si>
  <si>
    <t xml:space="preserve">31735064607579</t>
  </si>
  <si>
    <t xml:space="preserve">1805/1816</t>
  </si>
  <si>
    <t xml:space="preserve">吳秉鑒</t>
  </si>
  <si>
    <t xml:space="preserve">謝先經</t>
  </si>
  <si>
    <t xml:space="preserve">Box 1, Folder 16</t>
  </si>
  <si>
    <t xml:space="preserve">立轉典契</t>
  </si>
  <si>
    <t xml:space="preserve">嘉慶十年</t>
  </si>
  <si>
    <t xml:space="preserve">吳秉鑄</t>
  </si>
  <si>
    <t xml:space="preserve">鄭長梅</t>
  </si>
  <si>
    <t xml:space="preserve">王氏</t>
  </si>
  <si>
    <t xml:space="preserve">https://digital.library.pitt.edu/islandora/object/pitt:31735064607579</t>
  </si>
  <si>
    <t xml:space="preserve">嘉慶十年六月吉大見卷知契王氏日立轉典契吳秉鑄胞弟秉鈞中見鄭長梅金存國鄭捷登秉筆林學經鄭保涂正</t>
  </si>
  <si>
    <t xml:space="preserve">31735064607579_002</t>
  </si>
  <si>
    <t xml:space="preserve">契</t>
  </si>
  <si>
    <t xml:space="preserve">31735064607587_001</t>
  </si>
  <si>
    <t xml:space="preserve">31735064607587</t>
  </si>
  <si>
    <t xml:space="preserve">1871/1913</t>
  </si>
  <si>
    <t xml:space="preserve">方元慈</t>
  </si>
  <si>
    <t xml:space="preserve">方潮濤</t>
  </si>
  <si>
    <t xml:space="preserve">Box 1, Folder 50</t>
  </si>
  <si>
    <t xml:space="preserve">立賣斷根面全田契</t>
  </si>
  <si>
    <r>
      <rPr>
        <sz val="10"/>
        <rFont val="Noto Sans CJK SC"/>
        <family val="2"/>
      </rPr>
      <t xml:space="preserve">中華民國 年</t>
    </r>
    <r>
      <rPr>
        <sz val="10"/>
        <rFont val="Arial"/>
        <family val="0"/>
        <charset val="1"/>
      </rPr>
      <t xml:space="preserve">; </t>
    </r>
    <r>
      <rPr>
        <sz val="10"/>
        <rFont val="Noto Sans CJK SC"/>
        <family val="2"/>
      </rPr>
      <t xml:space="preserve">中華民國 </t>
    </r>
    <r>
      <rPr>
        <sz val="10"/>
        <rFont val="Arial"/>
        <family val="0"/>
        <charset val="1"/>
      </rPr>
      <t xml:space="preserve">11 </t>
    </r>
    <r>
      <rPr>
        <sz val="10"/>
        <rFont val="Noto Sans CJK SC"/>
        <family val="2"/>
      </rPr>
      <t xml:space="preserve">年</t>
    </r>
    <r>
      <rPr>
        <sz val="10"/>
        <rFont val="Arial"/>
        <family val="0"/>
        <charset val="1"/>
      </rPr>
      <t xml:space="preserve">; </t>
    </r>
    <r>
      <rPr>
        <sz val="10"/>
        <rFont val="Noto Sans CJK SC"/>
        <family val="2"/>
      </rPr>
      <t xml:space="preserve">同治拾年</t>
    </r>
  </si>
  <si>
    <t xml:space="preserve">第方元慈</t>
  </si>
  <si>
    <r>
      <rPr>
        <sz val="10"/>
        <rFont val="Noto Sans CJK SC"/>
        <family val="2"/>
      </rPr>
      <t xml:space="preserve">價一千五百元</t>
    </r>
    <r>
      <rPr>
        <sz val="10"/>
        <rFont val="Arial"/>
        <family val="0"/>
        <charset val="1"/>
      </rPr>
      <t xml:space="preserve">; </t>
    </r>
    <r>
      <rPr>
        <sz val="10"/>
        <rFont val="Noto Sans CJK SC"/>
        <family val="2"/>
      </rPr>
      <t xml:space="preserve">價銀壹百壹拾元正</t>
    </r>
  </si>
  <si>
    <t xml:space="preserve">二號不動產面積二畝四至東至南至西</t>
  </si>
  <si>
    <t xml:space="preserve">根面全田</t>
  </si>
  <si>
    <t xml:space="preserve">族叔</t>
  </si>
  <si>
    <t xml:space="preserve">魏佳</t>
  </si>
  <si>
    <t xml:space="preserve">母親</t>
  </si>
  <si>
    <t xml:space="preserve">嫂 趙氏</t>
  </si>
  <si>
    <r>
      <rPr>
        <sz val="10"/>
        <rFont val="Noto Sans CJK SC"/>
        <family val="2"/>
      </rPr>
      <t xml:space="preserve">單 契 斷 賣 </t>
    </r>
    <r>
      <rPr>
        <sz val="10"/>
        <rFont val="Arial"/>
        <family val="0"/>
        <charset val="1"/>
      </rPr>
      <t xml:space="preserve">| </t>
    </r>
    <r>
      <rPr>
        <sz val="10"/>
        <rFont val="Noto Sans CJK SC"/>
        <family val="2"/>
      </rPr>
      <t xml:space="preserve">福建省政府財政廳頒發閩侯縣已稅契驗契證</t>
    </r>
  </si>
  <si>
    <t xml:space="preserve">福建省政府財政廳</t>
  </si>
  <si>
    <r>
      <rPr>
        <sz val="10"/>
        <rFont val="Noto Sans CJK SC"/>
        <family val="2"/>
      </rPr>
      <t xml:space="preserve">業戶</t>
    </r>
    <r>
      <rPr>
        <sz val="10"/>
        <rFont val="Arial"/>
        <family val="0"/>
        <charset val="1"/>
      </rPr>
      <t xml:space="preserve">; </t>
    </r>
    <r>
      <rPr>
        <sz val="10"/>
        <rFont val="Noto Sans CJK SC"/>
        <family val="2"/>
      </rPr>
      <t xml:space="preserve">住址</t>
    </r>
  </si>
  <si>
    <t xml:space="preserve">https://digital.library.pitt.edu/islandora/object/pitt:31735064607587</t>
  </si>
  <si>
    <r>
      <rPr>
        <sz val="10"/>
        <rFont val="Noto Sans CJK SC"/>
        <family val="2"/>
      </rPr>
      <t xml:space="preserve">單契斷賣中華民國年拾壹月卷拾日拾證方濃官原價銀紙價實銀兩共已如數收訖西至北至坐向橫丈尺直丈尺中東水湯北督催處右給業戶潮青准此福建省政府財政廳頒發閩侯縣已稅契驗契證茲為整理契稅，體卹人民，保障產權起見，特定驗契辦法，凡屬田園屋地各類不動產，已稅未稅契據，均應一律投驗，填給驗契證，已稅之紅契，不收驗費，未稅之白契，無論典賣及產價多寡，每張祇收驗契費銀壹元，短此驗契，粘有驗契證者，方為有效。非經買賣轉移，不再徵稅。業主姓名潮青業主住址閩侯不動產種類田不動產坐落二號不動產面積二畝四至東至南至西至北至畝分契分契等則賦額地丁糧米產價一百一十五千六業主姓名潮青中人姓名潮青契價一千五百元其他此契係</t>
    </r>
    <r>
      <rPr>
        <sz val="10"/>
        <rFont val="Arial"/>
        <family val="0"/>
        <charset val="1"/>
      </rPr>
      <t xml:space="preserve">1917</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11</t>
    </r>
    <r>
      <rPr>
        <sz val="10"/>
        <rFont val="Noto Sans CJK SC"/>
        <family val="2"/>
      </rPr>
      <t xml:space="preserve">日人此處蓋財政廳驗契證開份此處蓋財政廳驗契證開份此處蓋財政廳驗契證開份中華民國</t>
    </r>
    <r>
      <rPr>
        <sz val="10"/>
        <rFont val="Arial"/>
        <family val="0"/>
        <charset val="1"/>
      </rPr>
      <t xml:space="preserve">11</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11</t>
    </r>
    <r>
      <rPr>
        <sz val="10"/>
        <rFont val="Noto Sans CJK SC"/>
        <family val="2"/>
      </rPr>
      <t xml:space="preserve">日第</t>
    </r>
    <r>
      <rPr>
        <sz val="10"/>
        <rFont val="Arial"/>
        <family val="0"/>
        <charset val="1"/>
      </rPr>
      <t xml:space="preserve">41740</t>
    </r>
    <r>
      <rPr>
        <sz val="10"/>
        <rFont val="Noto Sans CJK SC"/>
        <family val="2"/>
      </rPr>
      <t xml:space="preserve">號此種已稅契驗契證收驗費閩侯縣三此張填給業主粘連原契合業同治拾年拾壹月吉日立賣斷根面全田契第方元慈鑒代筆魏佳謹啟在見母親許氏嫂趙氏中人族叔濃官立賣斷根面全田契第方元慈原承父閩書份下有根面全田委原糧銀三十九部壹甲方道戶下又掛三十八部四圍八甲方福昌戶下又掛三十八部壹圍六甲方永平戶下銀照票例科繳應掌無異今因別置托中將此田統斷與兄潮青處永遠為業云云言議本日賣斷出田價銀壹百壹拾元正其錢即日全中收足其田即聽兄掌管新作定納糧色弟自賣斷之後價足心慰永斷萬無向後永不得用生枝即以此田係弟承父閩書份下為業與本別居親族人等無干亦未曾重張回當他人財物如有來應不係弟祇當與兄無干兩相允應各無反悔今欲有憑立賣斷根面全田契壹紙付現為照其憑契因洪水陸等朽腐無可徵付</t>
    </r>
  </si>
  <si>
    <t xml:space="preserve">31735064607587_002</t>
  </si>
  <si>
    <t xml:space="preserve">同治拾年</t>
  </si>
  <si>
    <t xml:space="preserve">弟方元慈</t>
  </si>
  <si>
    <t xml:space="preserve">價錢壹百壹拾伍千文正</t>
  </si>
  <si>
    <t xml:space="preserve">侯邑三十九都</t>
  </si>
  <si>
    <t xml:space="preserve">圳仔墘</t>
  </si>
  <si>
    <t xml:space="preserve">族叔濃官</t>
  </si>
  <si>
    <t xml:space="preserve">孫佳亨</t>
  </si>
  <si>
    <t xml:space="preserve">母親許氏</t>
  </si>
  <si>
    <r>
      <rPr>
        <sz val="10"/>
        <rFont val="Noto Sans CJK SC"/>
        <family val="2"/>
      </rPr>
      <t xml:space="preserve">母親許氏</t>
    </r>
    <r>
      <rPr>
        <sz val="10"/>
        <rFont val="Arial"/>
        <family val="0"/>
        <charset val="1"/>
      </rPr>
      <t xml:space="preserve">; </t>
    </r>
    <r>
      <rPr>
        <sz val="10"/>
        <rFont val="Noto Sans CJK SC"/>
        <family val="2"/>
      </rPr>
      <t xml:space="preserve">嫂趙氏</t>
    </r>
  </si>
  <si>
    <r>
      <rPr>
        <sz val="10"/>
        <rFont val="Noto Sans CJK SC"/>
        <family val="2"/>
      </rPr>
      <t xml:space="preserve">此立賣斷根面全田契弟方元慈原承父閭書份下有根面全田坐落侯邑三十九都地方土名圳仔墘田大小丞坊官犬式畝式分零糧掛三十九都壹甲方道戶下又掛三十八都四圖八甲方福昌戶下又掛三十八都壹圖六甲方永平戶下銀米照縣例科派應掌無異今因別置托中將此田統斷與兄潮壽處永遠為業三面言議本月賣斷出田價錢壹百壹拾伍千文正其錢即日全中收足其田即聽兄掌管耕作完納糧色弟自賣斷之後價足心慈永斷葛藤自後永不得別生枝節但此田係弟承父閭書份下物業與本別房親疎人等無干亦未曾重張曲當他人財物如有來應不係弟抵當與兄無干兩相允慈各無反悔今欲有憑立賣斷根面全田契壹紙付執為照其愿契因洪水陵厝朽腐無可徵付中人族叔濃官在見母親許氏嫂趙氏</t>
    </r>
    <r>
      <rPr>
        <sz val="10"/>
        <rFont val="Arial"/>
        <family val="0"/>
        <charset val="1"/>
      </rPr>
      <t xml:space="preserve">Handwrittensignatureormark.</t>
    </r>
    <r>
      <rPr>
        <sz val="10"/>
        <rFont val="Noto Sans CJK SC"/>
        <family val="2"/>
      </rPr>
      <t xml:space="preserve">同治拾年拾壹月吉日立賣斷根面全田契弟方元慈代筆孫佳亨承林</t>
    </r>
  </si>
  <si>
    <t xml:space="preserve">31735064607587_003</t>
  </si>
  <si>
    <r>
      <rPr>
        <sz val="10"/>
        <rFont val="Noto Sans CJK SC"/>
        <family val="2"/>
      </rPr>
      <t xml:space="preserve">同治拾年</t>
    </r>
    <r>
      <rPr>
        <sz val="10"/>
        <rFont val="Arial"/>
        <family val="0"/>
        <charset val="1"/>
      </rPr>
      <t xml:space="preserve">; </t>
    </r>
    <r>
      <rPr>
        <sz val="10"/>
        <rFont val="Noto Sans CJK SC"/>
        <family val="2"/>
      </rPr>
      <t xml:space="preserve">中華民國 貳年</t>
    </r>
  </si>
  <si>
    <t xml:space="preserve">價銀兩申銀壹百壹拾伍元</t>
  </si>
  <si>
    <t xml:space="preserve">銀元</t>
  </si>
  <si>
    <t xml:space="preserve">閩侯縣三九都圳仔地</t>
  </si>
  <si>
    <r>
      <rPr>
        <sz val="10"/>
        <rFont val="Noto Sans CJK SC"/>
        <family val="2"/>
      </rPr>
      <t xml:space="preserve">賣 斷 契 單 </t>
    </r>
    <r>
      <rPr>
        <sz val="10"/>
        <rFont val="Arial"/>
        <family val="0"/>
        <charset val="1"/>
      </rPr>
      <t xml:space="preserve">| </t>
    </r>
    <r>
      <rPr>
        <sz val="10"/>
        <rFont val="Noto Sans CJK SC"/>
        <family val="2"/>
      </rPr>
      <t xml:space="preserve">福建國稅廳籌備處</t>
    </r>
  </si>
  <si>
    <t xml:space="preserve">福建國稅廳籌備處</t>
  </si>
  <si>
    <t xml:space="preserve">方潮清</t>
  </si>
  <si>
    <t xml:space="preserve">驗字第萬二千四百六十八號</t>
  </si>
  <si>
    <t xml:space="preserve">賣斷契單福建國稅廳籌備處給發契單十案奉財政部電劃一契紙章程內開本章程施行以前成立之不動產舊契無論已稅契未稅契均一律限期呈驗逾限不呈驗者於訴訟時不能作為憑據一併函知司法機關認真理以為匿驗者或等因奉此當經擬定分別徵收方法已稅之舊契每張收紙價壹元未稅之舊契每產價百元收紙價壹元其光復後新契已稅者不收紙價酌定正限三個月餘限兩個月逾期呈驗者分別加徵嚴罰經已電奉財政部核辦並通飭遵照在案今據閩侯縣業戶方潮清於清同治拾年拾二月日買受先慈田地貳畝分界坐落閩侯縣三九都圳仔地地方東至西至北至坐落坐向橫丈尺直丈尺中證方濃官原價銀兩申銀壹百壹拾伍元原契未稅遵章依限呈驗應納紙價壹元貳角半已如數收訖合填契單粘連原契印給收執管業須至契單者東水湯井銀元北督催處馬官右給業戶方潮清准此中華民國貳年拾壹月叁拾日給驗字第萬二千四百六十八號</t>
  </si>
  <si>
    <t xml:space="preserve">31735064607587_004</t>
  </si>
  <si>
    <r>
      <rPr>
        <sz val="10"/>
        <rFont val="Noto Sans CJK SC"/>
        <family val="2"/>
      </rPr>
      <t xml:space="preserve">中華民國 </t>
    </r>
    <r>
      <rPr>
        <sz val="10"/>
        <rFont val="Arial"/>
        <family val="0"/>
        <charset val="1"/>
      </rPr>
      <t xml:space="preserve">41 </t>
    </r>
    <r>
      <rPr>
        <sz val="10"/>
        <rFont val="Noto Sans CJK SC"/>
        <family val="2"/>
      </rPr>
      <t xml:space="preserve">年</t>
    </r>
  </si>
  <si>
    <r>
      <rPr>
        <sz val="10"/>
        <rFont val="Arial"/>
        <family val="0"/>
        <charset val="1"/>
      </rPr>
      <t xml:space="preserve">...</t>
    </r>
    <r>
      <rPr>
        <sz val="10"/>
        <rFont val="Noto Sans CJK SC"/>
        <family val="2"/>
      </rPr>
      <t xml:space="preserve">係</t>
    </r>
    <r>
      <rPr>
        <sz val="10"/>
        <rFont val="Arial"/>
        <family val="0"/>
        <charset val="1"/>
      </rPr>
      <t xml:space="preserve">...</t>
    </r>
    <r>
      <rPr>
        <sz val="10"/>
        <rFont val="Noto Sans CJK SC"/>
        <family val="2"/>
      </rPr>
      <t xml:space="preserve">東</t>
    </r>
    <r>
      <rPr>
        <sz val="10"/>
        <rFont val="Arial"/>
        <family val="0"/>
        <charset val="1"/>
      </rPr>
      <t xml:space="preserve">...</t>
    </r>
    <r>
      <rPr>
        <sz val="10"/>
        <rFont val="Noto Sans CJK SC"/>
        <family val="2"/>
      </rPr>
      <t xml:space="preserve">者</t>
    </r>
    <r>
      <rPr>
        <sz val="10"/>
        <rFont val="Arial"/>
        <family val="0"/>
        <charset val="1"/>
      </rPr>
      <t xml:space="preserve">...</t>
    </r>
    <r>
      <rPr>
        <sz val="10"/>
        <rFont val="Noto Sans CJK SC"/>
        <family val="2"/>
      </rPr>
      <t xml:space="preserve">博</t>
    </r>
  </si>
  <si>
    <r>
      <rPr>
        <sz val="10"/>
        <rFont val="Noto Sans CJK SC"/>
        <family val="2"/>
      </rPr>
      <t xml:space="preserve">此處粘連原契騎縫加蓋驗契鈐記此處蓋財政廳驗契證關防此處蓋縣府印第區區長簽名蓋章中華民國</t>
    </r>
    <r>
      <rPr>
        <sz val="10"/>
        <rFont val="Arial"/>
        <family val="0"/>
        <charset val="1"/>
      </rPr>
      <t xml:space="preserve">41</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11</t>
    </r>
    <r>
      <rPr>
        <sz val="10"/>
        <rFont val="Noto Sans CJK SC"/>
        <family val="2"/>
      </rPr>
      <t xml:space="preserve">日第</t>
    </r>
    <r>
      <rPr>
        <sz val="10"/>
        <rFont val="Arial"/>
        <family val="0"/>
        <charset val="1"/>
      </rPr>
      <t xml:space="preserve">49740</t>
    </r>
    <r>
      <rPr>
        <sz val="10"/>
        <rFont val="Noto Sans CJK SC"/>
        <family val="2"/>
      </rPr>
      <t xml:space="preserve">號第保保長或鄉長簽名蓋章此種已稅契驗契證收驗費閩侯縣三此張填給業主粘連原契管業日買</t>
    </r>
    <r>
      <rPr>
        <sz val="10"/>
        <rFont val="Arial"/>
        <family val="0"/>
        <charset val="1"/>
      </rPr>
      <t xml:space="preserve">...</t>
    </r>
    <r>
      <rPr>
        <sz val="10"/>
        <rFont val="Noto Sans CJK SC"/>
        <family val="2"/>
      </rPr>
      <t xml:space="preserve">慈田</t>
    </r>
    <r>
      <rPr>
        <sz val="10"/>
        <rFont val="Arial"/>
        <family val="0"/>
        <charset val="1"/>
      </rPr>
      <t xml:space="preserve">...</t>
    </r>
    <r>
      <rPr>
        <sz val="10"/>
        <rFont val="Noto Sans CJK SC"/>
        <family val="2"/>
      </rPr>
      <t xml:space="preserve">畝分</t>
    </r>
    <r>
      <rPr>
        <sz val="10"/>
        <rFont val="Arial"/>
        <family val="0"/>
        <charset val="1"/>
      </rPr>
      <t xml:space="preserve">...</t>
    </r>
    <r>
      <rPr>
        <sz val="10"/>
        <rFont val="Noto Sans CJK SC"/>
        <family val="2"/>
      </rPr>
      <t xml:space="preserve">坐落</t>
    </r>
    <r>
      <rPr>
        <sz val="10"/>
        <rFont val="Arial"/>
        <family val="0"/>
        <charset val="1"/>
      </rPr>
      <t xml:space="preserve">...</t>
    </r>
    <r>
      <rPr>
        <sz val="10"/>
        <rFont val="Noto Sans CJK SC"/>
        <family val="2"/>
      </rPr>
      <t xml:space="preserve">係</t>
    </r>
    <r>
      <rPr>
        <sz val="10"/>
        <rFont val="Arial"/>
        <family val="0"/>
        <charset val="1"/>
      </rPr>
      <t xml:space="preserve">...</t>
    </r>
    <r>
      <rPr>
        <sz val="10"/>
        <rFont val="Noto Sans CJK SC"/>
        <family val="2"/>
      </rPr>
      <t xml:space="preserve">東</t>
    </r>
    <r>
      <rPr>
        <sz val="10"/>
        <rFont val="Arial"/>
        <family val="0"/>
        <charset val="1"/>
      </rPr>
      <t xml:space="preserve">...</t>
    </r>
    <r>
      <rPr>
        <sz val="10"/>
        <rFont val="Noto Sans CJK SC"/>
        <family val="2"/>
      </rPr>
      <t xml:space="preserve">者</t>
    </r>
    <r>
      <rPr>
        <sz val="10"/>
        <rFont val="Arial"/>
        <family val="0"/>
        <charset val="1"/>
      </rPr>
      <t xml:space="preserve">...</t>
    </r>
    <r>
      <rPr>
        <sz val="10"/>
        <rFont val="Noto Sans CJK SC"/>
        <family val="2"/>
      </rPr>
      <t xml:space="preserve">博</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身</t>
    </r>
    <r>
      <rPr>
        <sz val="10"/>
        <rFont val="Arial"/>
        <family val="0"/>
        <charset val="1"/>
      </rPr>
      <t xml:space="preserve">...</t>
    </r>
    <r>
      <rPr>
        <sz val="10"/>
        <rFont val="Noto Sans CJK SC"/>
        <family val="2"/>
      </rPr>
      <t xml:space="preserve">至</t>
    </r>
    <r>
      <rPr>
        <sz val="10"/>
        <rFont val="Arial"/>
        <family val="0"/>
        <charset val="1"/>
      </rPr>
      <t xml:space="preserve">...</t>
    </r>
  </si>
  <si>
    <t xml:space="preserve">31735064607595_001</t>
  </si>
  <si>
    <t xml:space="preserve">31735064607595</t>
  </si>
  <si>
    <t xml:space="preserve">1932</t>
  </si>
  <si>
    <t xml:space="preserve">劉振萬</t>
  </si>
  <si>
    <t xml:space="preserve">劉紀臣</t>
  </si>
  <si>
    <t xml:space="preserve">Box 3, Folder 145</t>
  </si>
  <si>
    <t xml:space="preserve">立賣新契</t>
  </si>
  <si>
    <t xml:space="preserve">中華民國二十一年</t>
  </si>
  <si>
    <t xml:space="preserve">劉振萬劉</t>
  </si>
  <si>
    <t xml:space="preserve">價大洋律拾肆員正</t>
  </si>
  <si>
    <t xml:space="preserve">叔培貴鑒</t>
  </si>
  <si>
    <t xml:space="preserve">姪維興叩</t>
  </si>
  <si>
    <t xml:space="preserve">https://digital.library.pitt.edu/islandora/object/pitt:31735064607595</t>
  </si>
  <si>
    <t xml:space="preserve">立賣新契劉振萬自已手置有民田報面全壺號坐地本鄉地方去名東埔頭並舊園厝迹田式均受種棟外其私照縣例斜派立立劉汝俊不台因要用稅中將此田賣斷契劉紀臣處永遠為業三面言改即日約記田斷價大洋律拾肆員正其銀隨契交足其田下聽臣維佃永遠耕作業理納租差但此田係萬自已物業與別契于並若重張與賣他人財物以及來歷不同皆情若有些情萬出拆不清臣之事自賣斷之後李筆千秋各彬欣喜不得異言亦不得別生枝節之理沿口若遇言教有過立賣斷契壹紙永作為照中華民國二十一年十一月日立賣新契劉振萬劉左見姪維興叩中人叔培貴鑒秉筆中弟振財劉劉振萬</t>
  </si>
  <si>
    <t xml:space="preserve">31735064607595_002</t>
  </si>
  <si>
    <r>
      <rPr>
        <sz val="10"/>
        <rFont val="Noto Sans CJK SC"/>
        <family val="2"/>
      </rPr>
      <t xml:space="preserve">契稅暫行條例摘 </t>
    </r>
    <r>
      <rPr>
        <sz val="10"/>
        <rFont val="Arial"/>
        <family val="0"/>
        <charset val="1"/>
      </rPr>
      <t xml:space="preserve">| </t>
    </r>
    <r>
      <rPr>
        <sz val="10"/>
        <rFont val="Noto Sans CJK SC"/>
        <family val="2"/>
      </rPr>
      <t xml:space="preserve">要： </t>
    </r>
    <r>
      <rPr>
        <sz val="10"/>
        <rFont val="Arial"/>
        <family val="0"/>
        <charset val="1"/>
      </rPr>
      <t xml:space="preserve">| </t>
    </r>
    <r>
      <rPr>
        <sz val="10"/>
        <rFont val="Noto Sans CJK SC"/>
        <family val="2"/>
      </rPr>
      <t xml:space="preserve">財政部福建省 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田賦管理處賣契本契</t>
    </r>
  </si>
  <si>
    <r>
      <rPr>
        <sz val="10"/>
        <rFont val="Noto Sans CJK SC"/>
        <family val="2"/>
      </rPr>
      <t xml:space="preserve">契稅暫行條例摘要：一、契稅稅率規定如左：一、賣契稅為其契價百分之十二、典契稅為其契價百分之六三、交換契稅為其契價百分之四四、贈與契稅為其契價百分之十二、契紙工本費每張納國幣二元三、完納契稅應于契約成立後三個月內為之逾限不納者應責令補納并科以應納契稅百分之十之罰鍰其後每再逾期二個月遞加百分之十至達納稅額之同數為止四、繳納契稅時如遇匿報或低估契價應令另換契紙按實改正補繳短納稅額並科以左例之罰鍰甲、匿報或低估契價未滿百分之二十者其短納稅額之半數乙、匿報或低估契價百分之二十以上未滿百分之五十者其短納稅額之同數丙、匿報或低估契價百分之五十以上者其短納稅額之二倍財政部福建省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田賦管理處賣契本契</t>
    </r>
  </si>
  <si>
    <t xml:space="preserve">31735064607603_001</t>
  </si>
  <si>
    <t xml:space="preserve">31735064607603</t>
  </si>
  <si>
    <t xml:space="preserve">福建省</t>
  </si>
  <si>
    <t xml:space="preserve">Box 4, Folder 211</t>
  </si>
  <si>
    <t xml:space="preserve">中華民國 年</t>
  </si>
  <si>
    <t xml:space="preserve">福建省人民政府</t>
  </si>
  <si>
    <t xml:space="preserve">權狀禮字第三三號</t>
  </si>
  <si>
    <t xml:space="preserve">https://digital.library.pitt.edu/islandora/object/pitt:31735064607603</t>
  </si>
  <si>
    <r>
      <rPr>
        <sz val="10"/>
        <rFont val="Noto Sans CJK SC"/>
        <family val="2"/>
      </rPr>
      <t xml:space="preserve">省</t>
    </r>
    <r>
      <rPr>
        <sz val="10"/>
        <rFont val="Arial"/>
        <family val="0"/>
        <charset val="1"/>
      </rPr>
      <t xml:space="preserve">-III-20-366</t>
    </r>
    <r>
      <rPr>
        <sz val="10"/>
        <rFont val="Noto Sans CJK SC"/>
        <family val="2"/>
      </rPr>
      <t xml:space="preserve">實測戶地圖租經國家福建省人民政府委員會福建省會第二區第二十四段第三四號宅地面積。畝口分八厘一毫。然所有權狀禮字第三三號</t>
    </r>
    <r>
      <rPr>
        <sz val="10"/>
        <rFont val="Arial"/>
        <family val="0"/>
        <charset val="1"/>
      </rPr>
      <t xml:space="preserve">[]</t>
    </r>
    <r>
      <rPr>
        <sz val="10"/>
        <rFont val="Noto Sans CJK SC"/>
        <family val="2"/>
      </rPr>
      <t xml:space="preserve">中華民國年月日福建省政府民政廳發一比五尺百分之</t>
    </r>
  </si>
  <si>
    <t xml:space="preserve">31735064607611_001</t>
  </si>
  <si>
    <t xml:space="preserve">31735064607611</t>
  </si>
  <si>
    <t xml:space="preserve">1925</t>
  </si>
  <si>
    <t xml:space="preserve">張銓銓</t>
  </si>
  <si>
    <t xml:space="preserve">鄒道明</t>
  </si>
  <si>
    <t xml:space="preserve">Box 3, Folder 123</t>
  </si>
  <si>
    <t xml:space="preserve">立賣與契</t>
  </si>
  <si>
    <t xml:space="preserve">價銀肆拾兩正</t>
  </si>
  <si>
    <t xml:space="preserve">https://digital.library.pitt.edu/islandora/object/pitt:31735064607611</t>
  </si>
  <si>
    <t xml:space="preserve">立賣與契張銓銓承嗣父遺下閩分份下原有厝屋三柱式棚排重座共成式堵上有樑椽磚瓦天天下有地基石地地內有門懸戶棚地棚板粒一切具全橫濶至我丈式尺深至重丈四尺東才至前家屋右至游家路前至鄭家簷坪後至蘇家墻坪六至其俱明白厝角水井通用甲座產閩邑嘉崇里文山鋪秋龍社地方其屋歷掌無異今因別用將此厝屋托中向賣與鄒道明處永遠為業三面言議即日得訖賣與王之重價銀肆拾兩正紋廣其銀即日收足其屋即聽買主掌管前去從便做作聽從買主之事與銓本點無干但此屋係銓承嗣父遺下閩分份下已業與房內親疎伯叔兄弟侄輩本點無干亦未曾重張典掛他人財物以及未歷不明各等情如有此情係銓承嗣父當與買主無涉之事賣與之後價足心愿不得別生製節求斷其永不得異言兩相心愿各無反悔今欵有憑立主斷契委低付此永為憑</t>
  </si>
  <si>
    <t xml:space="preserve">31735064607611_002</t>
  </si>
  <si>
    <t xml:space="preserve">民國二十三年</t>
  </si>
  <si>
    <r>
      <rPr>
        <sz val="10"/>
        <rFont val="Noto Sans CJK SC"/>
        <family val="2"/>
      </rPr>
      <t xml:space="preserve">賣 </t>
    </r>
    <r>
      <rPr>
        <sz val="10"/>
        <rFont val="Arial"/>
        <family val="0"/>
        <charset val="1"/>
      </rPr>
      <t xml:space="preserve">| </t>
    </r>
    <r>
      <rPr>
        <sz val="10"/>
        <rFont val="Noto Sans CJK SC"/>
        <family val="2"/>
      </rPr>
      <t xml:space="preserve">新頒契紙 </t>
    </r>
    <r>
      <rPr>
        <sz val="10"/>
        <rFont val="Arial"/>
        <family val="0"/>
        <charset val="1"/>
      </rPr>
      <t xml:space="preserve">| </t>
    </r>
    <r>
      <rPr>
        <sz val="10"/>
        <rFont val="Noto Sans CJK SC"/>
        <family val="2"/>
      </rPr>
      <t xml:space="preserve">吳 </t>
    </r>
    <r>
      <rPr>
        <sz val="10"/>
        <rFont val="Arial"/>
        <family val="0"/>
        <charset val="1"/>
      </rPr>
      <t xml:space="preserve">| </t>
    </r>
    <r>
      <rPr>
        <sz val="10"/>
        <rFont val="Noto Sans CJK SC"/>
        <family val="2"/>
      </rPr>
      <t xml:space="preserve">列則摘要</t>
    </r>
  </si>
  <si>
    <t xml:space="preserve">號賣新頒契紙吳買王姓名儲商百壽協廣軒大種類牆屋價壹千應納稅額原契幾張立契年月日民國二十三年拾列則摘要</t>
  </si>
  <si>
    <t xml:space="preserve">31735064607629_001</t>
  </si>
  <si>
    <t xml:space="preserve">31735064607629</t>
  </si>
  <si>
    <t xml:space="preserve">1898</t>
  </si>
  <si>
    <t xml:space="preserve">蘇章林</t>
  </si>
  <si>
    <t xml:space="preserve">劉仕懋</t>
  </si>
  <si>
    <t xml:space="preserve">Box 2, Folder 80</t>
  </si>
  <si>
    <t xml:space="preserve">立賣契</t>
  </si>
  <si>
    <t xml:space="preserve">光緒貳拾肆年</t>
  </si>
  <si>
    <t xml:space="preserve">價紋銀叁拾貳兩正</t>
  </si>
  <si>
    <r>
      <rPr>
        <sz val="10"/>
        <rFont val="Noto Sans CJK SC"/>
        <family val="2"/>
      </rPr>
      <t xml:space="preserve">紋銀</t>
    </r>
    <r>
      <rPr>
        <sz val="10"/>
        <rFont val="Arial"/>
        <family val="0"/>
        <charset val="1"/>
      </rPr>
      <t xml:space="preserve">; </t>
    </r>
    <r>
      <rPr>
        <sz val="10"/>
        <rFont val="Noto Sans CJK SC"/>
        <family val="2"/>
      </rPr>
      <t xml:space="preserve">洋銀</t>
    </r>
  </si>
  <si>
    <t xml:space="preserve">濠墩門前</t>
  </si>
  <si>
    <t xml:space="preserve">皮骨</t>
  </si>
  <si>
    <t xml:space="preserve">前來說諭即將其田</t>
  </si>
  <si>
    <t xml:space="preserve">邱宗海</t>
  </si>
  <si>
    <t xml:space="preserve">https://digital.library.pitt.edu/islandora/object/pitt:31735064607629</t>
  </si>
  <si>
    <t xml:space="preserve">立賣契人蘇章林承祖遺下置有皮骨分定晚田坐落濠墩門前土名溪壁洲確下外郎目上至陳宅田下至楊宅田右至陳宅田右至本宅田為界原計大苗糙米壹籮七斛六管正該載民產壹畝零今來俱出四至產畝明白茲因缺少銀兩應用情愿托得中人前來說諭即將其田盡底立契出賣與長布村劉仕懋名下邊為業當日三面議土風時值契價紋銀叁拾貳兩正足成契之日一頓現交未欠分厘並非準折債貨之類及無重復興賣之理所賣其田的係自己分定物業與親房伯叔兄弟侄人等各無相涉自賣之後其田言議叁冬取贖办得原價即便退還如無原價任從買主營業收租賣者不敢阻攔此係前言後定兩家甘允各無後悔再無異說恐口無憑今欲有憑敬立賣契為照當日計批上手契卷與網房相共不便照後日尋出不堪行用一存太里之番五甲蘇廷林戶名當官完糧不得丟累存據當日實得契價紋銀叁拾貳兩正足訖另批中書洋銀壹兩伍錢貳分正光緒貳拾肆年十一月廿三賣契人蘇章林見銀人蘇章林說諭人劉仕德代筆人邱宗海蘇章林</t>
  </si>
  <si>
    <t xml:space="preserve">31735064607637_001</t>
  </si>
  <si>
    <t xml:space="preserve">31735064607637</t>
  </si>
  <si>
    <t xml:space="preserve">1945</t>
  </si>
  <si>
    <t xml:space="preserve">永泰（永福）</t>
  </si>
  <si>
    <t xml:space="preserve">福建省永泰縣</t>
  </si>
  <si>
    <t xml:space="preserve">葉文怡</t>
  </si>
  <si>
    <t xml:space="preserve">Box 3, Folder 167</t>
  </si>
  <si>
    <r>
      <rPr>
        <sz val="10"/>
        <rFont val="Noto Sans CJK SC"/>
        <family val="2"/>
      </rPr>
      <t xml:space="preserve">支款凭证</t>
    </r>
    <r>
      <rPr>
        <sz val="10"/>
        <rFont val="Arial"/>
        <family val="0"/>
        <charset val="1"/>
      </rPr>
      <t xml:space="preserve">(</t>
    </r>
    <r>
      <rPr>
        <sz val="10"/>
        <rFont val="Noto Sans CJK SC"/>
        <family val="2"/>
      </rPr>
      <t xml:space="preserve">代支出传票</t>
    </r>
    <r>
      <rPr>
        <sz val="10"/>
        <rFont val="Arial"/>
        <family val="0"/>
        <charset val="1"/>
      </rPr>
      <t xml:space="preserve">)</t>
    </r>
  </si>
  <si>
    <t xml:space="preserve">https://digital.library.pitt.edu/islandora/object/pitt:31735064607637</t>
  </si>
  <si>
    <r>
      <rPr>
        <sz val="10"/>
        <rFont val="Noto Sans CJK SC"/>
        <family val="2"/>
      </rPr>
      <t xml:space="preserve">支款凭证</t>
    </r>
    <r>
      <rPr>
        <sz val="10"/>
        <rFont val="Arial"/>
        <family val="0"/>
        <charset val="1"/>
      </rPr>
      <t xml:space="preserve">(</t>
    </r>
    <r>
      <rPr>
        <sz val="10"/>
        <rFont val="Noto Sans CJK SC"/>
        <family val="2"/>
      </rPr>
      <t xml:space="preserve">代支出传票</t>
    </r>
    <r>
      <rPr>
        <sz val="10"/>
        <rFont val="Arial"/>
        <family val="0"/>
        <charset val="1"/>
      </rPr>
      <t xml:space="preserve">)</t>
    </r>
    <r>
      <rPr>
        <sz val="10"/>
        <rFont val="Noto Sans CJK SC"/>
        <family val="2"/>
      </rPr>
      <t xml:space="preserve">总第号填发日期</t>
    </r>
    <r>
      <rPr>
        <sz val="10"/>
        <rFont val="Arial"/>
        <family val="0"/>
        <charset val="1"/>
      </rPr>
      <t xml:space="preserve">196</t>
    </r>
    <r>
      <rPr>
        <sz val="10"/>
        <rFont val="Noto Sans CJK SC"/>
        <family val="2"/>
      </rPr>
      <t xml:space="preserve">年月日分第号借方科目农业收入转帐日期</t>
    </r>
    <r>
      <rPr>
        <sz val="10"/>
        <rFont val="Arial"/>
        <family val="0"/>
        <charset val="1"/>
      </rPr>
      <t xml:space="preserve">1963</t>
    </r>
    <r>
      <rPr>
        <sz val="10"/>
        <rFont val="Noto Sans CJK SC"/>
        <family val="2"/>
      </rPr>
      <t xml:space="preserve">年</t>
    </r>
    <r>
      <rPr>
        <sz val="10"/>
        <rFont val="Arial"/>
        <family val="0"/>
        <charset val="1"/>
      </rPr>
      <t xml:space="preserve">2</t>
    </r>
    <r>
      <rPr>
        <sz val="10"/>
        <rFont val="Noto Sans CJK SC"/>
        <family val="2"/>
      </rPr>
      <t xml:space="preserve">月</t>
    </r>
    <r>
      <rPr>
        <sz val="10"/>
        <rFont val="Arial"/>
        <family val="0"/>
        <charset val="1"/>
      </rPr>
      <t xml:space="preserve">18</t>
    </r>
    <r>
      <rPr>
        <sz val="10"/>
        <rFont val="Noto Sans CJK SC"/>
        <family val="2"/>
      </rPr>
      <t xml:space="preserve">日对方科目支款单位名称项目内支款人姓名盖章帐号摘要付由</t>
    </r>
    <r>
      <rPr>
        <sz val="10"/>
        <rFont val="Arial"/>
        <family val="0"/>
        <charset val="1"/>
      </rPr>
      <t xml:space="preserve">62</t>
    </r>
    <r>
      <rPr>
        <sz val="10"/>
        <rFont val="Noto Sans CJK SC"/>
        <family val="2"/>
      </rPr>
      <t xml:space="preserve">年收入转入分配金類万千百十元角分金額</t>
    </r>
    <r>
      <rPr>
        <sz val="10"/>
        <rFont val="Arial"/>
        <family val="0"/>
        <charset val="1"/>
      </rPr>
      <t xml:space="preserve">(</t>
    </r>
    <r>
      <rPr>
        <sz val="10"/>
        <rFont val="Noto Sans CJK SC"/>
        <family val="2"/>
      </rPr>
      <t xml:space="preserve">大写</t>
    </r>
    <r>
      <rPr>
        <sz val="10"/>
        <rFont val="Arial"/>
        <family val="0"/>
        <charset val="1"/>
      </rPr>
      <t xml:space="preserve">)</t>
    </r>
    <r>
      <rPr>
        <sz val="10"/>
        <rFont val="Noto Sans CJK SC"/>
        <family val="2"/>
      </rPr>
      <t xml:space="preserve">一万肆仟叁百壹拾元玖角貳分正</t>
    </r>
    <r>
      <rPr>
        <sz val="10"/>
        <rFont val="Arial"/>
        <family val="0"/>
        <charset val="1"/>
      </rPr>
      <t xml:space="preserve">631092</t>
    </r>
    <r>
      <rPr>
        <sz val="10"/>
        <rFont val="Noto Sans CJK SC"/>
        <family val="2"/>
      </rPr>
      <t xml:space="preserve">第一联出納存根付款单位主管会计出納記帳制表</t>
    </r>
  </si>
  <si>
    <t xml:space="preserve">31735064607637_002</t>
  </si>
  <si>
    <t xml:space="preserve">月縣長兼處長副處長</t>
  </si>
  <si>
    <t xml:space="preserve">31735064607637_003</t>
  </si>
  <si>
    <t xml:space="preserve">中華民國三十四年</t>
  </si>
  <si>
    <t xml:space="preserve">基地</t>
  </si>
  <si>
    <r>
      <rPr>
        <sz val="10"/>
        <rFont val="Noto Sans CJK SC"/>
        <family val="2"/>
      </rPr>
      <t xml:space="preserve">梧 字 第 </t>
    </r>
    <r>
      <rPr>
        <sz val="10"/>
        <rFont val="Arial"/>
        <family val="0"/>
        <charset val="1"/>
      </rPr>
      <t xml:space="preserve">3994 </t>
    </r>
    <r>
      <rPr>
        <sz val="10"/>
        <rFont val="Noto Sans CJK SC"/>
        <family val="2"/>
      </rPr>
      <t xml:space="preserve">號 </t>
    </r>
    <r>
      <rPr>
        <sz val="10"/>
        <rFont val="Arial"/>
        <family val="0"/>
        <charset val="1"/>
      </rPr>
      <t xml:space="preserve">| </t>
    </r>
    <r>
      <rPr>
        <sz val="10"/>
        <rFont val="Noto Sans CJK SC"/>
        <family val="2"/>
      </rPr>
      <t xml:space="preserve">福建省永泰縣 土地管業執照</t>
    </r>
  </si>
  <si>
    <t xml:space="preserve">照永泰縣政府</t>
  </si>
  <si>
    <r>
      <rPr>
        <sz val="10"/>
        <rFont val="Noto Sans CJK SC"/>
        <family val="2"/>
      </rPr>
      <t xml:space="preserve">梧字第 </t>
    </r>
    <r>
      <rPr>
        <sz val="10"/>
        <rFont val="Arial"/>
        <family val="0"/>
        <charset val="1"/>
      </rPr>
      <t xml:space="preserve">105 </t>
    </r>
    <r>
      <rPr>
        <sz val="10"/>
        <rFont val="Noto Sans CJK SC"/>
        <family val="2"/>
      </rPr>
      <t xml:space="preserve">號</t>
    </r>
  </si>
  <si>
    <r>
      <rPr>
        <sz val="10"/>
        <rFont val="Noto Sans CJK SC"/>
        <family val="2"/>
      </rPr>
      <t xml:space="preserve">梧字第</t>
    </r>
    <r>
      <rPr>
        <sz val="10"/>
        <rFont val="Arial"/>
        <family val="0"/>
        <charset val="1"/>
      </rPr>
      <t xml:space="preserve">3994</t>
    </r>
    <r>
      <rPr>
        <sz val="10"/>
        <rFont val="Noto Sans CJK SC"/>
        <family val="2"/>
      </rPr>
      <t xml:space="preserve">號福建省永泰縣土地管業執照永泰縣政府為發給土地管業執照事查本縣奉令舉辦土地陳報右記業主地畝業經審核無訛合行填發管業執照以憑管業嗣後如有買賣典當繼承分割合併贈與交換或其他產權移轉時一除典權外一務須持照遵章向本縣田賦機關聲請推收過戶換領新照倘有偽造或私擅塗改按律治罪須至執照者地主姓名土地座落地目等則面積賦額全年收益地價葉文怡梧桐鄉鎮土名橫樓梧字第</t>
    </r>
    <r>
      <rPr>
        <sz val="10"/>
        <rFont val="Arial"/>
        <family val="0"/>
        <charset val="1"/>
      </rPr>
      <t xml:space="preserve">105</t>
    </r>
    <r>
      <rPr>
        <sz val="10"/>
        <rFont val="Noto Sans CJK SC"/>
        <family val="2"/>
      </rPr>
      <t xml:space="preserve">號基地式下</t>
    </r>
    <r>
      <rPr>
        <sz val="10"/>
        <rFont val="Arial"/>
        <family val="0"/>
        <charset val="1"/>
      </rPr>
      <t xml:space="preserve">340</t>
    </r>
    <r>
      <rPr>
        <sz val="10"/>
        <rFont val="Noto Sans CJK SC"/>
        <family val="2"/>
      </rPr>
      <t xml:space="preserve">畝九分捌厘</t>
    </r>
    <r>
      <rPr>
        <sz val="10"/>
        <rFont val="Arial"/>
        <family val="0"/>
        <charset val="1"/>
      </rPr>
      <t xml:space="preserve">0</t>
    </r>
    <r>
      <rPr>
        <sz val="10"/>
        <rFont val="Noto Sans CJK SC"/>
        <family val="2"/>
      </rPr>
      <t xml:space="preserve">元壹角叁分元斤分附記</t>
    </r>
    <r>
      <rPr>
        <sz val="10"/>
        <rFont val="Arial"/>
        <family val="0"/>
        <charset val="1"/>
      </rPr>
      <t xml:space="preserve">[35(top),34(right),17(bottom),and10(</t>
    </r>
    <r>
      <rPr>
        <sz val="10"/>
        <rFont val="Noto Sans CJK SC"/>
        <family val="2"/>
      </rPr>
      <t xml:space="preserve">北</t>
    </r>
    <r>
      <rPr>
        <sz val="10"/>
        <rFont val="Arial"/>
        <family val="0"/>
        <charset val="1"/>
      </rPr>
      <t xml:space="preserve">)</t>
    </r>
    <r>
      <rPr>
        <sz val="10"/>
        <rFont val="Noto Sans CJK SC"/>
        <family val="2"/>
      </rPr>
      <t xml:space="preserve">南</t>
    </r>
    <r>
      <rPr>
        <sz val="10"/>
        <rFont val="Arial"/>
        <family val="0"/>
        <charset val="1"/>
      </rPr>
      <t xml:space="preserve">)</t>
    </r>
    <r>
      <rPr>
        <sz val="10"/>
        <rFont val="Noto Sans CJK SC"/>
        <family val="2"/>
      </rPr>
      <t xml:space="preserve">東</t>
    </r>
    <r>
      <rPr>
        <sz val="10"/>
        <rFont val="Arial"/>
        <family val="0"/>
        <charset val="1"/>
      </rPr>
      <t xml:space="preserve">)</t>
    </r>
    <r>
      <rPr>
        <sz val="10"/>
        <rFont val="Noto Sans CJK SC"/>
        <family val="2"/>
      </rPr>
      <t xml:space="preserve">西</t>
    </r>
    <r>
      <rPr>
        <sz val="10"/>
        <rFont val="Arial"/>
        <family val="0"/>
        <charset val="1"/>
      </rPr>
      <t xml:space="preserve">)totheleft.]</t>
    </r>
    <r>
      <rPr>
        <sz val="10"/>
        <rFont val="Noto Sans CJK SC"/>
        <family val="2"/>
      </rPr>
      <t xml:space="preserve">比例尺</t>
    </r>
    <r>
      <rPr>
        <sz val="10"/>
        <rFont val="Arial"/>
        <family val="0"/>
        <charset val="1"/>
      </rPr>
      <t xml:space="preserve">1:2000</t>
    </r>
    <r>
      <rPr>
        <sz val="10"/>
        <rFont val="Noto Sans CJK SC"/>
        <family val="2"/>
      </rPr>
      <t xml:space="preserve">中華民國三十四年右給葉文怡收執縣長兼處長副處長日</t>
    </r>
  </si>
  <si>
    <t xml:space="preserve">31735064607645_001</t>
  </si>
  <si>
    <t xml:space="preserve">31735064607645</t>
  </si>
  <si>
    <t xml:space="preserve">1891</t>
  </si>
  <si>
    <t xml:space="preserve">林萬開</t>
  </si>
  <si>
    <t xml:space="preserve">Box 2, Folder 74</t>
  </si>
  <si>
    <t xml:space="preserve">立閭書</t>
  </si>
  <si>
    <t xml:space="preserve">林萬開偕</t>
  </si>
  <si>
    <r>
      <rPr>
        <sz val="10"/>
        <rFont val="Noto Sans CJK SC"/>
        <family val="2"/>
      </rPr>
      <t xml:space="preserve">屋宇</t>
    </r>
    <r>
      <rPr>
        <sz val="10"/>
        <rFont val="Arial"/>
        <family val="0"/>
        <charset val="1"/>
      </rPr>
      <t xml:space="preserve">; </t>
    </r>
    <r>
      <rPr>
        <sz val="10"/>
        <rFont val="Noto Sans CJK SC"/>
        <family val="2"/>
      </rPr>
      <t xml:space="preserve">山場</t>
    </r>
  </si>
  <si>
    <t xml:space="preserve">https://digital.library.pitt.edu/islandora/object/pitt:31735064607645</t>
  </si>
  <si>
    <t xml:space="preserve">立閭書林萬開偕弟萬拱等蓋聞棣華競秀四玉相輝荆樹交柯三珠並耀誠盛事也我儀圖之顧藉式好而臚歡自叶雁行之美亦因分勞而折箸尤徵燕翼之周斯一家各凜肩承辛勤共喻即百產亦知掌管子姓長綿矣茲者兄弟商議敬擇良月邀請親友將承父遺物業及手置田園屋宇山場樹木等項除撥長子長孫份外其餘高低相搭肥瘦相兼在祖宗堂前按照福祿壽三房勻作三股均分拈閭為定各掌各業向後不得爭長競短庶幾無負前人貽謀之計抑且以杜後來攘奪之端其宗族之幸多矣伏願自閭分之後各自摒擋須半粟一絲常思儉約五風十雨勿廢勤勞同胞貴有同心還期臂助分產當知分任莫懈躬親兄宜弟弟亦宜兄聯枝衍慶子生孫孫復生子奕葉流馨長發其祥克昌厥後有厚望焉是為序</t>
  </si>
  <si>
    <t xml:space="preserve">31735064607645_002</t>
  </si>
  <si>
    <t xml:space="preserve">錢伍拾文</t>
  </si>
  <si>
    <t xml:space="preserve">計開長子長孫份下一田土名井嘴根面全壺畝叁分水壑壺口一田土名馬路下根面全壺畝式分水壑壺口此二號糧色均立在草市都五甲林鎮戶下一田土名坑裡根面全壺畝水壑壺口此項田貼與福房年例三年施食一年上厝西澗出海各用耗其糧色附在草市都五甲林鎮戶下其田尾所栽松栢楸係為祖墓風水不得砍伐福房份下一厝屋前進二欄年貼納完糧錢伍拾文一厝邊牛欄一堵一典楊定亨厝屋壺欄</t>
  </si>
  <si>
    <t xml:space="preserve">31735064607645_003</t>
  </si>
  <si>
    <r>
      <rPr>
        <sz val="10"/>
        <rFont val="Noto Sans CJK SC"/>
        <family val="2"/>
      </rPr>
      <t xml:space="preserve">壇路根</t>
    </r>
    <r>
      <rPr>
        <sz val="10"/>
        <rFont val="Arial"/>
        <family val="0"/>
        <charset val="1"/>
      </rPr>
      <t xml:space="preserve">; </t>
    </r>
    <r>
      <rPr>
        <sz val="10"/>
        <rFont val="Noto Sans CJK SC"/>
        <family val="2"/>
      </rPr>
      <t xml:space="preserve">長坵根</t>
    </r>
  </si>
  <si>
    <t xml:space="preserve">一草倉馬路松楸下壺欄一田白龍土名根面全式畝壺分零糧色立在三十六都六甲林溥戶下一田白龍土名圓坵根面全捌分零糧色立在三十六都十甲林維豪戶下一田湖尾土名長坵根面全式畝式分零糧色立在三十六都七甲林昌元戶下一田后圳土名四角橫坵根面全捌分零典久溜夾片壑應半壑水用糧色立在三十六都四甲林均戶下一田白龍土名壇路根田式畝伍分年納本鄉王處面租穀叁百伍拾斤一田白龍土名長坵根田壺畝</t>
  </si>
  <si>
    <t xml:space="preserve">31735064607645_004</t>
  </si>
  <si>
    <t xml:space="preserve">價陸拾兩</t>
  </si>
  <si>
    <t xml:space="preserve">田面</t>
  </si>
  <si>
    <t xml:space="preserve">年儀納福城林家面租穀壹百叁拾陸斤一田面租年共叁百柒拾捌斤糧色附在草市都五甲林鎮戶下一田林克江年應各壹百伍拾肆斤現耕林可廷一佃王聯環王聯豪林昌興昌國年應柒拾斤現耕林克品王鳳灼林可廷一田北馬鞍用價陸拾兩年應乾淨穀陸百斤現耕蘇長育此項王梅出閣貼用一糞池馬路厝仔邊壹口一糞池臺前大路邊壹口又糞池地壹塊</t>
  </si>
  <si>
    <t xml:space="preserve">31735064607645_005</t>
  </si>
  <si>
    <t xml:space="preserve">錢肆百文</t>
  </si>
  <si>
    <t xml:space="preserve">祿房份下</t>
  </si>
  <si>
    <t xml:space="preserve">祿房份下一厝屋第三進二櫚披水壺櫚其門路由二進出入喜喪事二進大廳通用年納楊家地租伍拾文一厝屋楊家隔壁壺櫚一草倉祠堂下壺櫚一田湖尾土名水流路根面全叁畝叁分糧色立在三十六都二圖二甲林開戶下又納倪家禾租肆拾斤折錢肆百文一田湖尾土名流道應半根面全壺畝壹分糧色立在三十六都二圖二甲林春戶下又買斷可真典與白龍張家應半田底一田湖尾土名豬蹄坵根面全壺畝叁分典契價壺百兩又借式拾兩糧色立在三十六都二圖四甲林均戶下</t>
  </si>
  <si>
    <t xml:space="preserve">31735064607645_006</t>
  </si>
  <si>
    <t xml:space="preserve">一田后圳土名五二坵根面全壺畝捌分水壑壺口糧色立在三十八都二圖十甲林盛熾戶下一田后圳土名橄欖坵根面全式畝式分零糧色附在林均戶下又納本鄉陳家面租叁百壺拾伍斤一田后圳土名根田陸分年納李家面租壺百斤一田面租年應式百斤糧色附在三十八都林溥戶下一糞池下底園上邊壺口又臺前大路邊壺口又蛇山山頂壺口</t>
  </si>
  <si>
    <t xml:space="preserve">31735064607645_007</t>
  </si>
  <si>
    <t xml:space="preserve">洋中根</t>
  </si>
  <si>
    <t xml:space="preserve">壽房份下</t>
  </si>
  <si>
    <t xml:space="preserve">壽房份下一厝屋第二進壺櫚直透後滴水止年納楊家地租伍拾文其第三進門路聽其出入大廳祿房喜喪事通用一厝屋二進前照壺堵一厝屋祠堂邊壺櫚一田白龍后圳土名燈籠坵根面全叁畝叁分糧色立在三十六都二圖三甲林茂戶下一田白龍壇路土名磨盤根面全式畝糧色立在三十六都二圖四甲林潤之戶下一田湖尾土名長坵頭根面全式畝式分糧色立在三十六都二圖四甲林棟戶下一田湖尾土名洋中根田壺畝捌分</t>
  </si>
  <si>
    <t xml:space="preserve">31735064607645_008</t>
  </si>
  <si>
    <t xml:space="preserve">錢陸拾文</t>
  </si>
  <si>
    <t xml:space="preserve">年納井片亭李家面租式百貳拾肆斤一田面租年應式百肆拾斤糧邑附在平都林灣戶下佃李木韶現耕張慶壽一糞池下底園下邊壺口又白龍張家厝邊壺口又大路邊坊裡壺口又湖尾壺口福祿壽三房公衆份下一祠堂邊厝地三欄各應壺欄左邊撥與壽房如各房先後起蓋其墻准後起架析一園下底園壺坪一園對面園壺坪內所有樹木籽粒柴草三房照輪一園坑口園壺坪內橄欖欖壺株應貼納糧錢陸拾文一園桃棗坪壺坪內橄欖欖式株應貼納糧錢陸拾文</t>
  </si>
  <si>
    <t xml:space="preserve">31735064607645_009</t>
  </si>
  <si>
    <r>
      <rPr>
        <sz val="10"/>
        <rFont val="Noto Sans CJK SC"/>
        <family val="2"/>
      </rPr>
      <t xml:space="preserve">錢叁拾文</t>
    </r>
    <r>
      <rPr>
        <sz val="10"/>
        <rFont val="Arial"/>
        <family val="0"/>
        <charset val="1"/>
      </rPr>
      <t xml:space="preserve">; </t>
    </r>
    <r>
      <rPr>
        <sz val="10"/>
        <rFont val="Noto Sans CJK SC"/>
        <family val="2"/>
      </rPr>
      <t xml:space="preserve">錢伍拾文</t>
    </r>
  </si>
  <si>
    <t xml:space="preserve">王豹四</t>
  </si>
  <si>
    <t xml:space="preserve">一園坑裡厝仔前壺坪年納糧錢叁拾文一坑裡田仔壺坵年貼納糧錢叁拾文此四號糧色均立在草市都林鎮戶下三房公納一山坑裡山壺崙內沈家契買土名王豹四田仔壺塊年應貼納糧錢伍拾文三房公納一山坑裡對面山壺崙檳欖檳壺株山園內所有松栢檳除沈家墓邊左右陸株外又自己祖墓邊留作風水不得砍伐其餘大株各作記號聽各房自行砍伐小株未號者以及隨後長大者亦照株勻分不得私自砍伐山內如有新理造墳以及補墓年礼花紅一切均照三股勻分不得爭執所有柴草三房照輪週而復始又坑裡山壺塊係與堂叔昌意堂兄萬進夾買所有山內籽粒亦照三房公分</t>
  </si>
  <si>
    <t xml:space="preserve">31735064607645_010</t>
  </si>
  <si>
    <t xml:space="preserve">立閨書</t>
  </si>
  <si>
    <t xml:space="preserve">光緒拾柒年</t>
  </si>
  <si>
    <t xml:space="preserve">族長昌意</t>
  </si>
  <si>
    <t xml:space="preserve">光緒拾柒年八月吉日立閨書林萬開德全弟萬拱萬欽德在見族長昌意堂弟萬順德堂姪可娘德外甥塗振海德姪婿蕭慶金德李茂炳德秉筆姪可舉德</t>
  </si>
  <si>
    <t xml:space="preserve">31735064607652_001</t>
  </si>
  <si>
    <t xml:space="preserve">31735064607652</t>
  </si>
  <si>
    <t xml:space="preserve">1798</t>
  </si>
  <si>
    <t xml:space="preserve">建陽</t>
  </si>
  <si>
    <t xml:space="preserve">福建省建陽縣</t>
  </si>
  <si>
    <t xml:space="preserve">劉盛章</t>
  </si>
  <si>
    <r>
      <rPr>
        <sz val="10"/>
        <rFont val="Noto Sans CJK SC"/>
        <family val="2"/>
      </rPr>
      <t xml:space="preserve">劉咸安 </t>
    </r>
    <r>
      <rPr>
        <sz val="10"/>
        <rFont val="Arial"/>
        <family val="0"/>
        <charset val="1"/>
      </rPr>
      <t xml:space="preserve">| </t>
    </r>
    <r>
      <rPr>
        <sz val="10"/>
        <rFont val="Noto Sans CJK SC"/>
        <family val="2"/>
      </rPr>
      <t xml:space="preserve">劉道建</t>
    </r>
  </si>
  <si>
    <t xml:space="preserve">Box 1, Folder 11</t>
  </si>
  <si>
    <t xml:space="preserve">立增找杜斷朽房屋基契</t>
  </si>
  <si>
    <t xml:space="preserve">嘉慶叁年</t>
  </si>
  <si>
    <t xml:space="preserve">紋銀</t>
  </si>
  <si>
    <t xml:space="preserve">水北永興社賣主房屋后四至銀兩前契</t>
  </si>
  <si>
    <t xml:space="preserve">劉如萬</t>
  </si>
  <si>
    <t xml:space="preserve">https://digital.library.pitt.edu/islandora/object/pitt:31735064607652</t>
  </si>
  <si>
    <t xml:space="preserve">立增找離業杜斷朽房屋地基契人劉盛章緣因旧年冬賣斷有朽房屋地基共計叁欄坐落水北永興社賣主房屋后四至銀兩前契載明今因缺少銀應用自己托得原中向買主本族道成安名下增找得杜斷朽房屋基價白系紋銀捌兩正成增契之日壹併交足不少分厘自增找斷之后仍憑買者永遠營業修整架造開門出入賣者不敢阻佔此係賣斷增找物業日久不再得另生枝節言增言找之理情愿甘允各無後悔生端異說今欲有憑立增找杜斷朽房屋地基契字為照本日寔收得增找杜斷契價紋銀捌兩正足訖再照外用中銀貳錢津分正嘉慶叁年貳月日立增找杜斷朽房屋基契人劉盛章原中代字人劉如萬增找斷契</t>
  </si>
  <si>
    <t xml:space="preserve">31735064607660_001</t>
  </si>
  <si>
    <t xml:space="preserve">31735064607660</t>
  </si>
  <si>
    <t xml:space="preserve">1805</t>
  </si>
  <si>
    <t xml:space="preserve">劉咸安</t>
  </si>
  <si>
    <t xml:space="preserve">Box 1, Folder 13</t>
  </si>
  <si>
    <t xml:space="preserve">勅</t>
  </si>
  <si>
    <t xml:space="preserve">https://digital.library.pitt.edu/islandora/object/pitt:31735064607660</t>
  </si>
  <si>
    <r>
      <rPr>
        <sz val="10"/>
        <rFont val="Noto Sans CJK SC"/>
        <family val="2"/>
      </rPr>
      <t xml:space="preserve">勅微卷九三福建等處督撫使司為查請奏事於嘉靖十五年正月二十四日</t>
    </r>
    <r>
      <rPr>
        <sz val="10"/>
        <rFont val="Arial"/>
        <family val="0"/>
        <charset val="1"/>
      </rPr>
      <t xml:space="preserve">...</t>
    </r>
    <r>
      <rPr>
        <sz val="10"/>
        <rFont val="Noto Sans CJK SC"/>
        <family val="2"/>
      </rPr>
      <t xml:space="preserve">福建等處督撫使司為</t>
    </r>
    <r>
      <rPr>
        <sz val="10"/>
        <rFont val="Arial"/>
        <family val="0"/>
        <charset val="1"/>
      </rPr>
      <t xml:space="preserve">...</t>
    </r>
    <r>
      <rPr>
        <sz val="10"/>
        <rFont val="Noto Sans CJK SC"/>
        <family val="2"/>
      </rPr>
      <t xml:space="preserve">查請奏事於嘉靖十五年正月二十四日</t>
    </r>
    <r>
      <rPr>
        <sz val="10"/>
        <rFont val="Arial"/>
        <family val="0"/>
        <charset val="1"/>
      </rPr>
      <t xml:space="preserve">...</t>
    </r>
    <r>
      <rPr>
        <sz val="10"/>
        <rFont val="Noto Sans CJK SC"/>
        <family val="2"/>
      </rPr>
      <t xml:space="preserve">福建等處督撫使司為</t>
    </r>
    <r>
      <rPr>
        <sz val="10"/>
        <rFont val="Arial"/>
        <family val="0"/>
        <charset val="1"/>
      </rPr>
      <t xml:space="preserve">...</t>
    </r>
    <r>
      <rPr>
        <sz val="10"/>
        <rFont val="Noto Sans CJK SC"/>
        <family val="2"/>
      </rPr>
      <t xml:space="preserve">查請奏事於嘉靖十五年正月二十四日</t>
    </r>
    <r>
      <rPr>
        <sz val="10"/>
        <rFont val="Arial"/>
        <family val="0"/>
        <charset val="1"/>
      </rPr>
      <t xml:space="preserve">...</t>
    </r>
    <r>
      <rPr>
        <sz val="10"/>
        <rFont val="Noto Sans CJK SC"/>
        <family val="2"/>
      </rPr>
      <t xml:space="preserve">嘉靖十年五月劉成資劉盛平建陽縣</t>
    </r>
    <r>
      <rPr>
        <sz val="10"/>
        <rFont val="Arial"/>
        <family val="0"/>
        <charset val="1"/>
      </rPr>
      <t xml:space="preserve">...</t>
    </r>
    <r>
      <rPr>
        <sz val="10"/>
        <rFont val="Noto Sans CJK SC"/>
        <family val="2"/>
      </rPr>
      <t xml:space="preserve">劉成安貳拾肆兩日</t>
    </r>
  </si>
  <si>
    <t xml:space="preserve">31735064607678_001</t>
  </si>
  <si>
    <t xml:space="preserve">31735064607678</t>
  </si>
  <si>
    <t xml:space="preserve">1782</t>
  </si>
  <si>
    <t xml:space="preserve">應梓龍</t>
  </si>
  <si>
    <t xml:space="preserve">劉繼伍</t>
  </si>
  <si>
    <t xml:space="preserve">Box 1, Folder 9</t>
  </si>
  <si>
    <t xml:space="preserve">立增我杜新契</t>
  </si>
  <si>
    <t xml:space="preserve">乾隆肆拾柒年</t>
  </si>
  <si>
    <r>
      <rPr>
        <sz val="10"/>
        <rFont val="Noto Sans CJK SC"/>
        <family val="2"/>
      </rPr>
      <t xml:space="preserve">價紋銀壹拾柒兩</t>
    </r>
    <r>
      <rPr>
        <sz val="10"/>
        <rFont val="Arial"/>
        <family val="0"/>
        <charset val="1"/>
      </rPr>
      <t xml:space="preserve">; </t>
    </r>
    <r>
      <rPr>
        <sz val="10"/>
        <rFont val="Noto Sans CJK SC"/>
        <family val="2"/>
      </rPr>
      <t xml:space="preserve">價紋銀壹拾柒兩正</t>
    </r>
  </si>
  <si>
    <r>
      <rPr>
        <sz val="10"/>
        <rFont val="Noto Sans CJK SC"/>
        <family val="2"/>
      </rPr>
      <t xml:space="preserve">札銀伍錢壹分正</t>
    </r>
    <r>
      <rPr>
        <sz val="10"/>
        <rFont val="Arial"/>
        <family val="0"/>
        <charset val="1"/>
      </rPr>
      <t xml:space="preserve">; </t>
    </r>
    <r>
      <rPr>
        <sz val="10"/>
        <rFont val="Noto Sans CJK SC"/>
        <family val="2"/>
      </rPr>
      <t xml:space="preserve">劉禮雲</t>
    </r>
  </si>
  <si>
    <t xml:space="preserve">徐遇萬</t>
  </si>
  <si>
    <t xml:space="preserve">https://digital.library.pitt.edu/islandora/object/pitt:31735064607678</t>
  </si>
  <si>
    <t xml:space="preserve">立增我杜新契字人應梓龍本年賣新有田皮骨未染羅涼餅伍管止坐春筵上橫寮游嶺黃厝墘銀面前契載明今日無銀完編托得原中勸諭原買主劉維伍名下增我杜新價紋銀壹拾柒兩立成契之日一併文足不欠分厘自增我新之後仍准買主永遠晉業交租收割過戶當差完糧其田實係增我新根物業嗣后永無言增言我之理此際兩下甘允再無反悔生端異說今故有現立增我杜新契字人應梓龍為照本日寔收得增我杜新契內價紋銀壹拾柒兩正再照。外用中見札銀伍錢壹分正乾隆肆拾柒年玖月日立增我杜新契字人應梓龍。知契人應梓明唐中人劉禮雲勸諭人劉兆華代字人徐遇萬增我杜新契</t>
  </si>
  <si>
    <t xml:space="preserve">31735064607686_001</t>
  </si>
  <si>
    <t xml:space="preserve">31735064607686</t>
  </si>
  <si>
    <t xml:space="preserve">1910</t>
  </si>
  <si>
    <t xml:space="preserve">開保</t>
  </si>
  <si>
    <t xml:space="preserve">Box 2, Folder 91</t>
  </si>
  <si>
    <t xml:space="preserve">宣統貳年</t>
  </si>
  <si>
    <t xml:space="preserve">堂侄孫開</t>
  </si>
  <si>
    <t xml:space="preserve">族叔端率極</t>
  </si>
  <si>
    <t xml:space="preserve">知契父端理</t>
  </si>
  <si>
    <t xml:space="preserve">https://digital.library.pitt.edu/islandora/object/pitt:31735064607686</t>
  </si>
  <si>
    <r>
      <rPr>
        <sz val="10"/>
        <rFont val="Noto Sans CJK SC"/>
        <family val="2"/>
      </rPr>
      <t xml:space="preserve">姓立典契堂侄孫開保原父手圖分份下有民田陸其糧米掛在保我面前甲陳元華干下糧應壹錢伍分正米應我升陸合正今因要用托中引到叔祖朝朋慶諸面議典得出價番銀拾員正每員陸錢叁分重其銀即日親手收足其田即付叔祖受業召佃他人耕作收租完課皆係原父手圖分份下物業與房內諸人無干並未重張典當他人財物中有不明係作自己出頭抵當不涉叔祖之事其年面約致年限滿備銀照舊契面量數取贖外加銀水茶占伍厘正銀到契還叔祖不得阻留支理此乃兩家允愿各無反悔今啟有舊立典契壹份為據在見知契父端理宣統貳年拾壹月吉日立典契堂侄孫開保中人族叔端率極族弟開次不</t>
    </r>
    <r>
      <rPr>
        <sz val="10"/>
        <rFont val="Arial"/>
        <family val="0"/>
        <charset val="1"/>
      </rPr>
      <t xml:space="preserve">1612</t>
    </r>
  </si>
  <si>
    <t xml:space="preserve">31735064607694_001</t>
  </si>
  <si>
    <t xml:space="preserve">31735064607694</t>
  </si>
  <si>
    <t xml:space="preserve">1913</t>
  </si>
  <si>
    <t xml:space="preserve">林應香</t>
  </si>
  <si>
    <t xml:space="preserve">Box 2, Folder 97</t>
  </si>
  <si>
    <t xml:space="preserve">中華民國貳 年</t>
  </si>
  <si>
    <t xml:space="preserve">斷賣契單</t>
  </si>
  <si>
    <t xml:space="preserve">驗字第三萬七千六百六十九號</t>
  </si>
  <si>
    <t xml:space="preserve">https://digital.library.pitt.edu/islandora/object/pitt:31735064607694</t>
  </si>
  <si>
    <t xml:space="preserve">斷賣契單福建田賦心籌備處為給發契單事示奉財政部電行劃一契未稅契均應一併限收紙價壹元未稅之酌定正限三個月餘財政部核准照辦並通飭遵照在案日買受林應者田地貳畝西至原西北至坐向橫丈尺直丈尺中證陳春雷紙價壹元已以填契占重原契一稅遵章依限呈驗應納右給業戶林萬開准此中華民國貳年拾貳月拾柒日給驗字第三萬七千六百六十九號</t>
  </si>
  <si>
    <t xml:space="preserve">31735064607702_001</t>
  </si>
  <si>
    <t xml:space="preserve">31735064607702</t>
  </si>
  <si>
    <t xml:space="preserve">1906</t>
  </si>
  <si>
    <t xml:space="preserve">林為良</t>
  </si>
  <si>
    <t xml:space="preserve">林可瓊</t>
  </si>
  <si>
    <t xml:space="preserve">Box 2, Folder 87</t>
  </si>
  <si>
    <r>
      <rPr>
        <sz val="10"/>
        <rFont val="Noto Sans CJK SC"/>
        <family val="2"/>
      </rPr>
      <t xml:space="preserve">光緒叁拾貳年</t>
    </r>
    <r>
      <rPr>
        <sz val="10"/>
        <rFont val="Arial"/>
        <family val="0"/>
        <charset val="1"/>
      </rPr>
      <t xml:space="preserve">; </t>
    </r>
    <r>
      <rPr>
        <sz val="10"/>
        <rFont val="Noto Sans CJK SC"/>
        <family val="2"/>
      </rPr>
      <t xml:space="preserve">光緒 叁拾貳 年</t>
    </r>
  </si>
  <si>
    <t xml:space="preserve">價銀壹百叁拾兩</t>
  </si>
  <si>
    <t xml:space="preserve">十市都黃道</t>
  </si>
  <si>
    <t xml:space="preserve">劉興國</t>
  </si>
  <si>
    <t xml:space="preserve">王清泉</t>
  </si>
  <si>
    <t xml:space="preserve">叔維屏心</t>
  </si>
  <si>
    <t xml:space="preserve">https://digital.library.pitt.edu/islandora/object/pitt:31735064607702</t>
  </si>
  <si>
    <t xml:space="preserve">置根面令民田壹號坐落十市都黃道地方冊載地字式百號地中則民田池應半計官丈壹畝伍分二二五五忽根掛本都七甲林福戶下完糧銀壹錢式分式七毫色米壹升柒合五口應享無異公為要用托中復還賣斷上目抄此族弟可瓊永遠向業一面議定賣斷田價銀壹百叁拾兩每兩一捌百文即日收足其田聽業完課良之後永斷萬以勝不敢割枝節此輩與人之子亦未重張由當與承當與瓊令子兩出契壹紙亦緣楊鵬超幾曲出契林可鐫湊斷壹紙共成叁納統付為內註壹紙二十標光緒叁拾貳年拾壹月日賣斷根面會契林為良憑在見叔維屏心中人劉興國代筆王清泉光緒叁拾貳年拾壹月閩侯縣西門區稅契分局清光緒叁拾貳年永遠向業西湖區稅契分局</t>
  </si>
  <si>
    <t xml:space="preserve">31735064607710_001</t>
  </si>
  <si>
    <t xml:space="preserve">31735064607710</t>
  </si>
  <si>
    <r>
      <rPr>
        <sz val="10"/>
        <rFont val="Noto Sans CJK SC"/>
        <family val="2"/>
      </rPr>
      <t xml:space="preserve">林可昌 </t>
    </r>
    <r>
      <rPr>
        <sz val="10"/>
        <rFont val="Arial"/>
        <family val="0"/>
        <charset val="1"/>
      </rPr>
      <t xml:space="preserve">| </t>
    </r>
    <r>
      <rPr>
        <sz val="10"/>
        <rFont val="Noto Sans CJK SC"/>
        <family val="2"/>
      </rPr>
      <t xml:space="preserve">林可淦</t>
    </r>
  </si>
  <si>
    <t xml:space="preserve">Box 3, Folder 146</t>
  </si>
  <si>
    <t xml:space="preserve">立聲昭遺失契</t>
  </si>
  <si>
    <t xml:space="preserve">民國二十一年</t>
  </si>
  <si>
    <t xml:space="preserve">林可</t>
  </si>
  <si>
    <t xml:space="preserve">田根</t>
  </si>
  <si>
    <t xml:space="preserve">王幼卿</t>
  </si>
  <si>
    <t xml:space="preserve">https://digital.library.pitt.edu/islandora/object/pitt:31735064607710</t>
  </si>
  <si>
    <t xml:space="preserve">立聲昭遺失契字林可昌可金今因有祖遺閩書分長子長孫份下田根壟號土名坑裏計大小五坵厝丈壹畝畧田頭水壟壟口田尾松柏五株上輩字置原盡斷各契共七紙計產價式拾捌而四因前久謝年幼契箱寄存別處各項契據不知遺失何方茲經公親檢閱閩書所載證明係福房管業以作施食上座及西間出海各用耗嗣後無論內外親屬人等務出此項遺失契據永遠作為廢紙此係由公親議定恐後日舊生枝弟以杜絕爭執情事特立此紙付久謝執掌永遠為據民國二十一年五月吉日立聲昭字林可昌繼弟洽落公陳其清孫經見王兆鋒孫王光森孫親林可泉孫林久機孫代筆王幼卿啓</t>
  </si>
  <si>
    <t xml:space="preserve">31735064607728_001</t>
  </si>
  <si>
    <t xml:space="preserve">31735064607728</t>
  </si>
  <si>
    <t xml:space="preserve">楊兆通</t>
  </si>
  <si>
    <t xml:space="preserve">林</t>
  </si>
  <si>
    <t xml:space="preserve">Box 1, Folder 37</t>
  </si>
  <si>
    <t xml:space="preserve">立典田根契</t>
  </si>
  <si>
    <t xml:space="preserve">楊允通</t>
  </si>
  <si>
    <r>
      <rPr>
        <sz val="10"/>
        <rFont val="Noto Sans CJK SC"/>
        <family val="2"/>
      </rPr>
      <t xml:space="preserve">價銀貳百捌拾叁兩</t>
    </r>
    <r>
      <rPr>
        <sz val="10"/>
        <rFont val="Arial"/>
        <family val="0"/>
        <charset val="1"/>
      </rPr>
      <t xml:space="preserve">; </t>
    </r>
    <r>
      <rPr>
        <sz val="10"/>
        <rFont val="Noto Sans CJK SC"/>
        <family val="2"/>
      </rPr>
      <t xml:space="preserve">銀折銅錢柒百伍拾文</t>
    </r>
  </si>
  <si>
    <t xml:space="preserve">候邑三十八都白龍嶺路</t>
  </si>
  <si>
    <r>
      <rPr>
        <sz val="10"/>
        <rFont val="Noto Sans CJK SC"/>
        <family val="2"/>
      </rPr>
      <t xml:space="preserve">田根</t>
    </r>
    <r>
      <rPr>
        <sz val="10"/>
        <rFont val="Arial"/>
        <family val="0"/>
        <charset val="1"/>
      </rPr>
      <t xml:space="preserve">; </t>
    </r>
    <r>
      <rPr>
        <sz val="10"/>
        <rFont val="Noto Sans CJK SC"/>
        <family val="2"/>
      </rPr>
      <t xml:space="preserve">民田</t>
    </r>
  </si>
  <si>
    <t xml:space="preserve">蔡書波</t>
  </si>
  <si>
    <t xml:space="preserve">胞弟允如</t>
  </si>
  <si>
    <t xml:space="preserve">叁</t>
  </si>
  <si>
    <t xml:space="preserve">https://digital.library.pitt.edu/islandora/object/pitt:31735064607728</t>
  </si>
  <si>
    <r>
      <rPr>
        <sz val="10"/>
        <rFont val="Noto Sans CJK SC"/>
        <family val="2"/>
      </rPr>
      <t xml:space="preserve">立典田根契楊允通承父閻分份入有民田根壺號坐產候邑三十八都白龍嶺路地方土名鯽魚坵計寬丈貳畝伍分大小三坵池壺口共拜坵年納向主王家早晚租谷叁百伍拾劬平秤厯掌互易今日要用托中將此田根典與林處為業三面言议本日以訖田根價銀貳百捌拾叁兩伍錢正其銀即日收足其田根听從買主前去翻犁耕作了納向租向約叁年為限俟限滿之日听備價照契向銀兩取贖每兩銀折銅錢柒百伍拾文算如未取贖仍听照舊管業但此田係通承父閻分已份入與別房親疎伯叔兄弟侄妾干亦未曾重張典當他人物以及未厯不明各等情如有此情係通出以承當不得銀主之子兩相允厚各共翻悔今欲有憑立典田根契壹紙併繳楊昌箴典契壹紙邦銘尽契壹紙海武斷契壹紙共成律紙統付為照向約贖田之日叁至前為期併東壩壹起統贖不得抽贖內註物業財共三字統標照舊同治元年八月吉日立典田根契楊允通謹在見胞弟允如堂侄能波傳中友蔡書波傳劉朝達傳李兆相傳花筆李肇松謹</t>
    </r>
    <r>
      <rPr>
        <sz val="10"/>
        <rFont val="Arial"/>
        <family val="0"/>
        <charset val="1"/>
      </rPr>
      <t xml:space="preserve">Y</t>
    </r>
    <r>
      <rPr>
        <sz val="10"/>
        <rFont val="Noto Sans CJK SC"/>
        <family val="2"/>
      </rPr>
      <t xml:space="preserve">李兆相</t>
    </r>
  </si>
  <si>
    <t xml:space="preserve">31735064607736_001</t>
  </si>
  <si>
    <t xml:space="preserve">31735064607736</t>
  </si>
  <si>
    <t xml:space="preserve">Box 2, Folder 94</t>
  </si>
  <si>
    <r>
      <rPr>
        <sz val="10"/>
        <rFont val="Noto Sans CJK SC"/>
        <family val="2"/>
      </rPr>
      <t xml:space="preserve">光緒叁拾貳年</t>
    </r>
    <r>
      <rPr>
        <sz val="10"/>
        <rFont val="Arial"/>
        <family val="0"/>
        <charset val="1"/>
      </rPr>
      <t xml:space="preserve">; </t>
    </r>
    <r>
      <rPr>
        <sz val="10"/>
        <rFont val="Noto Sans CJK SC"/>
        <family val="2"/>
      </rPr>
      <t xml:space="preserve">中華民國 貳年</t>
    </r>
  </si>
  <si>
    <r>
      <rPr>
        <sz val="10"/>
        <rFont val="Noto Sans CJK SC"/>
        <family val="2"/>
      </rPr>
      <t xml:space="preserve">價銀壹百叁拾兩</t>
    </r>
    <r>
      <rPr>
        <sz val="10"/>
        <rFont val="Arial"/>
        <family val="0"/>
        <charset val="1"/>
      </rPr>
      <t xml:space="preserve">; </t>
    </r>
    <r>
      <rPr>
        <sz val="10"/>
        <rFont val="Noto Sans CJK SC"/>
        <family val="2"/>
      </rPr>
      <t xml:space="preserve">銀壹百八肆元</t>
    </r>
  </si>
  <si>
    <t xml:space="preserve">建國稅廳籌</t>
  </si>
  <si>
    <t xml:space="preserve">https://digital.library.pitt.edu/islandora/object/pitt:31735064607736</t>
  </si>
  <si>
    <t xml:space="preserve">建國稅廳籌給契單事案奉為斷賣財政部電行劃一契紙章程內開本章程施行以前成立之不動產舊契無論已稅契未稅契均應一律限期呈驗逾限不呈驗者於訴訟時不能作為憑據一併函知司法機關認真辦理以為置驗方成等因奉此旨經提定分別徵收方法已稅之舊契每張收紙價壹元未稅之舊契每產價百元收紙價壹元其光復後新契已稅者不收紙價酌定正限三個月餘限兩個月逾期呈驗者分別加徵嚴罰經已電奉財政部核准照辦並通飭遵照在案今蒙閩縣業戶林可瓊於清光緒叁拾貳年拾壹月日買受林為良四壹畝作八零三落閩縣業戶林可瓊於清光緒叁拾貳年拾壹月西至北至坐向橫丈尺直丈尺中證劉興國原價銀壹百叁拾兩中銀壹百八肆元原未稅遵章依限呈驗應納紙價壹元業已如數收訖合填契單未連原契給收管業須至契單才給業戶林可瓊准此中華民國貳年拾壹月叁</t>
  </si>
  <si>
    <t xml:space="preserve">31735064607744_001</t>
  </si>
  <si>
    <t xml:space="preserve">31735064607744</t>
  </si>
  <si>
    <t xml:space="preserve">王聯鄧</t>
  </si>
  <si>
    <t xml:space="preserve">Box 2, Folder 95</t>
  </si>
  <si>
    <r>
      <rPr>
        <sz val="10"/>
        <rFont val="Noto Sans CJK SC"/>
        <family val="2"/>
      </rPr>
      <t xml:space="preserve">光緒貳拾年</t>
    </r>
    <r>
      <rPr>
        <sz val="10"/>
        <rFont val="Arial"/>
        <family val="0"/>
        <charset val="1"/>
      </rPr>
      <t xml:space="preserve">; </t>
    </r>
    <r>
      <rPr>
        <sz val="10"/>
        <rFont val="Noto Sans CJK SC"/>
        <family val="2"/>
      </rPr>
      <t xml:space="preserve">中華民國 貳年</t>
    </r>
  </si>
  <si>
    <t xml:space="preserve">價銀兩中銀壹百叁拾捌元</t>
  </si>
  <si>
    <t xml:space="preserve">閩侯縣三十八都白龍坑</t>
  </si>
  <si>
    <r>
      <rPr>
        <sz val="10"/>
        <rFont val="Noto Sans CJK SC"/>
        <family val="2"/>
      </rPr>
      <t xml:space="preserve">斷賣契單 </t>
    </r>
    <r>
      <rPr>
        <sz val="10"/>
        <rFont val="Arial"/>
        <family val="0"/>
        <charset val="1"/>
      </rPr>
      <t xml:space="preserve">| </t>
    </r>
    <r>
      <rPr>
        <sz val="10"/>
        <rFont val="Noto Sans CJK SC"/>
        <family val="2"/>
      </rPr>
      <t xml:space="preserve">福建國稅廳籌備處</t>
    </r>
  </si>
  <si>
    <t xml:space="preserve">驗字第三千七百九號</t>
  </si>
  <si>
    <t xml:space="preserve">https://digital.library.pitt.edu/islandora/object/pitt:31735064607744</t>
  </si>
  <si>
    <t xml:space="preserve">斷賣契單福建國稅廳籌備處給發契單事案奉財政部電行劃一紙書程內開本章程施行以前成立之不動產舊契無論已稅契未稅契均應一律限期呈驗逾限不呈驗者於訴訟時不能作為憑據一併函知司法機關認真辦理以為憑驗者戒等因奉此當經擬定分函徵收方法已稅之舊契每張收紙價壹元未稅之舊契每張收紙價壹元其先後新契已稅者不收紙價酌定正限三個月餘限兩個月逾期呈驗者分別加徵嚴罰經已電奉財政部核准照辦並通飭遵照在案今據閩侯縣業戶林萬開於清光緒貳拾年拾月日買受王兆熙田畝壹畝坐落閩侯縣三十八都白龍坑地方東至西至北至坐落向黃大尺直丈尺中證王聯登店價銀兩中銀壹百叁拾捌元原契未稅連章依限呈驗應納紙價壹元肆角業已收訖合填契單粘連原契印給收執管業須至契單者石給業戶林萬開准此中華民國貳年拾壹月叁拾日給驗字第三千七百九號</t>
  </si>
  <si>
    <t xml:space="preserve">31735064607751_001</t>
  </si>
  <si>
    <t xml:space="preserve">31735064607751</t>
  </si>
  <si>
    <t xml:space="preserve">1884</t>
  </si>
  <si>
    <t xml:space="preserve">福建省侯官縣</t>
  </si>
  <si>
    <t xml:space="preserve">林秋溥</t>
  </si>
  <si>
    <t xml:space="preserve">Box 2, Folder 58</t>
  </si>
  <si>
    <t xml:space="preserve">立撥典契</t>
  </si>
  <si>
    <t xml:space="preserve">光緒拾年</t>
  </si>
  <si>
    <t xml:space="preserve">堂兄萬開</t>
  </si>
  <si>
    <t xml:space="preserve">價銀肆拾肆兩正</t>
  </si>
  <si>
    <t xml:space="preserve">侯邑西關外三十八都馬坑白龍</t>
  </si>
  <si>
    <r>
      <rPr>
        <sz val="10"/>
        <rFont val="Noto Sans CJK SC"/>
        <family val="2"/>
      </rPr>
      <t xml:space="preserve">白龍水流坵圓坵</t>
    </r>
    <r>
      <rPr>
        <sz val="10"/>
        <rFont val="Arial"/>
        <family val="0"/>
        <charset val="1"/>
      </rPr>
      <t xml:space="preserve">; </t>
    </r>
    <r>
      <rPr>
        <sz val="10"/>
        <rFont val="Noto Sans CJK SC"/>
        <family val="2"/>
      </rPr>
      <t xml:space="preserve">大堦邊上</t>
    </r>
    <r>
      <rPr>
        <sz val="10"/>
        <rFont val="Arial"/>
        <family val="0"/>
        <charset val="1"/>
      </rPr>
      <t xml:space="preserve">; </t>
    </r>
    <r>
      <rPr>
        <sz val="10"/>
        <rFont val="Noto Sans CJK SC"/>
        <family val="2"/>
      </rPr>
      <t xml:space="preserve">白龍上</t>
    </r>
    <r>
      <rPr>
        <sz val="10"/>
        <rFont val="Arial"/>
        <family val="0"/>
        <charset val="1"/>
      </rPr>
      <t xml:space="preserve">; </t>
    </r>
    <r>
      <rPr>
        <sz val="10"/>
        <rFont val="Noto Sans CJK SC"/>
        <family val="2"/>
      </rPr>
      <t xml:space="preserve">水流坵上</t>
    </r>
    <r>
      <rPr>
        <sz val="10"/>
        <rFont val="Arial"/>
        <family val="0"/>
        <charset val="1"/>
      </rPr>
      <t xml:space="preserve">; </t>
    </r>
    <r>
      <rPr>
        <sz val="10"/>
        <rFont val="Noto Sans CJK SC"/>
        <family val="2"/>
      </rPr>
      <t xml:space="preserve">園坵上</t>
    </r>
  </si>
  <si>
    <r>
      <rPr>
        <sz val="10"/>
        <rFont val="Noto Sans CJK SC"/>
        <family val="2"/>
      </rPr>
      <t xml:space="preserve">民田</t>
    </r>
    <r>
      <rPr>
        <sz val="10"/>
        <rFont val="Arial"/>
        <family val="0"/>
        <charset val="1"/>
      </rPr>
      <t xml:space="preserve">; </t>
    </r>
    <r>
      <rPr>
        <sz val="10"/>
        <rFont val="Noto Sans CJK SC"/>
        <family val="2"/>
      </rPr>
      <t xml:space="preserve">田面</t>
    </r>
  </si>
  <si>
    <t xml:space="preserve">王有才</t>
  </si>
  <si>
    <t xml:space="preserve">侄榮陽</t>
  </si>
  <si>
    <t xml:space="preserve">弟萬</t>
  </si>
  <si>
    <t xml:space="preserve">https://digital.library.pitt.edu/islandora/object/pitt:31735064607751</t>
  </si>
  <si>
    <t xml:space="preserve">立撥典契林秋溥原自己典得何德興民田面數號坐產侯邑西關外三十八都馬坑白龍地方土名白龍東洋大堦邊水流坵圓坵等處內撥出伍號土名白龍水流坵圓坵等處上中下則田計官犬肆畝捌分畧其糧色立在本都二圖六甲何德興戶下年載租穀捌百陸拾捌歷掌收租完課無異茲因別置託中撥典與堂兄萬開處為業三面言議本日得訖田面價銀肆拾肆兩正大錠庫錫其銀即日收足其田面聽官業收租其糧色照憑縣例科派過甲易戶完納撥典後與無干倘原主取贖不拘年限照憑契面銀兩取贖買主亦不得執留但此田面係自己手置物業與本別房伯叔兄弟侄無干亦未曾重張典掛他人財物如有朱歷不明各等情出頭抵當與買主無涉兩相允願各勿反悔今欲有憑立撥典田面契畫紙為照計向區號畝數租額日字由區畫百式拾玖號土名大堦邊上田畝分叁厘貳毫九絲貳忽貳式百斤佃林萬裔又叁百零貳式土名白龍上田畝分六厘捌毫柒絲伍忽貳式百斤佃李捷崇又貳百柒拾捌號土名水流坵上田畝分叁厘捌毫叁絲叁忽貳式百斤佃林萬裔又叁百捌拾貳號土名白龍上田畝分伍厘柒毫貳絲租共叁百陸拾斤佃林萬裔日字十區肆百壹拾號土名園坵上田畝分陸厘柒毫伍忽何家原契與別業相連未便繳付標照標照光緒拾年貳月吉明並日立撥典田面契林秋溥非賣與外人如違擅擅擅擅在見弟萬拱拱拱拱中友王有才大熟代筆侄榮陽</t>
  </si>
  <si>
    <t xml:space="preserve">31735064607769_001</t>
  </si>
  <si>
    <t xml:space="preserve">31735064607769</t>
  </si>
  <si>
    <t xml:space="preserve">林萬利</t>
  </si>
  <si>
    <t xml:space="preserve">官方政府</t>
  </si>
  <si>
    <t xml:space="preserve">Box 2, Folder 59</t>
  </si>
  <si>
    <t xml:space="preserve">立典田面契</t>
  </si>
  <si>
    <t xml:space="preserve">銀折銅錢票捌百伍拾文</t>
  </si>
  <si>
    <t xml:space="preserve">侯邑西關外草市都井邊亭</t>
  </si>
  <si>
    <t xml:space="preserve">大狹地中則</t>
  </si>
  <si>
    <r>
      <rPr>
        <sz val="10"/>
        <rFont val="Noto Sans CJK SC"/>
        <family val="2"/>
      </rPr>
      <t xml:space="preserve">田面</t>
    </r>
    <r>
      <rPr>
        <sz val="10"/>
        <rFont val="Arial"/>
        <family val="0"/>
        <charset val="1"/>
      </rPr>
      <t xml:space="preserve">; </t>
    </r>
    <r>
      <rPr>
        <sz val="10"/>
        <rFont val="Noto Sans CJK SC"/>
        <family val="2"/>
      </rPr>
      <t xml:space="preserve">民田</t>
    </r>
  </si>
  <si>
    <r>
      <rPr>
        <sz val="10"/>
        <rFont val="Noto Sans CJK SC"/>
        <family val="2"/>
      </rPr>
      <t xml:space="preserve">將此應半民田面半</t>
    </r>
    <r>
      <rPr>
        <sz val="10"/>
        <rFont val="Arial"/>
        <family val="0"/>
        <charset val="1"/>
      </rPr>
      <t xml:space="preserve">; </t>
    </r>
    <r>
      <rPr>
        <sz val="10"/>
        <rFont val="Noto Sans CJK SC"/>
        <family val="2"/>
      </rPr>
      <t xml:space="preserve">陳金槐</t>
    </r>
  </si>
  <si>
    <t xml:space="preserve">胞叔昌意</t>
  </si>
  <si>
    <t xml:space="preserve">肆</t>
  </si>
  <si>
    <t xml:space="preserve">https://digital.library.pitt.edu/islandora/object/pitt:31735064607769</t>
  </si>
  <si>
    <t xml:space="preserve">立典田面契林萬利原承父在日閩分已份下民田面壺號坐產侯邑西關外草市都井邊亭地方冊載地字式百號土名大狹地中則田民地計官丈叁畝陸厘壺毫壺絲年共再面租穀捌百伍拾畝利父份下應分壺半該應田壺畝伍分叁厘伍絲伍忽應面租穀肆百式拾伍畝納在面主官祿下其糧色立在草市都井甲林志戶下年應完糧銀壺錢式分或厘柒毫迄壺升等合伍勺厯掌收租完課無異今因要用托中友將此應半民田面半號典與官慶為業三議言議本日典出田面價銀壺拾兩正紋廣其銀即日收足其田面所從買主前去完課收租管業面納肆年為限俟至限滿之日听備價照契面銀兩每兩銀折銅錢票捌百伍拾文算贖回如未取贖仍听照舊管業倘有奉官役稅應用費銀若干利贖回之日起認還贖田日期定冬至內向贖冬至外不得言說但此田面係利承父閩分份下物業與別房伯叔兄弟侄無干亦未曾重張典當他人財物以及未歷不明各等情如有此情係利自出頭承當不涉買主之事兩相允愿各無及悔今欲有憑立典田面契已紙併繳楊鵬超撥繳典契壺紙稅司單壺紙共成契紙統付為憑外再蔡世端盡契壺紙再者其上手原契並此契經已半號別業相連及若未便繳付內塗講字字註面字二字共成式字壺統標光緒拾年拾月吉日立典田契林萬利啓在見胞叔昌意堂兄萬斌大張堂兄萬順堂侄可良中人陳金槐自筆萬利啓</t>
  </si>
  <si>
    <t xml:space="preserve">31735064607777_001</t>
  </si>
  <si>
    <t xml:space="preserve">31735064607777</t>
  </si>
  <si>
    <r>
      <rPr>
        <sz val="10"/>
        <rFont val="Noto Sans CJK SC"/>
        <family val="2"/>
      </rPr>
      <t xml:space="preserve">林久興 </t>
    </r>
    <r>
      <rPr>
        <sz val="10"/>
        <rFont val="Arial"/>
        <family val="0"/>
        <charset val="1"/>
      </rPr>
      <t xml:space="preserve">| </t>
    </r>
    <r>
      <rPr>
        <sz val="10"/>
        <rFont val="Noto Sans CJK SC"/>
        <family val="2"/>
      </rPr>
      <t xml:space="preserve">林可鑒 </t>
    </r>
    <r>
      <rPr>
        <sz val="10"/>
        <rFont val="Arial"/>
        <family val="0"/>
        <charset val="1"/>
      </rPr>
      <t xml:space="preserve">| </t>
    </r>
    <r>
      <rPr>
        <sz val="10"/>
        <rFont val="Noto Sans CJK SC"/>
        <family val="2"/>
      </rPr>
      <t xml:space="preserve">林久澍</t>
    </r>
  </si>
  <si>
    <t xml:space="preserve">Box 3, Folder 120</t>
  </si>
  <si>
    <t xml:space="preserve">立合約</t>
  </si>
  <si>
    <r>
      <rPr>
        <sz val="10"/>
        <rFont val="Noto Sans CJK SC"/>
        <family val="2"/>
      </rPr>
      <t xml:space="preserve">光緒十 七年</t>
    </r>
    <r>
      <rPr>
        <sz val="10"/>
        <rFont val="Arial"/>
        <family val="0"/>
        <charset val="1"/>
      </rPr>
      <t xml:space="preserve">; </t>
    </r>
    <r>
      <rPr>
        <sz val="10"/>
        <rFont val="Noto Sans CJK SC"/>
        <family val="2"/>
      </rPr>
      <t xml:space="preserve">光緒十七年</t>
    </r>
    <r>
      <rPr>
        <sz val="10"/>
        <rFont val="Arial"/>
        <family val="0"/>
        <charset val="1"/>
      </rPr>
      <t xml:space="preserve">; </t>
    </r>
    <r>
      <rPr>
        <sz val="10"/>
        <rFont val="Noto Sans CJK SC"/>
        <family val="2"/>
      </rPr>
      <t xml:space="preserve">民國拾叁年</t>
    </r>
  </si>
  <si>
    <t xml:space="preserve">伏伍拾元</t>
  </si>
  <si>
    <t xml:space="preserve">王子文</t>
  </si>
  <si>
    <r>
      <rPr>
        <sz val="10"/>
        <rFont val="Noto Sans CJK SC"/>
        <family val="2"/>
      </rPr>
      <t xml:space="preserve">母 楊氏</t>
    </r>
    <r>
      <rPr>
        <sz val="10"/>
        <rFont val="Arial"/>
        <family val="0"/>
        <charset val="1"/>
      </rPr>
      <t xml:space="preserve">; </t>
    </r>
    <r>
      <rPr>
        <sz val="10"/>
        <rFont val="Noto Sans CJK SC"/>
        <family val="2"/>
      </rPr>
      <t xml:space="preserve">祖母楊氏</t>
    </r>
    <r>
      <rPr>
        <sz val="10"/>
        <rFont val="Arial"/>
        <family val="0"/>
        <charset val="1"/>
      </rPr>
      <t xml:space="preserve">; </t>
    </r>
    <r>
      <rPr>
        <sz val="10"/>
        <rFont val="Noto Sans CJK SC"/>
        <family val="2"/>
      </rPr>
      <t xml:space="preserve">母楊氏</t>
    </r>
  </si>
  <si>
    <t xml:space="preserve">https://digital.library.pitt.edu/islandora/object/pitt:31735064607777</t>
  </si>
  <si>
    <r>
      <rPr>
        <sz val="10"/>
        <rFont val="Noto Sans CJK SC"/>
        <family val="2"/>
      </rPr>
      <t xml:space="preserve">立合約字林可鑑久興諱萬開公興諱萬拱公鑑父諱萬欽公三人同胞兄弟所有產業於光緒十七年閏八月分為福祿壽三房各執閩書一本為据謝生父可瓊係祖父萬開公長子謝係庶出彼時父納謝生母時另居別處謝生週歲謝生母出經謝祖母謝父可瓊及親族伯叔兄弟等力劝謝嫡母楊氏將謝領回由祖母楊氏暨嫡母楊氏躬親撫養謝已十有六歲行將完娶族戚等又以興年已成人理宜娶室劝謝認助台伏厝百或拾元次房可昌另認台伏伍拾元三房可鑑另認台伏伍拾元以為興完娶之用約定謝認助之款俟本年舊曆十二月底合清付興收至所有各房產業暨光緒十七年八月間閩書閩分份下各管各業所憑自由買賣不得別生枝節兩相允愿各勿反悔今欵有憑立約字畫紙為照內塗銷合字</t>
    </r>
    <r>
      <rPr>
        <sz val="10"/>
        <rFont val="Arial"/>
        <family val="0"/>
        <charset val="1"/>
      </rPr>
      <t xml:space="preserve">(</t>
    </r>
    <r>
      <rPr>
        <sz val="10"/>
        <rFont val="Noto Sans CJK SC"/>
        <family val="2"/>
      </rPr>
      <t xml:space="preserve">字又添註憑字</t>
    </r>
    <r>
      <rPr>
        <sz val="10"/>
        <rFont val="Arial"/>
        <family val="0"/>
        <charset val="1"/>
      </rPr>
      <t xml:space="preserve">)</t>
    </r>
    <r>
      <rPr>
        <sz val="10"/>
        <rFont val="Noto Sans CJK SC"/>
        <family val="2"/>
      </rPr>
      <t xml:space="preserve">字標照謝長房謝嫡母楊氏久謝厝次房可昌可第厝久興厝久年厝三房可鑑厝鄉族長萬順厝族人萬棋可杯厝可為厝可建可泉懿戚王友增厝李茂炳厝厝公親劉慶雲厝陳仲良厝經陳其清厝厝陳依銘厝族鄰可釵厝久信厝民國拾叁年叁月初日立公約字代筆王子文厝</t>
    </r>
  </si>
  <si>
    <t xml:space="preserve">31735064607785_001</t>
  </si>
  <si>
    <t xml:space="preserve">31735064607785</t>
  </si>
  <si>
    <t xml:space="preserve">1875</t>
  </si>
  <si>
    <t xml:space="preserve">Box 2, Folder 54</t>
  </si>
  <si>
    <t xml:space="preserve">陳香雪</t>
  </si>
  <si>
    <r>
      <rPr>
        <sz val="10"/>
        <rFont val="Noto Sans CJK SC"/>
        <family val="2"/>
      </rPr>
      <t xml:space="preserve">方零捌千</t>
    </r>
    <r>
      <rPr>
        <sz val="10"/>
        <rFont val="Arial"/>
        <family val="0"/>
        <charset val="1"/>
      </rPr>
      <t xml:space="preserve">; </t>
    </r>
    <r>
      <rPr>
        <sz val="10"/>
        <rFont val="Noto Sans CJK SC"/>
        <family val="2"/>
      </rPr>
      <t xml:space="preserve">吳祥麟</t>
    </r>
  </si>
  <si>
    <t xml:space="preserve">https://digital.library.pitt.edu/islandora/object/pitt:31735064607785</t>
  </si>
  <si>
    <r>
      <rPr>
        <sz val="10"/>
        <rFont val="Noto Sans CJK SC"/>
        <family val="2"/>
      </rPr>
      <t xml:space="preserve">四版五卷斷奏林應香有手印根面全民田穀雙游侯邑西閣外草市都馬坑地方王名馬路下冊載地字四區卷百貳拾捌號官文隆分式屋又卷百叁拾捌號官文卷分案屋八毛此物鋪大小式拉田頭鹽仔畫口園仔畫塊又畫拉土名井嘴冊載地字四區卷百肆拾柒號官文重啟卷分貳屋八忽以上三號共計官文貳啟卷分貳屋五毛八忽其糧色立立草市都中甲巡和例科此免納應官各具今因要用托中將此招面全民田實彭典族名萬開承道為案三而議定實彭田實代書方零捌千文即收之其田輕永遠實業完課自實彭之源永萬能不敢別生枝節以此田係香手置其人各平六各重持也當倘有香歷不所均香承當典各涉物愿各悔今欲有見香彭英承派並微楊能慶原曲為強根英承紙彭英承陳朝科原典井嘴根英承派畫彭英承派德鉉原彭田面德英承派共成承派統付為憑光緒元年拾月五卷斷奏林應香五卷斷奏林應香五卷斷奏林應香中人陳香雪代筆吳祥麟書彭英承派增廿九西湖區</t>
    </r>
    <r>
      <rPr>
        <sz val="10"/>
        <rFont val="Arial"/>
        <family val="0"/>
        <charset val="1"/>
      </rPr>
      <t xml:space="preserve">802401404</t>
    </r>
  </si>
  <si>
    <t xml:space="preserve">31735064607793_001</t>
  </si>
  <si>
    <t xml:space="preserve">31735064607793</t>
  </si>
  <si>
    <t xml:space="preserve">1893</t>
  </si>
  <si>
    <t xml:space="preserve">王兆熙出租</t>
  </si>
  <si>
    <t xml:space="preserve">Box 2, Folder 76</t>
  </si>
  <si>
    <t xml:space="preserve">光緒拾玖年</t>
  </si>
  <si>
    <t xml:space="preserve">王兆熙</t>
  </si>
  <si>
    <t xml:space="preserve">錢捌百五十文</t>
  </si>
  <si>
    <t xml:space="preserve">侯邑西關外叁十方</t>
  </si>
  <si>
    <t xml:space="preserve">堂弟兆熙</t>
  </si>
  <si>
    <t xml:space="preserve">王兆裕</t>
  </si>
  <si>
    <t xml:space="preserve">胞兄兆</t>
  </si>
  <si>
    <t xml:space="preserve">母黃氏</t>
  </si>
  <si>
    <t xml:space="preserve">https://digital.library.pitt.edu/islandora/object/pitt:31735064607793</t>
  </si>
  <si>
    <t xml:space="preserve">立典田面契分下田面八都白龍計則田面區號年其糧色立享貞戶下因要用自林處為業銀叁拾壹田面所從其糧色照面約原主面銀兩每取贖如未田面係照與視疎伯當他人財照自己出愿各無翻低為照大王兆熙承祖遺分自己坐落侯邑西關外叁十方土名鯽魚坵等坵分零冊載字三番五甲王租穀叁百伍拾斤出田面價其銀即日足其會田日租壹派過甲入戶完納不拘年限所憑照契本錢捌百五十文其照舊業但此自已份下物業無干亦未曾典買主無涉一而和允知契母黃氏再上手原契別業相連未便做付倘奉官投稅贖契言所有稅耗若干一起算還重統標整改大壹字光緒拾玖年四月吉日立典契王兆熙在見胞兄兆榮啓中見堂弟兆熙代筆王兆裕大清光緒拾玖年四月吉日立典契王兆熙大清光緒拾玖年四月吉日立典契王兆熙大清光緒拾玖年四月吉日立典契王兆熙大清光緒拾玖年四月吉日立典契王兆熙</t>
  </si>
  <si>
    <t xml:space="preserve">31735064607801_001</t>
  </si>
  <si>
    <t xml:space="preserve">31735064607801</t>
  </si>
  <si>
    <t xml:space="preserve">1881</t>
  </si>
  <si>
    <t xml:space="preserve">林春發</t>
  </si>
  <si>
    <t xml:space="preserve">Box 2, Folder 57</t>
  </si>
  <si>
    <t xml:space="preserve">價錢壹百壹拾千文</t>
  </si>
  <si>
    <t xml:space="preserve">侯邑西關外白龍壇路</t>
  </si>
  <si>
    <t xml:space="preserve">鰐魚坵牛頭長坵等大</t>
  </si>
  <si>
    <r>
      <rPr>
        <sz val="10"/>
        <rFont val="Noto Sans CJK SC"/>
        <family val="2"/>
      </rPr>
      <t xml:space="preserve">民田</t>
    </r>
    <r>
      <rPr>
        <sz val="10"/>
        <rFont val="Arial"/>
        <family val="0"/>
        <charset val="1"/>
      </rPr>
      <t xml:space="preserve">; </t>
    </r>
    <r>
      <rPr>
        <sz val="10"/>
        <rFont val="Noto Sans CJK SC"/>
        <family val="2"/>
      </rPr>
      <t xml:space="preserve">田根</t>
    </r>
  </si>
  <si>
    <t xml:space="preserve">楊宗盛</t>
  </si>
  <si>
    <t xml:space="preserve">弟春輝</t>
  </si>
  <si>
    <t xml:space="preserve">https://digital.library.pitt.edu/islandora/object/pitt:31735064607801</t>
  </si>
  <si>
    <t xml:space="preserve">立賣斷林春發有手置民田根數號坐落侯邑西關外白龍壇路地方土名鰐魚坵牛頭長坵等大山三坵池壹口共四坵計官丈式畝五分零年納面主王家早晚租谷叁百五十觔平秤歷中無異今因要用托中將此田根一統賣斷與族叔萬開承遠為業三面言議賣斷田根價錢壹百壹拾千文即日收足其田根聽叔永遠為業發自賣斷之後永斷萬籐不敢別生枝節但此田根係發手置與親疎房伯叔兄弟侄無干亦無重張與當他人財物如有來歷不明均發承當與叔無涉而相允愿各無反悔今欲有憑立賣斷契壹紙並繳楊必通原由根契壹紙楊能鋒畫斷契三紙統付為憑內註契字一字標照楊立賣斷契尤儲系平拾貳月日立賣斷根契林春發楊在見弟春輝中人楊宗盛楊日立賣斷楊立賣斷契</t>
  </si>
  <si>
    <t xml:space="preserve">31735064607819_001</t>
  </si>
  <si>
    <t xml:space="preserve">31735064607819</t>
  </si>
  <si>
    <t xml:space="preserve">1894</t>
  </si>
  <si>
    <t xml:space="preserve">Box 2, Folder 78</t>
  </si>
  <si>
    <t xml:space="preserve">立約</t>
  </si>
  <si>
    <t xml:space="preserve">光緒貳拾年</t>
  </si>
  <si>
    <t xml:space="preserve">本鄉林</t>
  </si>
  <si>
    <t xml:space="preserve">王瑞臣</t>
  </si>
  <si>
    <t xml:space="preserve">https://digital.library.pitt.edu/islandora/object/pitt:31735064607819</t>
  </si>
  <si>
    <t xml:space="preserve">此內字王兆熙緣有承祖青圖分自己份下田面教歸生首侯邑三十，都白龍坑地方士名鄭真伍甘故年內祖及卷百伍拾斤加，鄭平祥熙因別置將此田面賣與與本鄉林處為業其區歸糧邑祖手多業相連未曾分別清楚而得通年林家貼納照完糧餉伍百文俟照查明直歸耕邑與林家概回完納不得推諉今數有憑立約字垂納付收為憑立約人光緒貳拾年十二月吉日立約字王兆熙在兒胞兄兆清中兄叔祖醉登代筆王瑞臣</t>
  </si>
  <si>
    <t xml:space="preserve">31735064607827_001</t>
  </si>
  <si>
    <t xml:space="preserve">31735064607827</t>
  </si>
  <si>
    <t xml:space="preserve">Box 2, Folder 77</t>
  </si>
  <si>
    <t xml:space="preserve">立湊斷契</t>
  </si>
  <si>
    <t xml:space="preserve">光緒二十年</t>
  </si>
  <si>
    <t xml:space="preserve">叔祖附登簿</t>
  </si>
  <si>
    <t xml:space="preserve">胞兄兆榮</t>
  </si>
  <si>
    <t xml:space="preserve">https://digital.library.pitt.edu/islandora/object/pitt:31735064607827</t>
  </si>
  <si>
    <t xml:space="preserve">立湊斷契王兆熙原有承祖遺圖自己佔下田面數驛生落侯邑西周外三十八都白龍垌路地方土名鯽魚坵昔計官丈少畝伍分零其糧色租款俱係在原典內明白今因乏用自情愿托中湊斷與本鄉林處永遠為業三面言據本日湊斷出田面價錢式千文公其錢即日收足其田面所湊林家永遠營業但照自湊斷之後價只心願永斷葛藤永不得別生枝節兩相允應各勿反悔今款有憑立湊斷契壹紙付執永遠為憑關侯縣西門區稅局清查驗記知契母黃氏光緒二十年十二月吉日立湊斷契王兆熙清在見胞兄兆榮中見叔祖附登簿代筆王瑞臣等光緒關侯縣西門區稅局</t>
  </si>
  <si>
    <t xml:space="preserve">31735064607835_001</t>
  </si>
  <si>
    <t xml:space="preserve">31735064607835</t>
  </si>
  <si>
    <t xml:space="preserve">1866/1871</t>
  </si>
  <si>
    <t xml:space="preserve">楊鵬超出租</t>
  </si>
  <si>
    <t xml:space="preserve">Box 1, Folder 42</t>
  </si>
  <si>
    <t xml:space="preserve">立撥繳曲郭壺為照面約</t>
  </si>
  <si>
    <r>
      <rPr>
        <sz val="10"/>
        <rFont val="Noto Sans CJK SC"/>
        <family val="2"/>
      </rPr>
      <t xml:space="preserve">價銀貳拾玖兩</t>
    </r>
    <r>
      <rPr>
        <sz val="10"/>
        <rFont val="Arial"/>
        <family val="0"/>
        <charset val="1"/>
      </rPr>
      <t xml:space="preserve">; </t>
    </r>
    <r>
      <rPr>
        <sz val="10"/>
        <rFont val="Noto Sans CJK SC"/>
        <family val="2"/>
      </rPr>
      <t xml:space="preserve">銀折錢壹伍拾文</t>
    </r>
  </si>
  <si>
    <t xml:space="preserve">候邑西閭外草上市都井邊亭</t>
  </si>
  <si>
    <t xml:space="preserve">大秧地中則</t>
  </si>
  <si>
    <t xml:space="preserve">堂伯敦</t>
  </si>
  <si>
    <t xml:space="preserve">胞伯敦志</t>
  </si>
  <si>
    <t xml:space="preserve">母郭氏</t>
  </si>
  <si>
    <t xml:space="preserve">陸</t>
  </si>
  <si>
    <t xml:space="preserve">https://digital.library.pitt.edu/islandora/object/pitt:31735064607835</t>
  </si>
  <si>
    <t xml:space="preserve">立撥繳曲郭楊鵬超承祖在日手置閭分嗣父份下有民田面壺號坐產候邑西閭外草上市都井邊亭地方冊再地字戈百號土名大秧地中則田民池計官丈叁畝陸重壺壹壺系年共再面租穀捌百伍拾畝內將撥出壺半嗣父份下應田壺畝伍分叁厘零伍系伍忽應面租穀肆百貳拾伍畝佃林昌志其糧邑立在草市都柴申楊紹標戶下年應完糧銀壺貳分貳厘柒毫色米壺升柒合伍勺歷掌收租完課無異今因乏用愿將撥出閭分嗣父份下此半號民田面繳曲與林處為業三面言議本日得訖田價銀貳拾玖兩柒錢伍分正紋廣其銀即日收足其田面即聽林家前去會佃收租管業其糧邑聽信照縣例科派過甲入戶完佃面約陸年為限俟至限滿之日聽超備價照契面銀兩取贖如未取贖仍聽照舊掌業倘原主取贖不拘年限但此田係超承祖手置閭分嗣父份下物業與別房親疎伯叔兄弟侄無干亦未嘗重張曲掛他人財物如有來磨不明等情係超出須抵當不涉林家之事兩家允愿各無翻悔今欵有憑立撥繳曲郭壺為照面約贖田之日每兩銀折錢壹伍拾文再傳道例收稅其稅銀若干贖田一起還還其原界更利半號交半難以繳付統標照知郭祖妣薛氏嗣母郭氏同治伍年肆月吉日立撥繳曲郭楊鵬超在見胞伯敦志中友林萬開代筆堂伯敦大龍</t>
  </si>
  <si>
    <t xml:space="preserve">31735064607835_002</t>
  </si>
  <si>
    <t xml:space="preserve">勢福建等處官布收買市場時吉吉吉吉吉吉吉吉吉吉吉吉吉吉吉吉吉吉吉吉吉吉吉吉吉吉吉吉吉吉吉吉吉吉吉吉吉吉吉吉吉吉吉吉吉吉</t>
  </si>
  <si>
    <t xml:space="preserve">31735064607843_001</t>
  </si>
  <si>
    <t xml:space="preserve">31735064607843</t>
  </si>
  <si>
    <t xml:space="preserve">趙守藻</t>
  </si>
  <si>
    <t xml:space="preserve">Box 1, Folder 14</t>
  </si>
  <si>
    <r>
      <rPr>
        <sz val="10"/>
        <rFont val="Noto Sans CJK SC"/>
        <family val="2"/>
      </rPr>
      <t xml:space="preserve">嘉慶拾年</t>
    </r>
    <r>
      <rPr>
        <sz val="10"/>
        <rFont val="Arial"/>
        <family val="0"/>
        <charset val="1"/>
      </rPr>
      <t xml:space="preserve">; </t>
    </r>
    <r>
      <rPr>
        <sz val="10"/>
        <rFont val="Noto Sans CJK SC"/>
        <family val="2"/>
      </rPr>
      <t xml:space="preserve">嘉慶 拾年</t>
    </r>
  </si>
  <si>
    <t xml:space="preserve">價銀壹拾肆兩</t>
  </si>
  <si>
    <t xml:space="preserve">友楊海武</t>
  </si>
  <si>
    <t xml:space="preserve">林標人鑒</t>
  </si>
  <si>
    <t xml:space="preserve">參</t>
  </si>
  <si>
    <t xml:space="preserve">防西湖區驗稅局</t>
  </si>
  <si>
    <t xml:space="preserve">https://digital.library.pitt.edu/islandora/object/pitt:31735064607843</t>
  </si>
  <si>
    <t xml:space="preserve">驗林立轉典契趙守藻于嘉慶拾年肆月向買得陶天翰民田面數號生產侯官縣草市都馬坑地方土名坑口佃林有棟耕作逐年載早晚祖谷壺各給酌乾淨祖孫送家交納其卦色掛在草市都五甲陶孔鑣名下應糧除分伍厘色奉升歷年收租等異今因別用林中結典典處為業三向言議者日得記價銀壹拾肆兩止其銀即日收足其田即聽銀主前去會佃收租其銀色照縣例料派過割入戶了納糧色之約參年為限俟限滿之日聽備價照契面銀兩每兩折鈔捌伍拾文美取贖銀主不得抵買未取贖仍聽管業倘限內原主取贖听其贖回此田係藻手置業典別房伯叔兄弟侄等并未曾重張典當他人財物如有未歷不明係藻出頭承當典銀主等向家允愿各各反悔今欲有舊主轉典契壹紙併繳原典壹紙共貳紙統付為憑併閱君良原契壹紙再為憑計開田號畝數內改藻字壹字再為憑一田第一區地字五萬八十六號土名塔下則國丈捌厘柳家園八箇田五萬八十七號土名塔下則國丈叁分叁毫柒絲伍忽五萬八十八號土名荒地下則地貳分貳厘叁毫柒絲伍忽五萬八十九號土名坑裡下則國丈伍厘防西湖區驗稅局嘉慶拾年伍月紅印去三結典契趙守藻中見友楊海武代筆林標人鑒大道</t>
  </si>
  <si>
    <t xml:space="preserve">31735064607850_001</t>
  </si>
  <si>
    <t xml:space="preserve">31735064607850</t>
  </si>
  <si>
    <t xml:space="preserve">1817</t>
  </si>
  <si>
    <t xml:space="preserve">林有柱</t>
  </si>
  <si>
    <t xml:space="preserve">Box 1, Folder 19</t>
  </si>
  <si>
    <r>
      <rPr>
        <sz val="10"/>
        <rFont val="Noto Sans CJK SC"/>
        <family val="2"/>
      </rPr>
      <t xml:space="preserve">乾隆十五年</t>
    </r>
    <r>
      <rPr>
        <sz val="10"/>
        <rFont val="Arial"/>
        <family val="0"/>
        <charset val="1"/>
      </rPr>
      <t xml:space="preserve">; </t>
    </r>
    <r>
      <rPr>
        <sz val="10"/>
        <rFont val="Noto Sans CJK SC"/>
        <family val="2"/>
      </rPr>
      <t xml:space="preserve">嘉慶貳拾貳年</t>
    </r>
  </si>
  <si>
    <t xml:space="preserve">布宇員萬樹一樹拾叁號有給侯官縣業</t>
  </si>
  <si>
    <t xml:space="preserve">林有柱准</t>
  </si>
  <si>
    <t xml:space="preserve">https://digital.library.pitt.edu/islandora/object/pitt:31735064607850</t>
  </si>
  <si>
    <r>
      <rPr>
        <sz val="10"/>
        <rFont val="Noto Sans CJK SC"/>
        <family val="2"/>
      </rPr>
      <t xml:space="preserve">久樹尾契存上日議奏事乾隆十五年正月二十四日奉准</t>
    </r>
    <r>
      <rPr>
        <sz val="10"/>
        <rFont val="Arial"/>
        <family val="0"/>
        <charset val="1"/>
      </rPr>
      <t xml:space="preserve">...</t>
    </r>
    <r>
      <rPr>
        <sz val="10"/>
        <rFont val="Noto Sans CJK SC"/>
        <family val="2"/>
      </rPr>
      <t xml:space="preserve">旨依議欽此相應抄錄原奏并頒發格式行文</t>
    </r>
    <r>
      <rPr>
        <sz val="10"/>
        <rFont val="Arial"/>
        <family val="0"/>
        <charset val="1"/>
      </rPr>
      <t xml:space="preserve">...</t>
    </r>
    <r>
      <rPr>
        <sz val="10"/>
        <rFont val="Noto Sans CJK SC"/>
        <family val="2"/>
      </rPr>
      <t xml:space="preserve">奏稱部議多頒契尾以後仍取病民綠業尾例不與照根同上司查驗不肯有司其與給民契尾則按數登填而于存</t>
    </r>
    <r>
      <rPr>
        <sz val="10"/>
        <rFont val="Arial"/>
        <family val="0"/>
        <charset val="1"/>
      </rPr>
      <t xml:space="preserve">...</t>
    </r>
    <r>
      <rPr>
        <sz val="10"/>
        <rFont val="Noto Sans CJK SC"/>
        <family val="2"/>
      </rPr>
      <t xml:space="preserve">府州查發并知府直隸州照例發給</t>
    </r>
    <r>
      <rPr>
        <sz val="10"/>
        <rFont val="Arial"/>
        <family val="0"/>
        <charset val="1"/>
      </rPr>
      <t xml:space="preserve">...</t>
    </r>
    <r>
      <rPr>
        <sz val="10"/>
        <rFont val="Noto Sans CJK SC"/>
        <family val="2"/>
      </rPr>
      <t xml:space="preserve">命下之日臣部頒發格式通行各省無一違辦理可也等因咨院行司奉此</t>
    </r>
    <r>
      <rPr>
        <sz val="10"/>
        <rFont val="Arial"/>
        <family val="0"/>
        <charset val="1"/>
      </rPr>
      <t xml:space="preserve">...</t>
    </r>
    <r>
      <rPr>
        <sz val="10"/>
        <rFont val="Noto Sans CJK SC"/>
        <family val="2"/>
      </rPr>
      <t xml:space="preserve">計開謹將林有柱實著守遷田書契坐落布宇員萬樹一樹拾叁號有給侯官縣業戶林有柱准嘉慶貳拾貳年貳月嘉慶貳拾貳年貳月</t>
    </r>
  </si>
  <si>
    <t xml:space="preserve">31735064607868_001</t>
  </si>
  <si>
    <t xml:space="preserve">31735064607868</t>
  </si>
  <si>
    <t xml:space="preserve">1850</t>
  </si>
  <si>
    <t xml:space="preserve">林世奕</t>
  </si>
  <si>
    <t xml:space="preserve">Box 1, Folder 33</t>
  </si>
  <si>
    <t xml:space="preserve">立賣田根契</t>
  </si>
  <si>
    <t xml:space="preserve">道光叁拾年</t>
  </si>
  <si>
    <t xml:space="preserve">候邑三十八都白龍洋</t>
  </si>
  <si>
    <t xml:space="preserve">翁太湖</t>
  </si>
  <si>
    <t xml:space="preserve">王鳳鳴</t>
  </si>
  <si>
    <t xml:space="preserve">胞兄世</t>
  </si>
  <si>
    <t xml:space="preserve">母蕭氏</t>
  </si>
  <si>
    <t xml:space="preserve">伍</t>
  </si>
  <si>
    <t xml:space="preserve">https://digital.library.pitt.edu/islandora/object/pitt:31735064607868</t>
  </si>
  <si>
    <t xml:space="preserve">立賣田根契林世奕承父陶分份下有民田根壹號大小伍坵坐產候邑三十八都白龍洋地方土名園坵計官丈式畝零年載租谷叁百式拾肆畝平秤納在周家更有壹號土名深田計官丈壹畝伍分年載禾租谷壹百式拾畝平秤納在面主李家歷年掌管無異今因要用情愿托中將此田統賣與林虜為業三面言議本日賣出田根價銀式百兩正平戥九七色其銀即日收足其田聽從買主前去翻犁耕作了納面租掌管為業奕不得言說但此田根面約伍年為限俟至限滿之日所從奕倍價照契面銀兩取贖賣主不得阻番如未取贖仍聽官業其田係奕承父陶分份下物業與本別房伯叔兄弟侄無干亦未曾重張典當他人財物如有未悉不明等情係奕出頭承當不涉買主之事兩家允愿各無反悔今敢有憑立賣契壹紙為照又繳原契壹紙共成式紙統付再照知契母蕭氏道光叁拾年玖月吉日立賣田根契林世奕德在見胞兄世美商胞弟世廷中人翁太湖代筆王鳳鳴大熟</t>
  </si>
  <si>
    <t xml:space="preserve">31735064607876_001</t>
  </si>
  <si>
    <t xml:space="preserve">31735064607876</t>
  </si>
  <si>
    <t xml:space="preserve">1888</t>
  </si>
  <si>
    <t xml:space="preserve">Box 2, Folder 67</t>
  </si>
  <si>
    <t xml:space="preserve">https://digital.library.pitt.edu/islandora/object/pitt:31735064607876</t>
  </si>
  <si>
    <r>
      <rPr>
        <sz val="10"/>
        <rFont val="Noto Sans CJK SC"/>
        <family val="2"/>
      </rPr>
      <t xml:space="preserve">契侯官陸萬卷拾陸毛光緒拾叁拾壹月三三二木萬卷木次庫功三三二木萬卷木次庫功陸萬卷拾陸侯官給侯官林萬開准此福建等處廣置布政使司</t>
    </r>
    <r>
      <rPr>
        <sz val="10"/>
        <rFont val="Arial"/>
        <family val="0"/>
        <charset val="1"/>
      </rPr>
      <t xml:space="preserve">...</t>
    </r>
    <r>
      <rPr>
        <sz val="10"/>
        <rFont val="Noto Sans CJK SC"/>
        <family val="2"/>
      </rPr>
      <t xml:space="preserve">印行府州送府州清冊</t>
    </r>
    <r>
      <rPr>
        <sz val="10"/>
        <rFont val="Arial"/>
        <family val="0"/>
        <charset val="1"/>
      </rPr>
      <t xml:space="preserve">...</t>
    </r>
    <r>
      <rPr>
        <sz val="10"/>
        <rFont val="Noto Sans CJK SC"/>
        <family val="2"/>
      </rPr>
      <t xml:space="preserve">查照</t>
    </r>
    <r>
      <rPr>
        <sz val="10"/>
        <rFont val="Arial"/>
        <family val="0"/>
        <charset val="1"/>
      </rPr>
      <t xml:space="preserve">...</t>
    </r>
    <r>
      <rPr>
        <sz val="10"/>
        <rFont val="Noto Sans CJK SC"/>
        <family val="2"/>
      </rPr>
      <t xml:space="preserve">稅務</t>
    </r>
    <r>
      <rPr>
        <sz val="10"/>
        <rFont val="Arial"/>
        <family val="0"/>
        <charset val="1"/>
      </rPr>
      <t xml:space="preserve">...</t>
    </r>
    <r>
      <rPr>
        <sz val="10"/>
        <rFont val="Noto Sans CJK SC"/>
        <family val="2"/>
      </rPr>
      <t xml:space="preserve">契稅</t>
    </r>
    <r>
      <rPr>
        <sz val="10"/>
        <rFont val="Arial"/>
        <family val="0"/>
        <charset val="1"/>
      </rPr>
      <t xml:space="preserve">...</t>
    </r>
    <r>
      <rPr>
        <sz val="10"/>
        <rFont val="Noto Sans CJK SC"/>
        <family val="2"/>
      </rPr>
      <t xml:space="preserve">銀錢</t>
    </r>
    <r>
      <rPr>
        <sz val="10"/>
        <rFont val="Arial"/>
        <family val="0"/>
        <charset val="1"/>
      </rPr>
      <t xml:space="preserve">...</t>
    </r>
    <r>
      <rPr>
        <sz val="10"/>
        <rFont val="Noto Sans CJK SC"/>
        <family val="2"/>
      </rPr>
      <t xml:space="preserve">林萬開</t>
    </r>
    <r>
      <rPr>
        <sz val="10"/>
        <rFont val="Arial"/>
        <family val="0"/>
        <charset val="1"/>
      </rPr>
      <t xml:space="preserve">...</t>
    </r>
    <r>
      <rPr>
        <sz val="10"/>
        <rFont val="Noto Sans CJK SC"/>
        <family val="2"/>
      </rPr>
      <t xml:space="preserve">陸萬卷</t>
    </r>
    <r>
      <rPr>
        <sz val="10"/>
        <rFont val="Arial"/>
        <family val="0"/>
        <charset val="1"/>
      </rPr>
      <t xml:space="preserve">...</t>
    </r>
    <r>
      <rPr>
        <sz val="10"/>
        <rFont val="Noto Sans CJK SC"/>
        <family val="2"/>
      </rPr>
      <t xml:space="preserve">侯官</t>
    </r>
    <r>
      <rPr>
        <sz val="10"/>
        <rFont val="Arial"/>
        <family val="0"/>
        <charset val="1"/>
      </rPr>
      <t xml:space="preserve">...</t>
    </r>
    <r>
      <rPr>
        <sz val="10"/>
        <rFont val="Noto Sans CJK SC"/>
        <family val="2"/>
      </rPr>
      <t xml:space="preserve">光緒</t>
    </r>
    <r>
      <rPr>
        <sz val="10"/>
        <rFont val="Arial"/>
        <family val="0"/>
        <charset val="1"/>
      </rPr>
      <t xml:space="preserve">...</t>
    </r>
  </si>
  <si>
    <t xml:space="preserve">31735064607884_001</t>
  </si>
  <si>
    <t xml:space="preserve">31735064607884</t>
  </si>
  <si>
    <t xml:space="preserve">Box 2, Folder 96</t>
  </si>
  <si>
    <r>
      <rPr>
        <sz val="10"/>
        <rFont val="Noto Sans CJK SC"/>
        <family val="2"/>
      </rPr>
      <t xml:space="preserve">嘉慶拾年</t>
    </r>
    <r>
      <rPr>
        <sz val="10"/>
        <rFont val="Arial"/>
        <family val="0"/>
        <charset val="1"/>
      </rPr>
      <t xml:space="preserve">; </t>
    </r>
    <r>
      <rPr>
        <sz val="10"/>
        <rFont val="Noto Sans CJK SC"/>
        <family val="2"/>
      </rPr>
      <t xml:space="preserve">中華民國 拾壹年</t>
    </r>
  </si>
  <si>
    <r>
      <rPr>
        <sz val="10"/>
        <rFont val="Noto Sans CJK SC"/>
        <family val="2"/>
      </rPr>
      <t xml:space="preserve">價銀拾肆兩</t>
    </r>
    <r>
      <rPr>
        <sz val="10"/>
        <rFont val="Arial"/>
        <family val="0"/>
        <charset val="1"/>
      </rPr>
      <t xml:space="preserve">; </t>
    </r>
    <r>
      <rPr>
        <sz val="10"/>
        <rFont val="Noto Sans CJK SC"/>
        <family val="2"/>
      </rPr>
      <t xml:space="preserve">銀貳拾元</t>
    </r>
  </si>
  <si>
    <t xml:space="preserve">閩侯縣草市都馬坑</t>
  </si>
  <si>
    <r>
      <rPr>
        <sz val="10"/>
        <rFont val="Noto Sans CJK SC"/>
        <family val="2"/>
      </rPr>
      <t xml:space="preserve">典 按 契 單 </t>
    </r>
    <r>
      <rPr>
        <sz val="10"/>
        <rFont val="Arial"/>
        <family val="0"/>
        <charset val="1"/>
      </rPr>
      <t xml:space="preserve">| </t>
    </r>
    <r>
      <rPr>
        <sz val="10"/>
        <rFont val="Noto Sans CJK SC"/>
        <family val="2"/>
      </rPr>
      <t xml:space="preserve">福建國稅廳籌備處</t>
    </r>
  </si>
  <si>
    <t xml:space="preserve">驗字第萬五七五十二號</t>
  </si>
  <si>
    <t xml:space="preserve">https://digital.library.pitt.edu/islandora/object/pitt:31735064607884</t>
  </si>
  <si>
    <t xml:space="preserve">典按契單福建國稅廳籌備處給發契單事案奉財政部電行劃一契紙章程內開本章程施行以前成立之不動產舊契無論已稅契未稅契均應一律限期呈驗逾限不呈驗者於訴訟時不能作為憑據一併函知司法機關認真辦理以為匿驗者戒等因奉此當經擬定分別徵收方法已稅之舊契每張收紙價壹元未稅之舊契每產價百元收紙價壹元其光復後新契已稅者不收紙價酌定正限三個月餘限兩個月逾期呈驗者分別加徵嚴罰經已電奉財政部核准照辦並通飭遵照在案今據閩侯縣業戶林有柱於清嘉慶拾年伍月日典受趙華藻田面租谷壹百柒拾斤坐落閩侯縣草市都馬坑地方東至西至北至坐向橫丈尺直丈尺中證楊海武原價銀拾肆兩中銀貳拾元原契已稅遵章依限呈驗應納紙價業已如數收訖合填契單粘連原契印給收執管業須至契單者右給業戶林有柱准此中華民國拾壹年拾壹月叁拾日給驗字第萬五七五十二號為</t>
  </si>
  <si>
    <t xml:space="preserve">31735066237334_001</t>
  </si>
  <si>
    <t xml:space="preserve">31735066237334</t>
  </si>
  <si>
    <t xml:space="preserve">1784/1830</t>
  </si>
  <si>
    <t xml:space="preserve">黃鴻吉</t>
  </si>
  <si>
    <t xml:space="preserve">熊長生</t>
  </si>
  <si>
    <t xml:space="preserve">熊亨讀</t>
  </si>
  <si>
    <t xml:space="preserve">Box 1, Folder 8</t>
  </si>
  <si>
    <t xml:space="preserve">乾隆肆拾玖年</t>
  </si>
  <si>
    <t xml:space="preserve">熊長生露</t>
  </si>
  <si>
    <r>
      <rPr>
        <sz val="10"/>
        <rFont val="Noto Sans CJK SC"/>
        <family val="2"/>
      </rPr>
      <t xml:space="preserve">價銀壹拾玖兩</t>
    </r>
    <r>
      <rPr>
        <sz val="10"/>
        <rFont val="Arial"/>
        <family val="0"/>
        <charset val="1"/>
      </rPr>
      <t xml:space="preserve">; </t>
    </r>
    <r>
      <rPr>
        <sz val="10"/>
        <rFont val="Noto Sans CJK SC"/>
        <family val="2"/>
      </rPr>
      <t xml:space="preserve">錢捌百文正</t>
    </r>
  </si>
  <si>
    <t xml:space="preserve">本處</t>
  </si>
  <si>
    <t xml:space="preserve">鄭成富</t>
  </si>
  <si>
    <t xml:space="preserve">https://digital.library.pitt.edu/islandora/object/pitt:31735066237334</t>
  </si>
  <si>
    <t xml:space="preserve">立賣契人熊長生同侄亨倫等鄉今因無錢應用自甘情愿即將已置有民田壹號坐址本處土名俗呼門首亭下大坂受種壹拾伍石正該糧壹畝壹分貳厘伍毫正其田叁年以房肆年當收托中送賣本晉堂侄亨讀處入首承買為業即日同中三面言議時值價銀壹拾玖兩廣正每兩的錢捌百文正即日收訖其田隨手退典讀晉業召佃中間明賣明買並無相貪俾俟等情亦未曾重張典掛外財物倘有未歷不明係是生出頭抵當不涉讀主之事其田自賣之後面約五拾叁年條價贖回不得刁難若是無力之日典買主管耕作其卦俟至大造之年推入讀戶內不必多推少收兩家甘允各無異言今啟有憑敬立契已紙付典讀為昭者乾隆肆拾玖年拾貳月日立賣契人熊長生露同侄人熊亨倫熊亨鄉為中人鄭成富在見人熊元廷嘉七第人張秉禮</t>
  </si>
  <si>
    <t xml:space="preserve">31735066237334_002</t>
  </si>
  <si>
    <t xml:space="preserve">道光拾年</t>
  </si>
  <si>
    <r>
      <rPr>
        <sz val="10"/>
        <rFont val="Noto Sans CJK SC"/>
        <family val="2"/>
      </rPr>
      <t xml:space="preserve">七軍人張秉禮福建督憲咨布政使司旨議奏事</t>
    </r>
    <r>
      <rPr>
        <sz val="10"/>
        <rFont val="Arial"/>
        <family val="0"/>
        <charset val="1"/>
      </rPr>
      <t xml:space="preserve">...</t>
    </r>
    <r>
      <rPr>
        <sz val="10"/>
        <rFont val="Noto Sans CJK SC"/>
        <family val="2"/>
      </rPr>
      <t xml:space="preserve">本年十二月十二日奏本日奉旨</t>
    </r>
    <r>
      <rPr>
        <sz val="10"/>
        <rFont val="Arial"/>
        <family val="0"/>
        <charset val="1"/>
      </rPr>
      <t xml:space="preserve">...</t>
    </r>
    <r>
      <rPr>
        <sz val="10"/>
        <rFont val="Noto Sans CJK SC"/>
        <family val="2"/>
      </rPr>
      <t xml:space="preserve">印存</t>
    </r>
    <r>
      <rPr>
        <sz val="10"/>
        <rFont val="Arial"/>
        <family val="0"/>
        <charset val="1"/>
      </rPr>
      <t xml:space="preserve">...</t>
    </r>
    <r>
      <rPr>
        <sz val="10"/>
        <rFont val="Noto Sans CJK SC"/>
        <family val="2"/>
      </rPr>
      <t xml:space="preserve">奏請</t>
    </r>
    <r>
      <rPr>
        <sz val="10"/>
        <rFont val="Arial"/>
        <family val="0"/>
        <charset val="1"/>
      </rPr>
      <t xml:space="preserve">...</t>
    </r>
    <r>
      <rPr>
        <sz val="10"/>
        <rFont val="Noto Sans CJK SC"/>
        <family val="2"/>
      </rPr>
      <t xml:space="preserve">官照</t>
    </r>
    <r>
      <rPr>
        <sz val="10"/>
        <rFont val="Arial"/>
        <family val="0"/>
        <charset val="1"/>
      </rPr>
      <t xml:space="preserve">...</t>
    </r>
    <r>
      <rPr>
        <sz val="10"/>
        <rFont val="Noto Sans CJK SC"/>
        <family val="2"/>
      </rPr>
      <t xml:space="preserve">爵印</t>
    </r>
    <r>
      <rPr>
        <sz val="10"/>
        <rFont val="Arial"/>
        <family val="0"/>
        <charset val="1"/>
      </rPr>
      <t xml:space="preserve">...</t>
    </r>
    <r>
      <rPr>
        <sz val="10"/>
        <rFont val="Noto Sans CJK SC"/>
        <family val="2"/>
      </rPr>
      <t xml:space="preserve">州經</t>
    </r>
    <r>
      <rPr>
        <sz val="10"/>
        <rFont val="Arial"/>
        <family val="0"/>
        <charset val="1"/>
      </rPr>
      <t xml:space="preserve">...</t>
    </r>
    <r>
      <rPr>
        <sz val="10"/>
        <rFont val="Noto Sans CJK SC"/>
        <family val="2"/>
      </rPr>
      <t xml:space="preserve">尾與</t>
    </r>
    <r>
      <rPr>
        <sz val="10"/>
        <rFont val="Arial"/>
        <family val="0"/>
        <charset val="1"/>
      </rPr>
      <t xml:space="preserve">...</t>
    </r>
    <r>
      <rPr>
        <sz val="10"/>
        <rFont val="Noto Sans CJK SC"/>
        <family val="2"/>
      </rPr>
      <t xml:space="preserve">之茶</t>
    </r>
    <r>
      <rPr>
        <sz val="10"/>
        <rFont val="Arial"/>
        <family val="0"/>
        <charset val="1"/>
      </rPr>
      <t xml:space="preserve">...</t>
    </r>
    <r>
      <rPr>
        <sz val="10"/>
        <rFont val="Noto Sans CJK SC"/>
        <family val="2"/>
      </rPr>
      <t xml:space="preserve">與稅</t>
    </r>
    <r>
      <rPr>
        <sz val="10"/>
        <rFont val="Arial"/>
        <family val="0"/>
        <charset val="1"/>
      </rPr>
      <t xml:space="preserve">...</t>
    </r>
    <r>
      <rPr>
        <sz val="10"/>
        <rFont val="Noto Sans CJK SC"/>
        <family val="2"/>
      </rPr>
      <t xml:space="preserve">府州</t>
    </r>
    <r>
      <rPr>
        <sz val="10"/>
        <rFont val="Arial"/>
        <family val="0"/>
        <charset val="1"/>
      </rPr>
      <t xml:space="preserve">...</t>
    </r>
    <r>
      <rPr>
        <sz val="10"/>
        <rFont val="Noto Sans CJK SC"/>
        <family val="2"/>
      </rPr>
      <t xml:space="preserve">為</t>
    </r>
    <r>
      <rPr>
        <sz val="10"/>
        <rFont val="Arial"/>
        <family val="0"/>
        <charset val="1"/>
      </rPr>
      <t xml:space="preserve">...</t>
    </r>
    <r>
      <rPr>
        <sz val="10"/>
        <rFont val="Noto Sans CJK SC"/>
        <family val="2"/>
      </rPr>
      <t xml:space="preserve">手</t>
    </r>
    <r>
      <rPr>
        <sz val="10"/>
        <rFont val="Arial"/>
        <family val="0"/>
        <charset val="1"/>
      </rPr>
      <t xml:space="preserve">...</t>
    </r>
    <r>
      <rPr>
        <sz val="10"/>
        <rFont val="Noto Sans CJK SC"/>
        <family val="2"/>
      </rPr>
      <t xml:space="preserve">收</t>
    </r>
    <r>
      <rPr>
        <sz val="10"/>
        <rFont val="Arial"/>
        <family val="0"/>
        <charset val="1"/>
      </rPr>
      <t xml:space="preserve">...</t>
    </r>
    <r>
      <rPr>
        <sz val="10"/>
        <rFont val="Noto Sans CJK SC"/>
        <family val="2"/>
      </rPr>
      <t xml:space="preserve">上</t>
    </r>
    <r>
      <rPr>
        <sz val="10"/>
        <rFont val="Arial"/>
        <family val="0"/>
        <charset val="1"/>
      </rPr>
      <t xml:space="preserve">...</t>
    </r>
    <r>
      <rPr>
        <sz val="10"/>
        <rFont val="Noto Sans CJK SC"/>
        <family val="2"/>
      </rPr>
      <t xml:space="preserve">契</t>
    </r>
    <r>
      <rPr>
        <sz val="10"/>
        <rFont val="Arial"/>
        <family val="0"/>
        <charset val="1"/>
      </rPr>
      <t xml:space="preserve">...</t>
    </r>
    <r>
      <rPr>
        <sz val="10"/>
        <rFont val="Noto Sans CJK SC"/>
        <family val="2"/>
      </rPr>
      <t xml:space="preserve">部</t>
    </r>
    <r>
      <rPr>
        <sz val="10"/>
        <rFont val="Arial"/>
        <family val="0"/>
        <charset val="1"/>
      </rPr>
      <t xml:space="preserve">...</t>
    </r>
    <r>
      <rPr>
        <sz val="10"/>
        <rFont val="Noto Sans CJK SC"/>
        <family val="2"/>
      </rPr>
      <t xml:space="preserve">體</t>
    </r>
    <r>
      <rPr>
        <sz val="10"/>
        <rFont val="Arial"/>
        <family val="0"/>
        <charset val="1"/>
      </rPr>
      <t xml:space="preserve">...</t>
    </r>
    <r>
      <rPr>
        <sz val="10"/>
        <rFont val="Noto Sans CJK SC"/>
        <family val="2"/>
      </rPr>
      <t xml:space="preserve">可</t>
    </r>
    <r>
      <rPr>
        <sz val="10"/>
        <rFont val="Arial"/>
        <family val="0"/>
        <charset val="1"/>
      </rPr>
      <t xml:space="preserve">...</t>
    </r>
    <r>
      <rPr>
        <sz val="10"/>
        <rFont val="Noto Sans CJK SC"/>
        <family val="2"/>
      </rPr>
      <t xml:space="preserve">此</t>
    </r>
    <r>
      <rPr>
        <sz val="10"/>
        <rFont val="Arial"/>
        <family val="0"/>
        <charset val="1"/>
      </rPr>
      <t xml:space="preserve">...</t>
    </r>
    <r>
      <rPr>
        <sz val="10"/>
        <rFont val="Noto Sans CJK SC"/>
        <family val="2"/>
      </rPr>
      <t xml:space="preserve">伍</t>
    </r>
    <r>
      <rPr>
        <sz val="10"/>
        <rFont val="Arial"/>
        <family val="0"/>
        <charset val="1"/>
      </rPr>
      <t xml:space="preserve">...</t>
    </r>
    <r>
      <rPr>
        <sz val="10"/>
        <rFont val="Noto Sans CJK SC"/>
        <family val="2"/>
      </rPr>
      <t xml:space="preserve">正</t>
    </r>
    <r>
      <rPr>
        <sz val="10"/>
        <rFont val="Arial"/>
        <family val="0"/>
        <charset val="1"/>
      </rPr>
      <t xml:space="preserve">...</t>
    </r>
    <r>
      <rPr>
        <sz val="10"/>
        <rFont val="Noto Sans CJK SC"/>
        <family val="2"/>
      </rPr>
      <t xml:space="preserve">用</t>
    </r>
    <r>
      <rPr>
        <sz val="10"/>
        <rFont val="Arial"/>
        <family val="0"/>
        <charset val="1"/>
      </rPr>
      <t xml:space="preserve">...</t>
    </r>
    <r>
      <rPr>
        <sz val="10"/>
        <rFont val="Noto Sans CJK SC"/>
        <family val="2"/>
      </rPr>
      <t xml:space="preserve">正布字貳千玖百貳拾貳號給古臣</t>
    </r>
    <r>
      <rPr>
        <sz val="10"/>
        <rFont val="Arial"/>
        <family val="0"/>
        <charset val="1"/>
      </rPr>
      <t xml:space="preserve">...</t>
    </r>
    <r>
      <rPr>
        <sz val="10"/>
        <rFont val="Noto Sans CJK SC"/>
        <family val="2"/>
      </rPr>
      <t xml:space="preserve">黃鴻吉道光拾年拾</t>
    </r>
    <r>
      <rPr>
        <sz val="10"/>
        <rFont val="Arial"/>
        <family val="0"/>
        <charset val="1"/>
      </rPr>
      <t xml:space="preserve">......</t>
    </r>
  </si>
  <si>
    <t xml:space="preserve">31735066237342_001</t>
  </si>
  <si>
    <t xml:space="preserve">31735066237342</t>
  </si>
  <si>
    <t xml:space="preserve">1870/1907</t>
  </si>
  <si>
    <r>
      <rPr>
        <sz val="10"/>
        <rFont val="Noto Sans CJK SC"/>
        <family val="2"/>
      </rPr>
      <t xml:space="preserve">屏南 </t>
    </r>
    <r>
      <rPr>
        <sz val="10"/>
        <rFont val="Arial"/>
        <family val="0"/>
        <charset val="1"/>
      </rPr>
      <t xml:space="preserve">/ </t>
    </r>
    <r>
      <rPr>
        <sz val="10"/>
        <rFont val="Noto Sans CJK SC"/>
        <family val="2"/>
      </rPr>
      <t xml:space="preserve">古田</t>
    </r>
  </si>
  <si>
    <t xml:space="preserve">福建省屏南縣和古田縣</t>
  </si>
  <si>
    <t xml:space="preserve">張蘭芬</t>
  </si>
  <si>
    <t xml:space="preserve">張昌暢</t>
  </si>
  <si>
    <t xml:space="preserve">張邦昔</t>
  </si>
  <si>
    <t xml:space="preserve">Box 1, Folder 49</t>
  </si>
  <si>
    <t xml:space="preserve">價銀貳拾伍兩正</t>
  </si>
  <si>
    <t xml:space="preserve">https://digital.library.pitt.edu/islandora/object/pitt:31735066237342</t>
  </si>
  <si>
    <t xml:space="preserve">立典契張昌暢今因官事無錢使用即將父手闔分已公有民田壹號唯批本處草坂田該糧捌分正其四至上至山下至溪左至大成田右至大成田四至明白歷言無異托中送典邦昔承受為業出價銀貳拾伍兩正契立銀收足訖無掛分厘中間明典明受並無相俾貪等情其田自典之後任昔管業收租其錢糧照契津助完納其年限隨年備價贖回無力者任昔管業收租且暢不敢異言等情中用酒食俱免兩家甘愿各無異言今欲有憑立典契壹紙為照同治玖年五月日吉立典契人張昌暢為中胞孫張大都</t>
  </si>
  <si>
    <t xml:space="preserve">31735066237342_002</t>
  </si>
  <si>
    <t xml:space="preserve">乾隆一五年</t>
  </si>
  <si>
    <r>
      <rPr>
        <sz val="10"/>
        <rFont val="Noto Sans CJK SC"/>
        <family val="2"/>
      </rPr>
      <t xml:space="preserve">納稅時</t>
    </r>
    <r>
      <rPr>
        <sz val="10"/>
        <rFont val="Arial"/>
        <family val="0"/>
        <charset val="1"/>
      </rPr>
      <t xml:space="preserve">; </t>
    </r>
    <r>
      <rPr>
        <sz val="10"/>
        <rFont val="Noto Sans CJK SC"/>
        <family val="2"/>
      </rPr>
      <t xml:space="preserve">收據後幅</t>
    </r>
  </si>
  <si>
    <t xml:space="preserve">為中胞孫張大都福建等處承宣布政使司為選旨議奏事乾隆一五年正月二十四日奉准戶部咨河南司案呈所有本知縣陝西布政使富明條奏買賣田產將契尾備起即行查驗等因一摺下本年十二月十二日奉本日奉旨依議欽此相應抄錄原奏并頒發格式行文福建巡撫欽遵辦理可也其格式一張內開該臣等查得該布政使富明奏稱部議多頒契尾以後巧取病民給業戶契尾例不與照根同申上司查驗不有司其與民契尾則按數登填而于存官照根或將實銀開改請補後州縣於業戶納稅時將契尾粘連用印存貯每遇千號申送知府直隸州查對如姓名銀數相符即將應給業戶之契尾并州縣備案之照根于驗處處裁分列給存其應申藩司照根于季報時府州彙送至知府直隸州經收稅契照州縣之例徑送藩司等語查雜稅與正賦均由州縣造冊該管府州核完納正賦實為縣三司更從未議將契尾由州縣申送府州查驗誠以花戶照票一繳府州則給領無時弊端易起今稅契雜項契尾與照根并送查發是難項吏嚴于止賦殊與政體未協况契尾一項經衙門即多一衙門之停關由一吏胥即多一吏胥之索求甚至查驗為奸徒藉端查以致業戶經年累月求一執照寧家而不可得勢必多方打點需索之費數倍于前將來視稅稅為畏途觀望延緩無庸自製而本縣子國課毫無裨益應將該布政使奏請州縣經收稅銀將契尾粘連存貯十號申送直隸州查驗并知府直隸州照州縣例徑送藩司之處均屬庸妄且以天報小奸民爭執計訟實緣法久弊生不可不量為變通臣等酌議嗣後布政司頒發給民契尾格式編列號及前半幅照常細書業戶等姓名實出房數目價銀稅銀若干後半幅于空白處預鈐司印以備投稅時將契價銀數目大字填寫鈐印之處令業戶看明當面隨字蓋開前幅給業戶收據後幅同季冊彙送布政司查核此係一行筆跡平分為二大小數目委難混換其從前州縣布政司備查各契尾應行停止以省繁文庶契尾無停攔之虞而契價無參差之弊于民無累于稅無虧侵蝕可杜而爭訟可息矣如徐允俊</t>
  </si>
  <si>
    <t xml:space="preserve">31735066237359_001</t>
  </si>
  <si>
    <t xml:space="preserve">31735066237359</t>
  </si>
  <si>
    <t xml:space="preserve">1864/1872</t>
  </si>
  <si>
    <t xml:space="preserve">張利禧</t>
  </si>
  <si>
    <t xml:space="preserve">鄭嬌姑</t>
  </si>
  <si>
    <t xml:space="preserve">鄭淳氏</t>
  </si>
  <si>
    <t xml:space="preserve">Box 1, Folder 39</t>
  </si>
  <si>
    <t xml:space="preserve">立會貽畫契</t>
  </si>
  <si>
    <r>
      <rPr>
        <sz val="10"/>
        <rFont val="Noto Sans CJK SC"/>
        <family val="2"/>
      </rPr>
      <t xml:space="preserve">同治伍年</t>
    </r>
    <r>
      <rPr>
        <sz val="10"/>
        <rFont val="Arial"/>
        <family val="0"/>
        <charset val="1"/>
      </rPr>
      <t xml:space="preserve">; </t>
    </r>
    <r>
      <rPr>
        <sz val="10"/>
        <rFont val="Noto Sans CJK SC"/>
        <family val="2"/>
      </rPr>
      <t xml:space="preserve">同治叁年</t>
    </r>
  </si>
  <si>
    <t xml:space="preserve">楊門郭嬌</t>
  </si>
  <si>
    <r>
      <rPr>
        <sz val="10"/>
        <rFont val="Noto Sans CJK SC"/>
        <family val="2"/>
      </rPr>
      <t xml:space="preserve">價銀伍拾兩正</t>
    </r>
    <r>
      <rPr>
        <sz val="10"/>
        <rFont val="Arial"/>
        <family val="0"/>
        <charset val="1"/>
      </rPr>
      <t xml:space="preserve">; </t>
    </r>
    <r>
      <rPr>
        <sz val="10"/>
        <rFont val="Noto Sans CJK SC"/>
        <family val="2"/>
      </rPr>
      <t xml:space="preserve">銀各兩共銀拾兩文</t>
    </r>
  </si>
  <si>
    <t xml:space="preserve">玄胞弟</t>
  </si>
  <si>
    <t xml:space="preserve">https://digital.library.pitt.edu/islandora/object/pitt:31735066237359</t>
  </si>
  <si>
    <t xml:space="preserve">立會貽畫契楊門郭氏嬌姑認故玄大松有閩分已業民田一號土名東洋及溪井佔所有祖石鐵根供載原典明白不必重叙該田陸氏交出由本族潘士公業潘男大林于下湖林道將該田以契轉售玄胞叔浩士公男大鈞同張氏潘並未張我蔡因大林男成器親親兩鈞互指各在業業潘邑主訊明該田由器點贖世傳謝令氏備價取贖詎器將氏玄手齋案有帶備錢為拾子文呈指追做氏居女流又崇謝氏備做因共指做項仍將該田托中向在夫妻不大鈞靈會貽畫出價銀伍拾兩正其銀各兩共銀拾兩文呈立契之日今中親和足訖不少隻文其田自畫之田便已滿足有贖世貽言同治伍年冬本田仍氏備办原畫價銀一兩取贖限內氏不得取贖限外鈞亦不得做當倘若世贖其田仍鈞以契表覆業耳氏不敢畧言兩允世悔之歎有愧立會貽畫契一帝為照外中用銀壹兩五錢正再照認係謙原契畫畫伍伍帝司伍帝同治叁年叁月日立會貽畫契楊門郭嬌姑知契養仔銀在見玄胞弟大相號為契法功江勸渝中張正平應八字除乾三</t>
  </si>
  <si>
    <t xml:space="preserve">31735066237359_002</t>
  </si>
  <si>
    <t xml:space="preserve">同治拾壹年</t>
  </si>
  <si>
    <t xml:space="preserve">古田縣</t>
  </si>
  <si>
    <r>
      <rPr>
        <sz val="10"/>
        <rFont val="Noto Sans CJK SC"/>
        <family val="2"/>
      </rPr>
      <t xml:space="preserve">尾契同治拾壹年冬布字叁千貳百拾肆號右給古田縣朱張利禧捐契</t>
    </r>
    <r>
      <rPr>
        <sz val="10"/>
        <rFont val="Arial"/>
        <family val="0"/>
        <charset val="1"/>
      </rPr>
      <t xml:space="preserve">'(Verticaltextonthefarrightedge,possiblyadateorasignature.Itreads'</t>
    </r>
    <r>
      <rPr>
        <sz val="10"/>
        <rFont val="Noto Sans CJK SC"/>
        <family val="2"/>
      </rPr>
      <t xml:space="preserve">乾隆三</t>
    </r>
    <r>
      <rPr>
        <sz val="10"/>
        <rFont val="Arial"/>
        <family val="0"/>
        <charset val="1"/>
      </rPr>
      <t xml:space="preserve">'(Qianlong3)andothercharacters.Verticaltextontheleftedge,possiblyadateorasignature.Itreads'</t>
    </r>
    <r>
      <rPr>
        <sz val="10"/>
        <rFont val="Noto Sans CJK SC"/>
        <family val="2"/>
      </rPr>
      <t xml:space="preserve">同治拾壹年冬</t>
    </r>
    <r>
      <rPr>
        <sz val="10"/>
        <rFont val="Arial"/>
        <family val="0"/>
        <charset val="1"/>
      </rPr>
      <t xml:space="preserve">'(Tongzhi11thyear,Winter).</t>
    </r>
  </si>
  <si>
    <t xml:space="preserve">31735066237367_001</t>
  </si>
  <si>
    <t xml:space="preserve">31735066237367</t>
  </si>
  <si>
    <t xml:space="preserve">1767</t>
  </si>
  <si>
    <t xml:space="preserve">南平</t>
  </si>
  <si>
    <t xml:space="preserve">福建省南平縣</t>
  </si>
  <si>
    <t xml:space="preserve">徐幹通</t>
  </si>
  <si>
    <t xml:space="preserve">熊孫</t>
  </si>
  <si>
    <t xml:space="preserve">Box 1, Folder 6</t>
  </si>
  <si>
    <t xml:space="preserve">土名小溪滌下壠年收畝谷柒羅伍斗實</t>
  </si>
  <si>
    <t xml:space="preserve">https://digital.library.pitt.edu/islandora/object/pitt:31735066237367</t>
  </si>
  <si>
    <r>
      <rPr>
        <sz val="10"/>
        <rFont val="Noto Sans CJK SC"/>
        <family val="2"/>
      </rPr>
      <t xml:space="preserve">立賣契人徐幹通全侄士厚承祖遺下有畝田一段坐落土名小溪滌下壠年收畝谷柒羅伍斗實載畝柒林伍一于先年文起等共抽出畝谷壹羅捌斗柒林伍一應應孫為業有契存一幹通叔侄自己者一向存畝谷陸斗貳林伍合實載民畝陸合貳自伍抄外有隨田鴨肆隻為因缺少銀物應用情願即將己不畝谷壹鴨托中前去召賣先問房親兄弟人等各不願能已得峽陽應能孫進前承買當日今中三面言議定時值土風案賣得契價收銀貳兩貳錢其銀即日交收足說不欠八厘其畝現存概此二畝三甲徐壬童戶內輸差之情願推出典應完收入峽陽二畝二甲應能茂戶內完糧不得照累其田未之先並不會典掛外人財物亦無准拍之類如作賣者出願底當之事的徐二家元各無收悔之故有憑立賣契為照了乾隆叁拾貳年拾貳月日立賣契人徐幹通</t>
    </r>
    <r>
      <rPr>
        <sz val="10"/>
        <rFont val="Arial"/>
        <family val="0"/>
        <charset val="1"/>
      </rPr>
      <t xml:space="preserve">+</t>
    </r>
    <r>
      <rPr>
        <sz val="10"/>
        <rFont val="Noto Sans CJK SC"/>
        <family val="2"/>
      </rPr>
      <t xml:space="preserve">小侄徐士厚啟代字中徐起孫謹</t>
    </r>
  </si>
  <si>
    <t xml:space="preserve">31735066237375_001</t>
  </si>
  <si>
    <t xml:space="preserve">31735066237375</t>
  </si>
  <si>
    <t xml:space="preserve">1779</t>
  </si>
  <si>
    <t xml:space="preserve">李有定</t>
  </si>
  <si>
    <t xml:space="preserve">謝氏</t>
  </si>
  <si>
    <t xml:space="preserve">Box 1, Folder 7</t>
  </si>
  <si>
    <r>
      <rPr>
        <sz val="10"/>
        <rFont val="Noto Sans CJK SC"/>
        <family val="2"/>
      </rPr>
      <t xml:space="preserve">乾隆叁拾壹年</t>
    </r>
    <r>
      <rPr>
        <sz val="10"/>
        <rFont val="Arial"/>
        <family val="0"/>
        <charset val="1"/>
      </rPr>
      <t xml:space="preserve">; </t>
    </r>
    <r>
      <rPr>
        <sz val="10"/>
        <rFont val="Noto Sans CJK SC"/>
        <family val="2"/>
      </rPr>
      <t xml:space="preserve">乾隆四十四年</t>
    </r>
  </si>
  <si>
    <t xml:space="preserve">閩清縣陳洋</t>
  </si>
  <si>
    <t xml:space="preserve">段章綬</t>
  </si>
  <si>
    <t xml:space="preserve">https://digital.library.pitt.edu/islandora/object/pitt:31735066237375</t>
  </si>
  <si>
    <t xml:space="preserve">立湊字李有定於乾隆叁拾壹年向有民田數號坐落閩清縣陳洋地方祖母手典在謝處其銀兩租額土名俱載在原契內明白今因乏用托友向謝處嗟出價銀貳兩五錢正其田所謝任田管業面約加限叁年俟滿之日所李家備價照原湊契面銀兩贖回謝家不得執留今欲有號立湊字壹字為照乾隆四十四年拾月立湊字李有定在見段章綬簽</t>
  </si>
  <si>
    <t xml:space="preserve">31735066237383_001</t>
  </si>
  <si>
    <t xml:space="preserve">31735066237383</t>
  </si>
  <si>
    <t xml:space="preserve">1872</t>
  </si>
  <si>
    <t xml:space="preserve">陳裔煌</t>
  </si>
  <si>
    <t xml:space="preserve">鄭璟</t>
  </si>
  <si>
    <t xml:space="preserve">Box 2, Folder 52</t>
  </si>
  <si>
    <t xml:space="preserve">陳高煌</t>
  </si>
  <si>
    <r>
      <rPr>
        <sz val="10"/>
        <rFont val="Noto Sans CJK SC"/>
        <family val="2"/>
      </rPr>
      <t xml:space="preserve">價銀肆拾柒兩</t>
    </r>
    <r>
      <rPr>
        <sz val="10"/>
        <rFont val="Arial"/>
        <family val="0"/>
        <charset val="1"/>
      </rPr>
      <t xml:space="preserve">; </t>
    </r>
    <r>
      <rPr>
        <sz val="10"/>
        <rFont val="Noto Sans CJK SC"/>
        <family val="2"/>
      </rPr>
      <t xml:space="preserve">銀每兩折錢捌百肆拾文</t>
    </r>
  </si>
  <si>
    <t xml:space="preserve">俗呼棋盤座談</t>
  </si>
  <si>
    <t xml:space="preserve">吳廷接</t>
  </si>
  <si>
    <t xml:space="preserve">甘興業</t>
  </si>
  <si>
    <t xml:space="preserve">堂兄高森</t>
  </si>
  <si>
    <t xml:space="preserve">https://digital.library.pitt.edu/islandora/object/pitt:31735066237383</t>
  </si>
  <si>
    <t xml:space="preserve">契券立典契陳高煌全弟高輝承祖手有民田壹號坐址本處地方土名俗呼棋盤座談田貳畝伍分正歷年收租管業無異今因無銀應用自情愿托中引在本墩鄭處正璟邊入頭承買收租為業三面言議時值契價銀肆拾柒兩伍錢數廣正其銀立契之日是煌兄弟收訖無少分厘其田隨即退與璟前去收租管業且煌兄弟不敢阻霸異言其田中間並無抑勒亦未曾重掛他財倘有來歷不明是煌出抵不涉璟之事其錢糧逐年照畝津助俟至大造之年推入鄭家戶內歸已完納其限面約伍冬滿足外任煌備办價銀每兩折錢捌百肆拾文算贖回如無力任璟收租管業等情兩兄無悔今欵有憑托立典契壹紙併繳原畫斷契叁紙共肆紙為照今領上項交閱契價銀肆拾柒兩伍錢數廣正同治拾壹年十一月中用酒席俱與再照舊立典契陳高煌全弟全弟高輝在見堂兄高森中人吳廷接代筆甘興業壽</t>
  </si>
  <si>
    <t xml:space="preserve">31735066237391_001</t>
  </si>
  <si>
    <t xml:space="preserve">31735066237391</t>
  </si>
  <si>
    <t xml:space="preserve">1869</t>
  </si>
  <si>
    <t xml:space="preserve">屏南</t>
  </si>
  <si>
    <t xml:space="preserve">福建省屏南縣</t>
  </si>
  <si>
    <t xml:space="preserve">輝煌</t>
  </si>
  <si>
    <t xml:space="preserve">蘇坐標</t>
  </si>
  <si>
    <t xml:space="preserve">Box 1, Folder 46</t>
  </si>
  <si>
    <t xml:space="preserve">立直根批</t>
  </si>
  <si>
    <t xml:space="preserve">同治八年</t>
  </si>
  <si>
    <t xml:space="preserve">一紙為照</t>
  </si>
  <si>
    <t xml:space="preserve">價伐肆拾壺千陸百文正</t>
  </si>
  <si>
    <t xml:space="preserve">宗弟士治</t>
  </si>
  <si>
    <t xml:space="preserve">出嗣弟輝灼</t>
  </si>
  <si>
    <t xml:space="preserve">https://digital.library.pitt.edu/islandora/object/pitt:31735066237391</t>
  </si>
  <si>
    <t xml:space="preserve">立直根批宗弟輝煌於父手置有民田三號址在本處土名俗叫烏石后半嶺及四旋又及草坵式旋共該祖公石鄉正折實田共式畝四分官止但此田太祖前年間出典在根主蘇作標處今因乏伐應用即將此田又托中向在根主作標送入頭承根為業今中言議時值根價伐肆拾壺千陸百文正其伐親收足訖無少隻文其田自根之后隨手即退與標子孫前去召佃耕作愛業中間授受清楚並無抑勒俸算情由亦未曾重根別人財物倘有未歷不明係煌出抵不涉標之事而尤無悔今欲有憑立直根批一紙為照同治八年十二月日親立直根批宗弟輝煌知根胞弟輝煌在見出嗣弟輝灼中人宗弟士治梅蘇作標</t>
  </si>
  <si>
    <t xml:space="preserve">31735066237391_002</t>
  </si>
  <si>
    <t xml:space="preserve">...</t>
  </si>
  <si>
    <r>
      <rPr>
        <sz val="10"/>
        <rFont val="Arial"/>
        <family val="0"/>
        <charset val="1"/>
      </rPr>
      <t xml:space="preserve">103</t>
    </r>
    <r>
      <rPr>
        <sz val="10"/>
        <rFont val="Noto Sans CJK SC"/>
        <family val="2"/>
      </rPr>
      <t xml:space="preserve">善作標</t>
    </r>
    <r>
      <rPr>
        <sz val="10"/>
        <rFont val="Arial"/>
        <family val="0"/>
        <charset val="1"/>
      </rPr>
      <t xml:space="preserve">48</t>
    </r>
    <r>
      <rPr>
        <sz val="10"/>
        <rFont val="Noto Sans CJK SC"/>
        <family val="2"/>
      </rPr>
      <t xml:space="preserve">忠大花加豐忠大花計加豐中人</t>
    </r>
    <r>
      <rPr>
        <sz val="10"/>
        <rFont val="Arial"/>
        <family val="0"/>
        <charset val="1"/>
      </rPr>
      <t xml:space="preserve">...</t>
    </r>
    <r>
      <rPr>
        <sz val="10"/>
        <rFont val="Noto Sans CJK SC"/>
        <family val="2"/>
      </rPr>
      <t xml:space="preserve">忠大花</t>
    </r>
    <r>
      <rPr>
        <sz val="10"/>
        <rFont val="Arial"/>
        <family val="0"/>
        <charset val="1"/>
      </rPr>
      <t xml:space="preserve">...</t>
    </r>
    <r>
      <rPr>
        <sz val="10"/>
        <rFont val="Noto Sans CJK SC"/>
        <family val="2"/>
      </rPr>
      <t xml:space="preserve">加豐</t>
    </r>
    <r>
      <rPr>
        <sz val="10"/>
        <rFont val="Arial"/>
        <family val="0"/>
        <charset val="1"/>
      </rPr>
      <t xml:space="preserve">...</t>
    </r>
    <r>
      <rPr>
        <sz val="10"/>
        <rFont val="Noto Sans CJK SC"/>
        <family val="2"/>
      </rPr>
      <t xml:space="preserve">忠大花</t>
    </r>
    <r>
      <rPr>
        <sz val="10"/>
        <rFont val="Arial"/>
        <family val="0"/>
        <charset val="1"/>
      </rPr>
      <t xml:space="preserve">...</t>
    </r>
    <r>
      <rPr>
        <sz val="10"/>
        <rFont val="Noto Sans CJK SC"/>
        <family val="2"/>
      </rPr>
      <t xml:space="preserve">加豐</t>
    </r>
    <r>
      <rPr>
        <sz val="10"/>
        <rFont val="Arial"/>
        <family val="0"/>
        <charset val="1"/>
      </rPr>
      <t xml:space="preserve">...</t>
    </r>
    <r>
      <rPr>
        <sz val="10"/>
        <rFont val="Noto Sans CJK SC"/>
        <family val="2"/>
      </rPr>
      <t xml:space="preserve">同治八年十二月日</t>
    </r>
  </si>
  <si>
    <t xml:space="preserve">31735066237409_001</t>
  </si>
  <si>
    <t xml:space="preserve">31735066237409</t>
  </si>
  <si>
    <t xml:space="preserve">安徽省歙縣</t>
  </si>
  <si>
    <t xml:space="preserve">羅</t>
  </si>
  <si>
    <t xml:space="preserve">Box 1, Folder 17</t>
  </si>
  <si>
    <t xml:space="preserve">契尾</t>
  </si>
  <si>
    <r>
      <rPr>
        <sz val="10"/>
        <rFont val="Noto Sans CJK SC"/>
        <family val="2"/>
      </rPr>
      <t xml:space="preserve">收</t>
    </r>
    <r>
      <rPr>
        <sz val="10"/>
        <rFont val="Arial"/>
        <family val="0"/>
        <charset val="1"/>
      </rPr>
      <t xml:space="preserve">...; </t>
    </r>
    <r>
      <rPr>
        <sz val="10"/>
        <rFont val="Noto Sans CJK SC"/>
        <family val="2"/>
      </rPr>
      <t xml:space="preserve">看</t>
    </r>
    <r>
      <rPr>
        <sz val="10"/>
        <rFont val="Arial"/>
        <family val="0"/>
        <charset val="1"/>
      </rPr>
      <t xml:space="preserve">...</t>
    </r>
  </si>
  <si>
    <t xml:space="preserve">https://digital.library.pitt.edu/islandora/object/pitt:31735066237409</t>
  </si>
  <si>
    <r>
      <rPr>
        <sz val="10"/>
        <rFont val="Noto Sans CJK SC"/>
        <family val="2"/>
      </rPr>
      <t xml:space="preserve">契尾江南安徽等處承印布政使司局處吉肅春奉察院牌戶部奏為前次改訂田賦給與契尾</t>
    </r>
    <r>
      <rPr>
        <sz val="10"/>
        <rFont val="Arial"/>
        <family val="0"/>
        <charset val="1"/>
      </rPr>
      <t xml:space="preserve">...</t>
    </r>
    <r>
      <rPr>
        <sz val="10"/>
        <rFont val="Noto Sans CJK SC"/>
        <family val="2"/>
      </rPr>
      <t xml:space="preserve">照常細書業戶等姓名</t>
    </r>
    <r>
      <rPr>
        <sz val="10"/>
        <rFont val="Arial"/>
        <family val="0"/>
        <charset val="1"/>
      </rPr>
      <t xml:space="preserve">...</t>
    </r>
    <r>
      <rPr>
        <sz val="10"/>
        <rFont val="Noto Sans CJK SC"/>
        <family val="2"/>
      </rPr>
      <t xml:space="preserve">司印以便稅務</t>
    </r>
    <r>
      <rPr>
        <sz val="10"/>
        <rFont val="Arial"/>
        <family val="0"/>
        <charset val="1"/>
      </rPr>
      <t xml:space="preserve">...</t>
    </r>
    <r>
      <rPr>
        <sz val="10"/>
        <rFont val="Noto Sans CJK SC"/>
        <family val="2"/>
      </rPr>
      <t xml:space="preserve">字樣開前幅給業戶收</t>
    </r>
    <r>
      <rPr>
        <sz val="10"/>
        <rFont val="Arial"/>
        <family val="0"/>
        <charset val="1"/>
      </rPr>
      <t xml:space="preserve">...</t>
    </r>
    <r>
      <rPr>
        <sz val="10"/>
        <rFont val="Noto Sans CJK SC"/>
        <family val="2"/>
      </rPr>
      <t xml:space="preserve">查核欽此欽遵察院行</t>
    </r>
    <r>
      <rPr>
        <sz val="10"/>
        <rFont val="Arial"/>
        <family val="0"/>
        <charset val="1"/>
      </rPr>
      <t xml:space="preserve">...</t>
    </r>
    <r>
      <rPr>
        <sz val="10"/>
        <rFont val="Noto Sans CJK SC"/>
        <family val="2"/>
      </rPr>
      <t xml:space="preserve">特登項仍令業戶看</t>
    </r>
    <r>
      <rPr>
        <sz val="10"/>
        <rFont val="Arial"/>
        <family val="0"/>
        <charset val="1"/>
      </rPr>
      <t xml:space="preserve">...</t>
    </r>
    <r>
      <rPr>
        <sz val="10"/>
        <rFont val="Noto Sans CJK SC"/>
        <family val="2"/>
      </rPr>
      <t xml:space="preserve">司查核轉報院部毋</t>
    </r>
    <r>
      <rPr>
        <sz val="10"/>
        <rFont val="Arial"/>
        <family val="0"/>
        <charset val="1"/>
      </rPr>
      <t xml:space="preserve">...</t>
    </r>
    <r>
      <rPr>
        <sz val="10"/>
        <rFont val="Noto Sans CJK SC"/>
        <family val="2"/>
      </rPr>
      <t xml:space="preserve">計開</t>
    </r>
    <r>
      <rPr>
        <sz val="10"/>
        <rFont val="Arial"/>
        <family val="0"/>
        <charset val="1"/>
      </rPr>
      <t xml:space="preserve">...</t>
    </r>
  </si>
  <si>
    <t xml:space="preserve">31735066237417_001</t>
  </si>
  <si>
    <t xml:space="preserve">31735066237417</t>
  </si>
  <si>
    <t xml:space="preserve">1849</t>
  </si>
  <si>
    <t xml:space="preserve">林元鼎</t>
  </si>
  <si>
    <t xml:space="preserve">Box 1, Folder 32</t>
  </si>
  <si>
    <t xml:space="preserve">https://digital.library.pitt.edu/islandora/object/pitt:31735066237417</t>
  </si>
  <si>
    <t xml:space="preserve">大</t>
  </si>
  <si>
    <t xml:space="preserve">31735066237425_001</t>
  </si>
  <si>
    <t xml:space="preserve">31735066237425</t>
  </si>
  <si>
    <t xml:space="preserve">1920</t>
  </si>
  <si>
    <t xml:space="preserve">張氏</t>
  </si>
  <si>
    <t xml:space="preserve">林欽祥</t>
  </si>
  <si>
    <t xml:space="preserve">Box 2, Folder 109</t>
  </si>
  <si>
    <t xml:space="preserve">民國九年</t>
  </si>
  <si>
    <t xml:space="preserve">林張氏</t>
  </si>
  <si>
    <t xml:space="preserve">價錢台伏叁拾貳元正</t>
  </si>
  <si>
    <t xml:space="preserve">本洋</t>
  </si>
  <si>
    <t xml:space="preserve">后塢</t>
  </si>
  <si>
    <t xml:space="preserve">趙允坤</t>
  </si>
  <si>
    <t xml:space="preserve">胞伯久水</t>
  </si>
  <si>
    <t xml:space="preserve">https://digital.library.pitt.edu/islandora/object/pitt:31735066237425</t>
  </si>
  <si>
    <t xml:space="preserve">立賣新契弟婦張氏原夫在日閩分下有民洋田面根全壹號坐產本洋土名后塢地方計丈拾分零東至長意桔樹西至長意桔樹南至長意桔樹北至乾茂田四至明白今因要用托中將此面根全田賣新兩夫伯欽祥震永遠為業三面言議今日賣新示價錢台伏叁拾貳元正其錢即日收足其田听買主前去翻犁耕作收掌子粒了納糧色听從通甲入戶但此面根全田係夫在日閩分下物業與親疎伯叔侄等無干並未曾重張典當他人財物以及未歷不明等情如有此情係夫弟婦云頭承當與夫伯無涉自賣新之汝係心愿承新萬藤向汝不得言湊言贖亦不得別生枝節之理兩相允愿各反恣恐口無憑立賣新契壹紙為照內標註大宇字樣照內標原契夾號不便繳付標照內標土埋長意西月坪下式柄鐸听買主挑土運回標照知契翁仕修謹民國九年九月吉日立賣新契林張氏在見胞伯久水謹久善仲人月生代筆趙允坤謹</t>
  </si>
  <si>
    <t xml:space="preserve">31735066237433_001</t>
  </si>
  <si>
    <t xml:space="preserve">31735066237433</t>
  </si>
  <si>
    <t xml:space="preserve">1928</t>
  </si>
  <si>
    <t xml:space="preserve">盧亨雲</t>
  </si>
  <si>
    <t xml:space="preserve">Box 3, Folder 137</t>
  </si>
  <si>
    <t xml:space="preserve">中華民國十七年</t>
  </si>
  <si>
    <t xml:space="preserve">價四十一元</t>
  </si>
  <si>
    <t xml:space="preserve">驗 稅 契 證</t>
  </si>
  <si>
    <t xml:space="preserve">https://digital.library.pitt.edu/islandora/object/pitt:31735066237433</t>
  </si>
  <si>
    <t xml:space="preserve">驗稅契證福建財政廳為給發驗稅契證事案奉國民政府財政部訓令頒發驗契暫行條例及各省驗契章程凡在此次開辦驗契以前成立之不動產舊契無論已稅未稅均應一律限期呈驗換發新契紙倘逾限不呈驗遇有訴訟不能作為憑證如經人告發或官廳查出者並加以處罰業由財政部咨行司法部通飭遵辦以為匿驗有戒等因奉此當經擬具徵收方法電奉財政部核准照辦並已訂定本省驗契補充辦法分別通令布告遵照在案茲據業戶盧亨雲呈繳已稅田契壹紙產價四十一元坐落四至原契已載明白遵章呈驗應納紙價六元八角分註冊費一角附加教育費貳角業已如數收訖除註冊外另填驗稅契證粘連原契印給收執管業須至契證者恩增戶右給業戶盧亨雲准此每張收銀五文中華民國十七年五月日給下契登新字第號</t>
  </si>
  <si>
    <t xml:space="preserve">31735066237433_002</t>
  </si>
  <si>
    <t xml:space="preserve">不動產面積四至東至南至西至北至畝</t>
  </si>
  <si>
    <r>
      <rPr>
        <sz val="10"/>
        <rFont val="Arial"/>
        <family val="0"/>
        <charset val="1"/>
      </rPr>
      <t xml:space="preserve">(</t>
    </r>
    <r>
      <rPr>
        <sz val="10"/>
        <rFont val="Noto Sans CJK SC"/>
        <family val="2"/>
      </rPr>
      <t xml:space="preserve">三</t>
    </r>
    <r>
      <rPr>
        <sz val="10"/>
        <rFont val="Arial"/>
        <family val="0"/>
        <charset val="1"/>
      </rPr>
      <t xml:space="preserve">) | </t>
    </r>
    <r>
      <rPr>
        <sz val="10"/>
        <rFont val="Noto Sans CJK SC"/>
        <family val="2"/>
      </rPr>
      <t xml:space="preserve">福建省政府財政廳頒發古田縣已稅契驗契證</t>
    </r>
  </si>
  <si>
    <r>
      <rPr>
        <sz val="10"/>
        <rFont val="Noto Sans CJK SC"/>
        <family val="2"/>
      </rPr>
      <t xml:space="preserve">福建省政府財政廳</t>
    </r>
    <r>
      <rPr>
        <sz val="10"/>
        <rFont val="Arial"/>
        <family val="0"/>
        <charset val="1"/>
      </rPr>
      <t xml:space="preserve">; </t>
    </r>
    <r>
      <rPr>
        <sz val="10"/>
        <rFont val="Noto Sans CJK SC"/>
        <family val="2"/>
      </rPr>
      <t xml:space="preserve">此處蓋縣政府</t>
    </r>
  </si>
  <si>
    <t xml:space="preserve">住址</t>
  </si>
  <si>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福建省政府財政廳頒發古田縣已稅契驗契證茲為整理契稅，體卹人民，保障產權起見，特定驗契辦法，凡屬田園屋地各類不動產，已稅未稅契據，均應一律投驗，填給驗契證，已稅之紅契，不收驗費，未稅之白契，無論典賣及產價多寡，每張祇收驗契費銀壹元，經此驗契，粘有驗契證者，方為有效。非經買賣移轉，不再徵稅。業主姓名業主住址不動產種類不動產坐落不動產面積四至東至南至西至北至畝分畝分畝分畝分畝分等則賦額地丁糧米產價出典主姓名中證人姓名立契年月日其他此處粘連原契騎縫加蓋驗契鈐記此處蓋財政廳驗契證關防此處蓋縣政府印第區區長簽名蓋章中華民國年月日第號保保長或鄉長簽名蓋章此種已稅契驗契證不收驗費古田縣三此張填給業主粘連原契管業</t>
    </r>
  </si>
  <si>
    <t xml:space="preserve">31735066237441_001</t>
  </si>
  <si>
    <t xml:space="preserve">31735066237441</t>
  </si>
  <si>
    <t xml:space="preserve">1915</t>
  </si>
  <si>
    <t xml:space="preserve">雷汝知</t>
  </si>
  <si>
    <t xml:space="preserve">Box 2, Folder 103</t>
  </si>
  <si>
    <r>
      <rPr>
        <sz val="10"/>
        <rFont val="Noto Sans CJK SC"/>
        <family val="2"/>
      </rPr>
      <t xml:space="preserve">同治十二年</t>
    </r>
    <r>
      <rPr>
        <sz val="10"/>
        <rFont val="Arial"/>
        <family val="0"/>
        <charset val="1"/>
      </rPr>
      <t xml:space="preserve">; </t>
    </r>
    <r>
      <rPr>
        <sz val="10"/>
        <rFont val="Noto Sans CJK SC"/>
        <family val="2"/>
      </rPr>
      <t xml:space="preserve">中華民國 四年</t>
    </r>
  </si>
  <si>
    <t xml:space="preserve">價銀肆拾貳兩</t>
  </si>
  <si>
    <t xml:space="preserve">古田縣本郡梅坪</t>
  </si>
  <si>
    <t xml:space="preserve">于受</t>
  </si>
  <si>
    <r>
      <rPr>
        <sz val="10"/>
        <rFont val="Noto Sans CJK SC"/>
        <family val="2"/>
      </rPr>
      <t xml:space="preserve">典 按 契 單 </t>
    </r>
    <r>
      <rPr>
        <sz val="10"/>
        <rFont val="Arial"/>
        <family val="0"/>
        <charset val="1"/>
      </rPr>
      <t xml:space="preserve">| </t>
    </r>
    <r>
      <rPr>
        <sz val="10"/>
        <rFont val="Noto Sans CJK SC"/>
        <family val="2"/>
      </rPr>
      <t xml:space="preserve">福建財政廳</t>
    </r>
  </si>
  <si>
    <t xml:space="preserve">稅字第 貳萬零百柒 號</t>
  </si>
  <si>
    <t xml:space="preserve">https://digital.library.pitt.edu/islandora/object/pitt:31735066237441</t>
  </si>
  <si>
    <t xml:space="preserve">典按契單福建財政廳為給發契單事案查接管國稅廳籌備處卷內奉財政部飭開契稅條例於一月十一日經大總統公布並由本部按照本條例第十一條之規定訂定契稅條例施行細則於一月二十九日以部令公布在案查契稅條例第一條第二項前項契約用紙由財政部定式頒行等語除契稅條例第二條所規定之特別印花由部製備另行頒發外隨飭發去契稅條例暨契稅條例施行細則並契紙及各種收據清冊格式應即照式先行製備仰該處長遵照辦理可也等因奉此查契稅條例施行細則第二十條本條例公布後各徵稅官署未奉到部頒契紙特別印花出示曉諭以前所有田房稅契應仍照向章辦理等語合據古田縣業戶雷汝知於同治十二年十一月日典受雷上崎氏田由鄉坐落古田縣本郡梅坪地方東至南至北至西至大尺直坐向橫業已尺邀同中證于受議定價銀肆拾貳兩依限投稅應納稅銀貳元如數收訖合填契單粘連原契印給收執管業須至契單者右給業戶雷汝知准此清查証處字號中華民國四年十二月日給稅字第貳萬零百柒號嘉兌字第稅字第稅字第稅字第號</t>
  </si>
  <si>
    <t xml:space="preserve">31735066237458_001</t>
  </si>
  <si>
    <t xml:space="preserve">31735066237458</t>
  </si>
  <si>
    <t xml:space="preserve">1930</t>
  </si>
  <si>
    <t xml:space="preserve">洪國慶</t>
  </si>
  <si>
    <t xml:space="preserve">Box 3, Folder 141</t>
  </si>
  <si>
    <r>
      <rPr>
        <sz val="10"/>
        <rFont val="Noto Sans CJK SC"/>
        <family val="2"/>
      </rPr>
      <t xml:space="preserve">副 證 </t>
    </r>
    <r>
      <rPr>
        <sz val="10"/>
        <rFont val="Arial"/>
        <family val="0"/>
        <charset val="1"/>
      </rPr>
      <t xml:space="preserve">| </t>
    </r>
    <r>
      <rPr>
        <sz val="10"/>
        <rFont val="Noto Sans CJK SC"/>
        <family val="2"/>
      </rPr>
      <t xml:space="preserve">契 已 驗 稅</t>
    </r>
  </si>
  <si>
    <t xml:space="preserve">https://digital.library.pitt.edu/islandora/object/pitt:31735066237458</t>
  </si>
  <si>
    <t xml:space="preserve">副證縣協地方門牌田畝畝分座號葉戶法國度契已驗稅契證新字第北丁號中華民國十九年四月日給</t>
  </si>
  <si>
    <t xml:space="preserve">31735066237458_002</t>
  </si>
  <si>
    <t xml:space="preserve">中華民國十九年</t>
  </si>
  <si>
    <t xml:space="preserve">價叁拾捌元</t>
  </si>
  <si>
    <t xml:space="preserve">四至原契已載明白遵章呈繳應納稅價</t>
  </si>
  <si>
    <r>
      <rPr>
        <sz val="10"/>
        <rFont val="Noto Sans CJK SC"/>
        <family val="2"/>
      </rPr>
      <t xml:space="preserve">法潤章 </t>
    </r>
    <r>
      <rPr>
        <sz val="10"/>
        <rFont val="Arial"/>
        <family val="0"/>
        <charset val="1"/>
      </rPr>
      <t xml:space="preserve">| </t>
    </r>
    <r>
      <rPr>
        <sz val="10"/>
        <rFont val="Noto Sans CJK SC"/>
        <family val="2"/>
      </rPr>
      <t xml:space="preserve">驗 稅 契 證 </t>
    </r>
    <r>
      <rPr>
        <sz val="10"/>
        <rFont val="Arial"/>
        <family val="0"/>
        <charset val="1"/>
      </rPr>
      <t xml:space="preserve">| </t>
    </r>
    <r>
      <rPr>
        <sz val="10"/>
        <rFont val="Noto Sans CJK SC"/>
        <family val="2"/>
      </rPr>
      <t xml:space="preserve">福建財政廳</t>
    </r>
  </si>
  <si>
    <t xml:space="preserve">新字第 卅一號</t>
  </si>
  <si>
    <t xml:space="preserve">法潤章驗稅契證福建財政廳為給發驗稅契證事案奉國民政府財政部訓令頒發驗契暫行條例及各省驗契章程凡在此次開辦驗契以前成立之不動產舊契無論已稅未稅均應一律限期呈驗換發新契紙倘逾限不呈驗遇有訴訟不能作為憑證如經人告發或官廳查出者並加以處罰業由財政部咨行司法部通飭遵辦以為匿驗者戒等因奉此當經擬具徵收方法電奉財政部核准照辦並已訂定本省驗契補充辦法分別通令布告遵照在案茲據業戶洪國慶呈繳未稅契壹紙產價叁拾捌元坐落四至原契已載明白遵章呈繳應納稅價壹元貳角貳分註冊費壹角附加教育費貳角業已如數收訖除註冊外合填驗稅契證粘連原契印給收執管業須至契證者奉財政廳令定逾限按月遞加紙價十分之二右給業戶洪國慶准此中華民國十九年四月日給新字第卅一號</t>
  </si>
  <si>
    <t xml:space="preserve">31735066237466_001</t>
  </si>
  <si>
    <t xml:space="preserve">31735066237466</t>
  </si>
  <si>
    <t xml:space="preserve">陳如良</t>
  </si>
  <si>
    <t xml:space="preserve">陈謀丁</t>
  </si>
  <si>
    <t xml:space="preserve">Box 3, Folder 153</t>
  </si>
  <si>
    <r>
      <rPr>
        <sz val="10"/>
        <rFont val="Noto Sans CJK SC"/>
        <family val="2"/>
      </rPr>
      <t xml:space="preserve">民國二十年</t>
    </r>
    <r>
      <rPr>
        <sz val="10"/>
        <rFont val="Arial"/>
        <family val="0"/>
        <charset val="1"/>
      </rPr>
      <t xml:space="preserve">; </t>
    </r>
    <r>
      <rPr>
        <sz val="10"/>
        <rFont val="Noto Sans CJK SC"/>
        <family val="2"/>
      </rPr>
      <t xml:space="preserve">中華民國二十四年</t>
    </r>
  </si>
  <si>
    <t xml:space="preserve">銀番肆拾員正</t>
  </si>
  <si>
    <t xml:space="preserve">十二都</t>
  </si>
  <si>
    <t xml:space="preserve">利洋裡讓</t>
  </si>
  <si>
    <t xml:space="preserve">陳贈壽</t>
  </si>
  <si>
    <t xml:space="preserve">陳炳星</t>
  </si>
  <si>
    <t xml:space="preserve">胞兄如淋</t>
  </si>
  <si>
    <t xml:space="preserve">民國二十年 續回作廢</t>
  </si>
  <si>
    <t xml:space="preserve">https://digital.library.pitt.edu/islandora/object/pitt:31735066237466</t>
  </si>
  <si>
    <t xml:space="preserve">立典佃田根勢陳如良承上手還有免分己份佃田重發坐址十二都地方土名利洋裡讓田八亩五分受種二斗五升年還林姓主租早米冬石捌斗應耕還租典異今因乏款應用自情愿託中將此佃田出典引向本保祖謀丁處為業三面言議特得典價划足重銀番肆拾員正其銀良全中親收足訖無少分文其佃田隨契即退與謀前去耕作還租當業中間允愿交關並無勒索亦未重張典當他人財物但此田是良已業與親堂伯叔兄弟侄與干倘有來歷不明良當出抵不涉謀之事自典之後年限言約三年限滿外任良倘辨典佃田根勢價以及稅耗一足取贖如限未滿不得言及盡贖等情兩允無悔今欲有憑托立典佃田根勢重紙并繳原根印稅批重紙共式總統為付照民國二十年續回作廢中華民國二十四年歲正月日立典佃田根勢陳如良在見胞兄如淋中人陳贈壽全見陳德銘代筆陳炳星田根勢陳如良此處粘連原契騎縫加蓋驗契鈐記</t>
  </si>
  <si>
    <t xml:space="preserve">31735066237466_002</t>
  </si>
  <si>
    <t xml:space="preserve">此處蓋縣政府</t>
  </si>
  <si>
    <r>
      <rPr>
        <sz val="10"/>
        <rFont val="Noto Sans CJK SC"/>
        <family val="2"/>
      </rPr>
      <t xml:space="preserve">此處蓋財政廳驗契證關防此處蓋縣政府印第一區長簽名蓋章中華民國年月日第</t>
    </r>
    <r>
      <rPr>
        <sz val="10"/>
        <rFont val="Arial"/>
        <family val="0"/>
        <charset val="1"/>
      </rPr>
      <t xml:space="preserve">24382</t>
    </r>
    <r>
      <rPr>
        <sz val="10"/>
        <rFont val="Noto Sans CJK SC"/>
        <family val="2"/>
      </rPr>
      <t xml:space="preserve">號第保保長或鄉長簽名蓋章此種未稅契驗契證每張征收驗契費銀壹圓正古田縣三此張填給業主粘連原契據管業</t>
    </r>
  </si>
  <si>
    <t xml:space="preserve">31735066237474_001</t>
  </si>
  <si>
    <t xml:space="preserve">31735066237474</t>
  </si>
  <si>
    <t xml:space="preserve">林履同</t>
  </si>
  <si>
    <t xml:space="preserve">張炳源</t>
  </si>
  <si>
    <t xml:space="preserve">Box 3, Folder 124</t>
  </si>
  <si>
    <t xml:space="preserve">光緒三十三年</t>
  </si>
  <si>
    <t xml:space="preserve">價伍拾元</t>
  </si>
  <si>
    <t xml:space="preserve">玉源巷上面積廿號東至南至西至北至</t>
  </si>
  <si>
    <t xml:space="preserve">鄭蔚如</t>
  </si>
  <si>
    <r>
      <rPr>
        <sz val="10"/>
        <rFont val="Noto Sans CJK SC"/>
        <family val="2"/>
      </rPr>
      <t xml:space="preserve">例則摘要 </t>
    </r>
    <r>
      <rPr>
        <sz val="10"/>
        <rFont val="Arial"/>
        <family val="0"/>
        <charset val="1"/>
      </rPr>
      <t xml:space="preserve">| </t>
    </r>
    <r>
      <rPr>
        <sz val="10"/>
        <rFont val="Noto Sans CJK SC"/>
        <family val="2"/>
      </rPr>
      <t xml:space="preserve">要</t>
    </r>
  </si>
  <si>
    <t xml:space="preserve">https://digital.library.pitt.edu/islandora/object/pitt:31735066237474</t>
  </si>
  <si>
    <r>
      <rPr>
        <sz val="10"/>
        <rFont val="Noto Sans CJK SC"/>
        <family val="2"/>
      </rPr>
      <t xml:space="preserve">古田契稅局本局為便利民起見凡將契印發給不登分文不稅限章納稅倘係不登分文不稅限章納稅倘係奉令自光緒三十三年拾月二十日起契紙加收善後附捐大洋壹元正新領契紙古田契稅局核准無效特此批明賣契立契年月日民國廿年正月買主姓名張炳源不動產種類祀田價伍拾元應納稅額叁元原契幾張壹張例則摘要要中華民國廿四年六月九日日賣主林履桐中人鄭蔚如坐落玉源巷上面積廿號東至南至西至北至一不動產之買主或承典人須於契紙成立後六個月以內赴該管徵收官署投稅一訂立不動產買契或典契時須由賣主或出典人赴該管徵收官署填具申請書請領契紙繳納契紙費大洋五角前項之契紙費五角由賣主與買主或出典人與承典人分擔一不動產之賣主或出典人請領契紙後已逾兩月其契約尚未成立者原領契紙失其効力但因有障礙致契約不能成立時得於限內赴徵收官署申明事由酌予寬限一原領契紙因遺失及其他事由須補領或更換時仍依第四條第一項之規定繳納契紙費一不動產之買主或承典人逾契約成立後六個月之期限不依本條例繳納契紙費者除納契稅外並處以應納稅額之十倍罰金一繳納契稅時匿稅契價者除另換契紙改正契約繳納稅額外並處以左列之罰金一匿報契價十分之二以上未滿十分之三者短納稅額之二倍一匿報契價十分之三以上未滿十分之四者短納稅額之四倍一匿報契價十分之四以上未滿十分之五者短納稅額之八倍一匿報契價十分之五以上者短納稅額之十六倍或由徵稅官署依所報契價收買之一契約成立後六個月之納稅期間限於遵領官契紙者適用之其私紙所書之契約若事後不換寫契紙以逾限論一賣主或出典人以私紙訂立契約者得由徵稅官署處以五元以上五十元以下之罰金一逾限未稅之契訴訟時無憑證之効力福建</t>
    </r>
    <r>
      <rPr>
        <sz val="10"/>
        <rFont val="Arial"/>
        <family val="0"/>
        <charset val="1"/>
      </rPr>
      <t xml:space="preserve">...</t>
    </r>
    <r>
      <rPr>
        <sz val="10"/>
        <rFont val="Noto Sans CJK SC"/>
        <family val="2"/>
      </rPr>
      <t xml:space="preserve">虎</t>
    </r>
    <r>
      <rPr>
        <sz val="10"/>
        <rFont val="Arial"/>
        <family val="0"/>
        <charset val="1"/>
      </rPr>
      <t xml:space="preserve">...</t>
    </r>
    <r>
      <rPr>
        <sz val="10"/>
        <rFont val="Noto Sans CJK SC"/>
        <family val="2"/>
      </rPr>
      <t xml:space="preserve">縣</t>
    </r>
    <r>
      <rPr>
        <sz val="10"/>
        <rFont val="Arial"/>
        <family val="0"/>
        <charset val="1"/>
      </rPr>
      <t xml:space="preserve">...</t>
    </r>
  </si>
  <si>
    <t xml:space="preserve">31735066237482_001</t>
  </si>
  <si>
    <t xml:space="preserve">31735066237482</t>
  </si>
  <si>
    <t xml:space="preserve">張傳珍</t>
  </si>
  <si>
    <t xml:space="preserve">Box 2, Folder 100</t>
  </si>
  <si>
    <t xml:space="preserve">縣六家裡</t>
  </si>
  <si>
    <r>
      <rPr>
        <sz val="10"/>
        <rFont val="Noto Sans CJK SC"/>
        <family val="2"/>
      </rPr>
      <t xml:space="preserve">契單 </t>
    </r>
    <r>
      <rPr>
        <sz val="10"/>
        <rFont val="Arial"/>
        <family val="0"/>
        <charset val="1"/>
      </rPr>
      <t xml:space="preserve">| </t>
    </r>
    <r>
      <rPr>
        <sz val="10"/>
        <rFont val="Noto Sans CJK SC"/>
        <family val="2"/>
      </rPr>
      <t xml:space="preserve">斷 </t>
    </r>
    <r>
      <rPr>
        <sz val="10"/>
        <rFont val="Arial"/>
        <family val="0"/>
        <charset val="1"/>
      </rPr>
      <t xml:space="preserve">| </t>
    </r>
    <r>
      <rPr>
        <sz val="10"/>
        <rFont val="Noto Sans CJK SC"/>
        <family val="2"/>
      </rPr>
      <t xml:space="preserve">福建國稅廳籌備處</t>
    </r>
  </si>
  <si>
    <t xml:space="preserve">驗字第七百伍六號</t>
  </si>
  <si>
    <t xml:space="preserve">https://digital.library.pitt.edu/islandora/object/pitt:31735066237482</t>
  </si>
  <si>
    <t xml:space="preserve">財政部令契單斷福建國稅廳籌備處給發契單事業奉財政部電行劃一契紙章程內開本章程施行以前成立之不動產舊契無論已稅契未稅契均應一律限期呈驗逾限不呈驗者於訴訟時不能作為憑據一併函知司法機關認真辦理以為憑驗者戒等因奉此當經擬定分別徵收方法已稅之舊契每張收紙價壹元未稅之舊契每產價百元收紙價壹元其光復後新契已稅者不收紙價酌定正限三個月餘限兩個月逾期呈驗者分別加徵嚴罰經已電奉財政部核准照辦並通飭遵照在案今據縣業戶張傳珍於年月西至原價銀北至坐向橫大尺直大尺中紙價壹元業已如數收訖合填契單粘連原契印給收執管業須至契單者兩中銀拾元原契未稅遵章依限呈驗應納受新張守斐地坪坐落縣六家裡地方東至南至驗字內錢糧處所至賣主中見姓名因限期緊迫填寫不及概憑原契及別底存根管業右給業戶張傳珍准此中華民國式年十一月日給驗字第七百伍六號給發契單事業奉</t>
  </si>
  <si>
    <t xml:space="preserve">31735066237490_001</t>
  </si>
  <si>
    <t xml:space="preserve">31735066237490</t>
  </si>
  <si>
    <t xml:space="preserve">郭宗仲</t>
  </si>
  <si>
    <t xml:space="preserve">王齊發</t>
  </si>
  <si>
    <t xml:space="preserve">Box 2, Folder 88</t>
  </si>
  <si>
    <t xml:space="preserve">光緒三十二年</t>
  </si>
  <si>
    <t xml:space="preserve">閩邑文山鋪秋龍社</t>
  </si>
  <si>
    <r>
      <rPr>
        <sz val="10"/>
        <rFont val="Noto Sans CJK SC"/>
        <family val="2"/>
      </rPr>
      <t xml:space="preserve">厝屋</t>
    </r>
    <r>
      <rPr>
        <sz val="10"/>
        <rFont val="Arial"/>
        <family val="0"/>
        <charset val="1"/>
      </rPr>
      <t xml:space="preserve">; </t>
    </r>
    <r>
      <rPr>
        <sz val="10"/>
        <rFont val="Noto Sans CJK SC"/>
        <family val="2"/>
      </rPr>
      <t xml:space="preserve">基地</t>
    </r>
  </si>
  <si>
    <t xml:space="preserve">高依賜</t>
  </si>
  <si>
    <t xml:space="preserve">齊光波</t>
  </si>
  <si>
    <t xml:space="preserve">曉弟宗階</t>
  </si>
  <si>
    <t xml:space="preserve">https://digital.library.pitt.edu/islandora/object/pitt:31735066237490</t>
  </si>
  <si>
    <t xml:space="preserve">立賣斷契郭宗仲原有自己手置式在厝屋旁欄左邊房屋壅堵右邊廊墘壅小堵共成叁堵坐產閩邑文山鋪秋龍社地方坐北向南其屋上至楊桁磚瓦天天下至梁石地其基地前至天井後至牆左至廊墘右至壅家屋此屋內門窓戶櫺廊石一切俱全其云至俱載明白出入門路水井係照舊通行通用今因急需需情願托中將此屋賣斷契王齊發處永遠管業本日三面言議賣斷屋價鏡銀書各西正其銀即日親手隨契收足其屋即聽主家太道管業奴折毀起蓋自今居住若他人請其便賣斷之後價足心願永斷萬萬膝不得言湊言至願言盡亦不得別生枝節但此屋仲自己手置與親陳房伯叔兄弟無干亦未曾重張典當他人財物以及來不明各等情如有此情係仲出頭承當不張王家之事兩相其愿各無反悔今欲有憑立賣斷契二紙郭宗仲老原契壹紙共成三紙統付為憑光緒三十二年三月吉日立賣斷契郭宗仲在見曉弟宗階中友高依賜林錫甫代筆齊光波</t>
  </si>
  <si>
    <t xml:space="preserve">31735066237508_001</t>
  </si>
  <si>
    <t xml:space="preserve">31735066237508</t>
  </si>
  <si>
    <t xml:space="preserve">1921</t>
  </si>
  <si>
    <t xml:space="preserve">謝祀初</t>
  </si>
  <si>
    <t xml:space="preserve">Box 3, Folder 115</t>
  </si>
  <si>
    <t xml:space="preserve">民國拾年</t>
  </si>
  <si>
    <t xml:space="preserve">給領 彙造 便民 兇枉 易知 卑</t>
  </si>
  <si>
    <t xml:space="preserve">卑古田縣知事</t>
  </si>
  <si>
    <t xml:space="preserve">https://digital.library.pitt.edu/islandora/object/pitt:31735066237508</t>
  </si>
  <si>
    <t xml:space="preserve">給領彙造便民兇枉易知卑古田縣知事吳頒給帳單以便充賦事照得民間買賣田畝應即隨時推收止的戶證冊給單完納以杜訟案歷辦在案該民因成立奉發章程嚴重推收相應查照辦理除著令冊書將推收帳單按戶彙造照冊核對蓋印存檔以憑稽查其推收領單各費應遵照司領章程及縣辦理不准苛勒外合行給單為此仰縣戶收執照頒輸將以杜混冒毋違頒單舊管前屆冊造建邑新改謝祀初正五開除實查建邑以上各應徵銀戈錢捌分民國拾年五月日給賬戶謝祀初准此財政科</t>
  </si>
  <si>
    <t xml:space="preserve">31735066237516_001</t>
  </si>
  <si>
    <t xml:space="preserve">31735066237516</t>
  </si>
  <si>
    <t xml:space="preserve">1933</t>
  </si>
  <si>
    <t xml:space="preserve">余興泉</t>
  </si>
  <si>
    <t xml:space="preserve">Box 3, Folder 148</t>
  </si>
  <si>
    <t xml:space="preserve">民國二十二年</t>
  </si>
  <si>
    <t xml:space="preserve">頒給彙造便民四柱易知單</t>
  </si>
  <si>
    <t xml:space="preserve">單古田縣政府</t>
  </si>
  <si>
    <t xml:space="preserve">https://digital.library.pitt.edu/islandora/object/pitt:31735066237516</t>
  </si>
  <si>
    <t xml:space="preserve">頒給彙造便民四柱易知單古田縣政府縣長鄭為頒給易知由單以便完賦事照得民間買賣田畝應即隨時推收認立的戶註冊給單完納以杜詭寄歷辦有案民國成立奉發章程嚴重推收亦經照辦各在案茲奉財政廳轉奉財政部遵奉總理遺教訂定限制田畝加賦辦法飭即遵照辦理一面將田賦認真整頓毋任逋欠以裕稅收各等因除着令冊書將推收糧額認真查造征冊核對蓋印存擋以便稽查外合行給單為此單仰糧戶收執照額輸將以杜混冒毋違須單計開冊舊管都甲戶金興泉前屆冊載新收則民田伍畝伍分正開除實在田以上合應徵銀伍錢叁分貳厘民國二十二年伍月日給糧戶余興泉准此縣經管陳誠書</t>
  </si>
  <si>
    <t xml:space="preserve">31735066237524_001</t>
  </si>
  <si>
    <t xml:space="preserve">31735066237524</t>
  </si>
  <si>
    <t xml:space="preserve">葉克培</t>
  </si>
  <si>
    <t xml:space="preserve">Box 3, Folder 149</t>
  </si>
  <si>
    <t xml:space="preserve">https://digital.library.pitt.edu/islandora/object/pitt:31735066237524</t>
  </si>
  <si>
    <t xml:space="preserve">頒給彙造便民四柱易知單古田縣政府縣長為頒給易知由單以便完賦事照得民間買賣田畝應即隨時推收認立的戶註冊給單完納以杜詭寄歷辦有案民國成立奉發章程嚴重推收亦經照辦各在案茲奉財政廳轉奉財政部令總理遺教訂定限制田畝加賦辦法飭即遵照辦理一面將田賦認真整頓毋任逋欠以裕稅收各等因除着令冊書將推收糧額認真查造征冊核對蓋印存擋以便稽查外合行給單為此單仰糧戶收執照額輸將以杜混冒毋違須單計開冊舊管甲戶世示克培前屆冊載</t>
  </si>
  <si>
    <t xml:space="preserve">31735066237532_001</t>
  </si>
  <si>
    <t xml:space="preserve">31735066237532</t>
  </si>
  <si>
    <t xml:space="preserve">1904/1943</t>
  </si>
  <si>
    <t xml:space="preserve">黃財業</t>
  </si>
  <si>
    <t xml:space="preserve">許春願</t>
  </si>
  <si>
    <t xml:space="preserve">Box 2, Folder 86</t>
  </si>
  <si>
    <t xml:space="preserve">光緒叁拾年</t>
  </si>
  <si>
    <t xml:space="preserve">價大洋陸拾員正</t>
  </si>
  <si>
    <t xml:space="preserve">潘亭洋</t>
  </si>
  <si>
    <t xml:space="preserve">祠堂門前墟岬</t>
  </si>
  <si>
    <t xml:space="preserve">陳經林</t>
  </si>
  <si>
    <t xml:space="preserve">https://digital.library.pitt.edu/islandora/object/pitt:31735066237532</t>
  </si>
  <si>
    <r>
      <rPr>
        <sz val="10"/>
        <rFont val="Noto Sans CJK SC"/>
        <family val="2"/>
      </rPr>
      <t xml:space="preserve">立賣斷契許春願承祖遺下有民田根面全壘號坐產潘亭洋地方土名祠堂門前墟岬等處受種柒升伍合正年載租米柒斗伍升正根立化冊許文相戶下今因乏用將此田賣斷與黃財業安永遠為業三面言議本日得訖田價大洋陸拾員正其銀隨契交足其田所黃另召到耕其根亦聽過割入戶理納糧色夫此田係願祖遺物業與別無干並未曾重張典當他財以及源流不清等情倘有發現此情願自頭支當不涉于黃之事自斷之後一筆千秋永不敢別生枝節之理今欲有憑立賣斷契垂中其原契夾帶多額未繳再照內記出字屋客再照光緒叁拾年十月日立賣斷契許春願竟元春岐中八黃振章代字陳經林此</t>
    </r>
    <r>
      <rPr>
        <sz val="10"/>
        <rFont val="Arial"/>
        <family val="0"/>
        <charset val="1"/>
      </rPr>
      <t xml:space="preserve">1539</t>
    </r>
    <r>
      <rPr>
        <sz val="10"/>
        <rFont val="Noto Sans CJK SC"/>
        <family val="2"/>
      </rPr>
      <t xml:space="preserve">大</t>
    </r>
  </si>
  <si>
    <t xml:space="preserve">31735066237532_002</t>
  </si>
  <si>
    <t xml:space="preserve">31735066237540_001</t>
  </si>
  <si>
    <t xml:space="preserve">31735066237540</t>
  </si>
  <si>
    <t xml:space="preserve">1942/1943</t>
  </si>
  <si>
    <t xml:space="preserve">張道興</t>
  </si>
  <si>
    <t xml:space="preserve">余傳荃</t>
  </si>
  <si>
    <t xml:space="preserve">Box 3, Folder 164</t>
  </si>
  <si>
    <t xml:space="preserve">中華民國叁拾壹年</t>
  </si>
  <si>
    <t xml:space="preserve">余傳差</t>
  </si>
  <si>
    <t xml:space="preserve">價彈國幣貳佰伍拾元正</t>
  </si>
  <si>
    <t xml:space="preserve">本鄉</t>
  </si>
  <si>
    <t xml:space="preserve">過頭洋上下截</t>
  </si>
  <si>
    <t xml:space="preserve">https://digital.library.pitt.edu/islandora/object/pitt:31735066237540</t>
  </si>
  <si>
    <r>
      <rPr>
        <sz val="10"/>
        <rFont val="Noto Sans CJK SC"/>
        <family val="2"/>
      </rPr>
      <t xml:space="preserve">立賣契契係傳差承父手置有民田限在號坐址本鄉地方土名過頭洋上下截等處受種柴井伍合等載租未盡檢斗法看法合正倘立大帝會張處土地編查段別壹拾貳段地號伍佰壹拾柒號畝分貳畝叁分伍厘等則丁等其糧報立自己戶下今因要用自願托中州此民田根賣謝典張道興處永遠為業三面三像去日清訖賣謝田根價彈國幣貳佰伍拾元正其款即日交足其田張永遠離佃耕作倘租完課受業其糧亦听張過割入戶自賣斷之後係足心願一筆千秋向後余之子孫永不敢生端枝節等情但此田係自承父手置物業與別無干亦未曾借借他人財物倘有未由不清係余出首承當不涉張之事兩相查允各無反悔今款有憑立賣斷契壹紙付托永遠為照中華民國叁拾壹年拾壹月日立賣斷契余傳差謹立見恆世琛以子中蕭昭芬鑒不狀</t>
    </r>
    <r>
      <rPr>
        <sz val="10"/>
        <rFont val="Arial"/>
        <family val="0"/>
        <charset val="1"/>
      </rPr>
      <t xml:space="preserve">(</t>
    </r>
    <r>
      <rPr>
        <sz val="10"/>
        <rFont val="Noto Sans CJK SC"/>
        <family val="2"/>
      </rPr>
      <t xml:space="preserve">宣縣處防</t>
    </r>
    <r>
      <rPr>
        <sz val="10"/>
        <rFont val="Arial"/>
        <family val="0"/>
        <charset val="1"/>
      </rPr>
      <t xml:space="preserve">)</t>
    </r>
  </si>
  <si>
    <t xml:space="preserve">31735066237540_002</t>
  </si>
  <si>
    <t xml:space="preserve">中華民國三十一年</t>
  </si>
  <si>
    <r>
      <rPr>
        <sz val="10"/>
        <rFont val="Noto Sans CJK SC"/>
        <family val="2"/>
      </rPr>
      <t xml:space="preserve">契稅暫行條例摘 </t>
    </r>
    <r>
      <rPr>
        <sz val="10"/>
        <rFont val="Arial"/>
        <family val="0"/>
        <charset val="1"/>
      </rPr>
      <t xml:space="preserve">| </t>
    </r>
    <r>
      <rPr>
        <sz val="10"/>
        <rFont val="Noto Sans CJK SC"/>
        <family val="2"/>
      </rPr>
      <t xml:space="preserve">財政部福建省 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田賦管理處賣契本契</t>
    </r>
  </si>
  <si>
    <r>
      <rPr>
        <sz val="10"/>
        <rFont val="Noto Sans CJK SC"/>
        <family val="2"/>
      </rPr>
      <t xml:space="preserve">住址</t>
    </r>
    <r>
      <rPr>
        <sz val="10"/>
        <rFont val="Arial"/>
        <family val="0"/>
        <charset val="1"/>
      </rPr>
      <t xml:space="preserve">; </t>
    </r>
    <r>
      <rPr>
        <sz val="10"/>
        <rFont val="Noto Sans CJK SC"/>
        <family val="2"/>
      </rPr>
      <t xml:space="preserve">張道興</t>
    </r>
  </si>
  <si>
    <r>
      <rPr>
        <sz val="10"/>
        <rFont val="Noto Sans CJK SC"/>
        <family val="2"/>
      </rPr>
      <t xml:space="preserve">契稅暫行條例摘要：一、契稅稅率規定如左：一、賣契稅為其契價百分之十二、典契稅為其契價百分之六三、交換契稅為其契價百分之四四、贈與契稅為其契價百分之十二、契紙工本費每張納國幣二元三、完納契稅應于契約成立後三個月內為之逾限不納者應責令補納并科以應納契稅百分之十之罰銀其後每再逾期二個月遞加百分之十至達納稅額之同數為止四、繳納契稅時如遇置報或低估契價應令另換契紙按實改正補繳短納稅額並科以左例之罰鍰甲、匿報或低估契價未滿百分之二十者其短納稅額之半數乙、匿報或低估契價百分之二十以上未滿百分之五十者其短納稅額之同數丙、匿報或低估契價百分之五十以上者其短納稅額之二倍帶征契稅附加五財政部福建省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田賦管理處賣契本契地業坐坵戶土房地產屋間數量面積畝分厘原結附契證字號他件考面載地主姓名住址落段號號號號備其附契字號考他件考張道興南都金少卿過頭岸上下截南至東至西至北至田原業主姓名住址余傳全南都金少卿立契時期民國廿二年十一月應納契稅元〇角〇分報請契稅時期廿二年六月財政部福建省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田賦管理處兼處長中華民國三十一年日發給業主張道興此聯交納契稅人執</t>
    </r>
    <r>
      <rPr>
        <sz val="10"/>
        <rFont val="Arial"/>
        <family val="0"/>
        <charset val="1"/>
      </rPr>
      <t xml:space="preserve">(</t>
    </r>
    <r>
      <rPr>
        <sz val="10"/>
        <rFont val="Noto Sans CJK SC"/>
        <family val="2"/>
      </rPr>
      <t xml:space="preserve">縣署關防</t>
    </r>
    <r>
      <rPr>
        <sz val="10"/>
        <rFont val="Arial"/>
        <family val="0"/>
        <charset val="1"/>
      </rPr>
      <t xml:space="preserve">)</t>
    </r>
  </si>
  <si>
    <t xml:space="preserve">31735066237557_001</t>
  </si>
  <si>
    <t xml:space="preserve">31735066237557</t>
  </si>
  <si>
    <t xml:space="preserve">1903/1943</t>
  </si>
  <si>
    <t xml:space="preserve">金寬英</t>
  </si>
  <si>
    <t xml:space="preserve">張文楚</t>
  </si>
  <si>
    <t xml:space="preserve">Box 2, Folder 85</t>
  </si>
  <si>
    <r>
      <rPr>
        <sz val="10"/>
        <rFont val="Noto Sans CJK SC"/>
        <family val="2"/>
      </rPr>
      <t xml:space="preserve">光緒貳拾玖年</t>
    </r>
    <r>
      <rPr>
        <sz val="10"/>
        <rFont val="Arial"/>
        <family val="0"/>
        <charset val="1"/>
      </rPr>
      <t xml:space="preserve">; </t>
    </r>
    <r>
      <rPr>
        <sz val="10"/>
        <rFont val="Noto Sans CJK SC"/>
        <family val="2"/>
      </rPr>
      <t xml:space="preserve">光緒 貳拾玖年</t>
    </r>
  </si>
  <si>
    <t xml:space="preserve">銀正紋廣銀壹拾五兩正</t>
  </si>
  <si>
    <t xml:space="preserve">本都鳥山頭</t>
  </si>
  <si>
    <t xml:space="preserve">https://digital.library.pitt.edu/islandora/object/pitt:31735066237557</t>
  </si>
  <si>
    <t xml:space="preserve">立賣契張文楚自己手置有屯田底面俱全乙号坐址本都鳥山頭地方土名仙壩後境頭並深境尾境仔共受種壹畝年載大租乙百貳拾斤正民秤配糧柒分式厘今因乏用自愿托中送賣前金寬奕處為業三面言議時值價銀正紋廣銀壹拾五兩正其紋良即日收訖其底面全田即付良主前去營業耕作自佃收租办粮或另召別耕任從其便此業係是自己手置前別無干在先並無重張典賣以及交加不明等情如有此情係賣主出頭文楚不涉買主之事其期言約四年限滿之日係紋銀照契面銀兩對月期取贖如未贖仍付營業今欲有憑立賣契乙紙並繳楊宋忠賣契並原原賣斷契乙紙又原贖回契乙紙共成四紙說付各照光緒貳拾玖年拾貳月日立賣契張文楚立見弟文亮代宗中侄程章立賣張文楚收胡保光緒貳拾玖年十一月</t>
  </si>
  <si>
    <t xml:space="preserve">31735066237557_002</t>
  </si>
  <si>
    <t xml:space="preserve">至面積科則稅率田賦稅額產量房屋欄</t>
  </si>
  <si>
    <r>
      <rPr>
        <sz val="10"/>
        <rFont val="Noto Sans CJK SC"/>
        <family val="2"/>
      </rPr>
      <t xml:space="preserve">雲字第 </t>
    </r>
    <r>
      <rPr>
        <sz val="10"/>
        <rFont val="Arial"/>
        <family val="0"/>
        <charset val="1"/>
      </rPr>
      <t xml:space="preserve">| </t>
    </r>
    <r>
      <rPr>
        <sz val="10"/>
        <rFont val="Noto Sans CJK SC"/>
        <family val="2"/>
      </rPr>
      <t xml:space="preserve">契稅條例摘要 </t>
    </r>
    <r>
      <rPr>
        <sz val="10"/>
        <rFont val="Arial"/>
        <family val="0"/>
        <charset val="1"/>
      </rPr>
      <t xml:space="preserve">| </t>
    </r>
    <r>
      <rPr>
        <sz val="10"/>
        <rFont val="Noto Sans CJK SC"/>
        <family val="2"/>
      </rPr>
      <t xml:space="preserve">福建省 田賦糧食管理處印發賣契本 </t>
    </r>
    <r>
      <rPr>
        <sz val="10"/>
        <rFont val="Arial"/>
        <family val="0"/>
        <charset val="1"/>
      </rPr>
      <t xml:space="preserve">| </t>
    </r>
    <r>
      <rPr>
        <sz val="10"/>
        <rFont val="Noto Sans CJK SC"/>
        <family val="2"/>
      </rPr>
      <t xml:space="preserve">附記</t>
    </r>
  </si>
  <si>
    <r>
      <rPr>
        <sz val="10"/>
        <rFont val="Noto Sans CJK SC"/>
        <family val="2"/>
      </rPr>
      <t xml:space="preserve">福建省田賦糧食管理處</t>
    </r>
    <r>
      <rPr>
        <sz val="10"/>
        <rFont val="Arial"/>
        <family val="0"/>
        <charset val="1"/>
      </rPr>
      <t xml:space="preserve">; </t>
    </r>
    <r>
      <rPr>
        <sz val="10"/>
        <rFont val="Noto Sans CJK SC"/>
        <family val="2"/>
      </rPr>
      <t xml:space="preserve">省永春田賦糧食管理處</t>
    </r>
  </si>
  <si>
    <r>
      <rPr>
        <sz val="10"/>
        <rFont val="Noto Sans CJK SC"/>
        <family val="2"/>
      </rPr>
      <t xml:space="preserve">雲字第契稅條例摘要</t>
    </r>
    <r>
      <rPr>
        <sz val="10"/>
        <rFont val="Arial"/>
        <family val="0"/>
        <charset val="1"/>
      </rPr>
      <t xml:space="preserve">(</t>
    </r>
    <r>
      <rPr>
        <sz val="10"/>
        <rFont val="Noto Sans CJK SC"/>
        <family val="2"/>
      </rPr>
      <t xml:space="preserve">一</t>
    </r>
    <r>
      <rPr>
        <sz val="10"/>
        <rFont val="Arial"/>
        <family val="0"/>
        <charset val="1"/>
      </rPr>
      <t xml:space="preserve">)</t>
    </r>
    <r>
      <rPr>
        <sz val="10"/>
        <rFont val="Noto Sans CJK SC"/>
        <family val="2"/>
      </rPr>
      <t xml:space="preserve">契稅稅率規定如左</t>
    </r>
    <r>
      <rPr>
        <sz val="10"/>
        <rFont val="Arial"/>
        <family val="0"/>
        <charset val="1"/>
      </rPr>
      <t xml:space="preserve">1.</t>
    </r>
    <r>
      <rPr>
        <sz val="10"/>
        <rFont val="Noto Sans CJK SC"/>
        <family val="2"/>
      </rPr>
      <t xml:space="preserve">賣契稅為百分之十</t>
    </r>
    <r>
      <rPr>
        <sz val="10"/>
        <rFont val="Arial"/>
        <family val="0"/>
        <charset val="1"/>
      </rPr>
      <t xml:space="preserve">2.</t>
    </r>
    <r>
      <rPr>
        <sz val="10"/>
        <rFont val="Noto Sans CJK SC"/>
        <family val="2"/>
      </rPr>
      <t xml:space="preserve">典契稅為百分之十</t>
    </r>
    <r>
      <rPr>
        <sz val="10"/>
        <rFont val="Arial"/>
        <family val="0"/>
        <charset val="1"/>
      </rPr>
      <t xml:space="preserve">3.</t>
    </r>
    <r>
      <rPr>
        <sz val="10"/>
        <rFont val="Noto Sans CJK SC"/>
        <family val="2"/>
      </rPr>
      <t xml:space="preserve">交換契稅為百分之十六贈與契稅為百分之十五</t>
    </r>
    <r>
      <rPr>
        <sz val="10"/>
        <rFont val="Arial"/>
        <family val="0"/>
        <charset val="1"/>
      </rPr>
      <t xml:space="preserve">5.</t>
    </r>
    <r>
      <rPr>
        <sz val="10"/>
        <rFont val="Noto Sans CJK SC"/>
        <family val="2"/>
      </rPr>
      <t xml:space="preserve">分割契稅為百分之十五</t>
    </r>
    <r>
      <rPr>
        <sz val="10"/>
        <rFont val="Arial"/>
        <family val="0"/>
        <charset val="1"/>
      </rPr>
      <t xml:space="preserve">6.</t>
    </r>
    <r>
      <rPr>
        <sz val="10"/>
        <rFont val="Noto Sans CJK SC"/>
        <family val="2"/>
      </rPr>
      <t xml:space="preserve">占有契稅為百分之十五</t>
    </r>
    <r>
      <rPr>
        <sz val="10"/>
        <rFont val="Arial"/>
        <family val="0"/>
        <charset val="1"/>
      </rPr>
      <t xml:space="preserve">(</t>
    </r>
    <r>
      <rPr>
        <sz val="10"/>
        <rFont val="Noto Sans CJK SC"/>
        <family val="2"/>
      </rPr>
      <t xml:space="preserve">二</t>
    </r>
    <r>
      <rPr>
        <sz val="10"/>
        <rFont val="Arial"/>
        <family val="0"/>
        <charset val="1"/>
      </rPr>
      <t xml:space="preserve">)</t>
    </r>
    <r>
      <rPr>
        <sz val="10"/>
        <rFont val="Noto Sans CJK SC"/>
        <family val="2"/>
      </rPr>
      <t xml:space="preserve">契紙工本費每張納國幣四元</t>
    </r>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完納契稅期間</t>
    </r>
    <r>
      <rPr>
        <sz val="10"/>
        <rFont val="Arial"/>
        <family val="0"/>
        <charset val="1"/>
      </rPr>
      <t xml:space="preserve">1.</t>
    </r>
    <r>
      <rPr>
        <sz val="10"/>
        <rFont val="Noto Sans CJK SC"/>
        <family val="2"/>
      </rPr>
      <t xml:space="preserve">應於契約成立後三個月內為之</t>
    </r>
    <r>
      <rPr>
        <sz val="10"/>
        <rFont val="Arial"/>
        <family val="0"/>
        <charset val="1"/>
      </rPr>
      <t xml:space="preserve">2.</t>
    </r>
    <r>
      <rPr>
        <sz val="10"/>
        <rFont val="Noto Sans CJK SC"/>
        <family val="2"/>
      </rPr>
      <t xml:space="preserve">逾期不納者科以百分之十之罰</t>
    </r>
    <r>
      <rPr>
        <sz val="10"/>
        <rFont val="Arial"/>
        <family val="0"/>
        <charset val="1"/>
      </rPr>
      <t xml:space="preserve">3.</t>
    </r>
    <r>
      <rPr>
        <sz val="10"/>
        <rFont val="Noto Sans CJK SC"/>
        <family val="2"/>
      </rPr>
      <t xml:space="preserve">其後每再逾期一月，加百分之十至應納稅款同數為止</t>
    </r>
    <r>
      <rPr>
        <sz val="10"/>
        <rFont val="Arial"/>
        <family val="0"/>
        <charset val="1"/>
      </rPr>
      <t xml:space="preserve">(</t>
    </r>
    <r>
      <rPr>
        <sz val="10"/>
        <rFont val="Noto Sans CJK SC"/>
        <family val="2"/>
      </rPr>
      <t xml:space="preserve">四</t>
    </r>
    <r>
      <rPr>
        <sz val="10"/>
        <rFont val="Arial"/>
        <family val="0"/>
        <charset val="1"/>
      </rPr>
      <t xml:space="preserve">)</t>
    </r>
    <r>
      <rPr>
        <sz val="10"/>
        <rFont val="Noto Sans CJK SC"/>
        <family val="2"/>
      </rPr>
      <t xml:space="preserve">匿報契價除另換契補稅外並科以左列處分</t>
    </r>
    <r>
      <rPr>
        <sz val="10"/>
        <rFont val="Arial"/>
        <family val="0"/>
        <charset val="1"/>
      </rPr>
      <t xml:space="preserve">1.</t>
    </r>
    <r>
      <rPr>
        <sz val="10"/>
        <rFont val="Noto Sans CJK SC"/>
        <family val="2"/>
      </rPr>
      <t xml:space="preserve">匿價未滿百分之二十者科以短納稅額之同數</t>
    </r>
    <r>
      <rPr>
        <sz val="10"/>
        <rFont val="Arial"/>
        <family val="0"/>
        <charset val="1"/>
      </rPr>
      <t xml:space="preserve">2.</t>
    </r>
    <r>
      <rPr>
        <sz val="10"/>
        <rFont val="Noto Sans CJK SC"/>
        <family val="2"/>
      </rPr>
      <t xml:space="preserve">匿價百分之二十至百分之五十者科以短納稅額之二倍</t>
    </r>
    <r>
      <rPr>
        <sz val="10"/>
        <rFont val="Arial"/>
        <family val="0"/>
        <charset val="1"/>
      </rPr>
      <t xml:space="preserve">3.</t>
    </r>
    <r>
      <rPr>
        <sz val="10"/>
        <rFont val="Noto Sans CJK SC"/>
        <family val="2"/>
      </rPr>
      <t xml:space="preserve">匿價百分之五十以上者科以短納稅額之二倍</t>
    </r>
    <r>
      <rPr>
        <sz val="10"/>
        <rFont val="Arial"/>
        <family val="0"/>
        <charset val="1"/>
      </rPr>
      <t xml:space="preserve">(</t>
    </r>
    <r>
      <rPr>
        <sz val="10"/>
        <rFont val="Noto Sans CJK SC"/>
        <family val="2"/>
      </rPr>
      <t xml:space="preserve">五</t>
    </r>
    <r>
      <rPr>
        <sz val="10"/>
        <rFont val="Arial"/>
        <family val="0"/>
        <charset val="1"/>
      </rPr>
      <t xml:space="preserve">)</t>
    </r>
    <r>
      <rPr>
        <sz val="10"/>
        <rFont val="Noto Sans CJK SC"/>
        <family val="2"/>
      </rPr>
      <t xml:space="preserve">鄉鎮公所監証時按契價抽取百分之二監証費福建省田賦糧食管理處印發賣契本永春地類戶號近段號數坐落至面積科則稅率田賦稅額產量房屋欄數田鳥頭山東至西至南至北至壹畝</t>
    </r>
    <r>
      <rPr>
        <sz val="10"/>
        <rFont val="Arial"/>
        <family val="0"/>
        <charset val="1"/>
      </rPr>
      <t xml:space="preserve">0</t>
    </r>
    <r>
      <rPr>
        <sz val="10"/>
        <rFont val="Noto Sans CJK SC"/>
        <family val="2"/>
      </rPr>
      <t xml:space="preserve">分</t>
    </r>
    <r>
      <rPr>
        <sz val="10"/>
        <rFont val="Arial"/>
        <family val="0"/>
        <charset val="1"/>
      </rPr>
      <t xml:space="preserve">0</t>
    </r>
    <r>
      <rPr>
        <sz val="10"/>
        <rFont val="Noto Sans CJK SC"/>
        <family val="2"/>
      </rPr>
      <t xml:space="preserve">厘中華民國福建省永春田賦糧食管理處兼處長附記姓名住址賣價立契日期應納契稅原契字號張文楚嵩口鎮貳拾元</t>
    </r>
    <r>
      <rPr>
        <sz val="10"/>
        <rFont val="Arial"/>
        <family val="0"/>
        <charset val="1"/>
      </rPr>
      <t xml:space="preserve">0</t>
    </r>
    <r>
      <rPr>
        <sz val="10"/>
        <rFont val="Noto Sans CJK SC"/>
        <family val="2"/>
      </rPr>
      <t xml:space="preserve">角</t>
    </r>
    <r>
      <rPr>
        <sz val="10"/>
        <rFont val="Arial"/>
        <family val="0"/>
        <charset val="1"/>
      </rPr>
      <t xml:space="preserve">0</t>
    </r>
    <r>
      <rPr>
        <sz val="10"/>
        <rFont val="Noto Sans CJK SC"/>
        <family val="2"/>
      </rPr>
      <t xml:space="preserve">分光緒廿九年十二月參元</t>
    </r>
    <r>
      <rPr>
        <sz val="10"/>
        <rFont val="Arial"/>
        <family val="0"/>
        <charset val="1"/>
      </rPr>
      <t xml:space="preserve">0</t>
    </r>
    <r>
      <rPr>
        <sz val="10"/>
        <rFont val="Noto Sans CJK SC"/>
        <family val="2"/>
      </rPr>
      <t xml:space="preserve">角</t>
    </r>
    <r>
      <rPr>
        <sz val="10"/>
        <rFont val="Arial"/>
        <family val="0"/>
        <charset val="1"/>
      </rPr>
      <t xml:space="preserve">0</t>
    </r>
    <r>
      <rPr>
        <sz val="10"/>
        <rFont val="Noto Sans CJK SC"/>
        <family val="2"/>
      </rPr>
      <t xml:space="preserve">分鄉鎮縣証簽名蓋章日發給執照</t>
    </r>
    <r>
      <rPr>
        <sz val="10"/>
        <rFont val="Arial"/>
        <family val="0"/>
        <charset val="1"/>
      </rPr>
      <t xml:space="preserve">(</t>
    </r>
    <r>
      <rPr>
        <sz val="10"/>
        <rFont val="Noto Sans CJK SC"/>
        <family val="2"/>
      </rPr>
      <t xml:space="preserve">執存人稅投交聯此</t>
    </r>
    <r>
      <rPr>
        <sz val="10"/>
        <rFont val="Arial"/>
        <family val="0"/>
        <charset val="1"/>
      </rPr>
      <t xml:space="preserve">)</t>
    </r>
  </si>
  <si>
    <t xml:space="preserve">31735066237565_001</t>
  </si>
  <si>
    <t xml:space="preserve">31735066237565</t>
  </si>
  <si>
    <t xml:space="preserve">1867</t>
  </si>
  <si>
    <t xml:space="preserve">劉景茂</t>
  </si>
  <si>
    <t xml:space="preserve">Box 1, Folder 43</t>
  </si>
  <si>
    <t xml:space="preserve">福建等處承宣市政使司</t>
  </si>
  <si>
    <t xml:space="preserve">https://digital.library.pitt.edu/islandora/object/pitt:31735066237565</t>
  </si>
  <si>
    <t xml:space="preserve">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福建等處承宣市政使司也</t>
  </si>
  <si>
    <t xml:space="preserve">31735066237573_001</t>
  </si>
  <si>
    <t xml:space="preserve">31735066237573</t>
  </si>
  <si>
    <t xml:space="preserve">1869/1928</t>
  </si>
  <si>
    <t xml:space="preserve">王元靄</t>
  </si>
  <si>
    <t xml:space="preserve">Box 1, Folder 48</t>
  </si>
  <si>
    <t xml:space="preserve">同治捌年</t>
  </si>
  <si>
    <t xml:space="preserve">閩邑文山舖秋龍巷</t>
  </si>
  <si>
    <t xml:space="preserve">陳友梅</t>
  </si>
  <si>
    <t xml:space="preserve">李祖謙</t>
  </si>
  <si>
    <t xml:space="preserve">https://digital.library.pitt.edu/islandora/object/pitt:31735066237573</t>
  </si>
  <si>
    <r>
      <rPr>
        <sz val="10"/>
        <rFont val="Noto Sans CJK SC"/>
        <family val="2"/>
      </rPr>
      <t xml:space="preserve">收立賣斷契林春源承父遺囑分有坐西向東厝屋壹直五柱華堵計直深參丈捌尺零橫闊壹丈柒尺零又後右邊毗連披屋壹堵計直深壹丈貳尺零橫闊壹丈貳尺零共計伍堵坐產閩邑文山舖秋龍巷地方前至王家店後至王家屋左至韓家屋右至李家屋上多橡檳磚瓦天下至礮石地基地六至俱載明白今因乏用將此屋托中賣斷與王慶為業三而言議賣斷得屋價足色庫磁銀拾兩正其銀即日全中隨券立其屋即聽王家掌業或改式起蓋悉從其便源白賣斷之後價足心愿不待言贖言湊言盡之理但此屋係源父遺份下物業與親疏房伯叔兄弟姪無干亦未曾重張典掛他人財物以及來歷不明各等情如有此情係源出頭抵當不涉王家之事此屋係源承父閣分物業其原契夾連別業無從微付今如有憑立賣斷契壹紙付執為據此屋出入係由王家店內通行標照內賣改參字標照</t>
    </r>
    <r>
      <rPr>
        <sz val="10"/>
        <rFont val="Arial"/>
        <family val="0"/>
        <charset val="1"/>
      </rPr>
      <t xml:space="preserve">193618438</t>
    </r>
    <r>
      <rPr>
        <sz val="10"/>
        <rFont val="Noto Sans CJK SC"/>
        <family val="2"/>
      </rPr>
      <t xml:space="preserve">在見堂叔長發弟春榮同治捌年拾貳月吉日立賣斷契林春源弼中友陳友梅麟代筆李祖謙謹</t>
    </r>
  </si>
  <si>
    <t xml:space="preserve">31735066237573_002</t>
  </si>
  <si>
    <r>
      <rPr>
        <sz val="10"/>
        <rFont val="Noto Sans CJK SC"/>
        <family val="2"/>
      </rPr>
      <t xml:space="preserve">民國十五年</t>
    </r>
    <r>
      <rPr>
        <sz val="10"/>
        <rFont val="Arial"/>
        <family val="0"/>
        <charset val="1"/>
      </rPr>
      <t xml:space="preserve">; </t>
    </r>
    <r>
      <rPr>
        <sz val="10"/>
        <rFont val="Noto Sans CJK SC"/>
        <family val="2"/>
      </rPr>
      <t xml:space="preserve">中華民國 貳 年</t>
    </r>
  </si>
  <si>
    <t xml:space="preserve">銀肆拾元</t>
  </si>
  <si>
    <t xml:space="preserve">閩仔縣天山舖</t>
  </si>
  <si>
    <r>
      <rPr>
        <sz val="10"/>
        <rFont val="Noto Sans CJK SC"/>
        <family val="2"/>
      </rPr>
      <t xml:space="preserve">福建國稅廳籌備處</t>
    </r>
    <r>
      <rPr>
        <sz val="10"/>
        <rFont val="Arial"/>
        <family val="0"/>
        <charset val="1"/>
      </rPr>
      <t xml:space="preserve">; </t>
    </r>
    <r>
      <rPr>
        <sz val="10"/>
        <rFont val="Noto Sans CJK SC"/>
        <family val="2"/>
      </rPr>
      <t xml:space="preserve">福建財政廳</t>
    </r>
  </si>
  <si>
    <t xml:space="preserve">王元霸</t>
  </si>
  <si>
    <t xml:space="preserve">驗字第斷賣契單福建國稅廳籌備處給發契單事奉財政部電行到一契紙章程內開本章程施行以前成立之不動產舊契無論已稅契未稅契均應一律限期呈驗逾限不呈驗者於訴時不能作為憑據一併函知司法機關認真辦理以為匿驗者戒等因奉此當經擬定分別徵收方法已稅之舊契每張收紙價壹元未稅之舊契每產價百元收紙價壹元其光復後新契已稅者不收紙價酌定正限三個月餘限兩個月逾期呈驗者分別加徵嚴罰經已電奉財政部核辦並通飭遵照在案今據閩縣業戶王元霸於清同治捌日買陳春源厝屋壹座西至北至坐落閩仔縣天山舖地方東至南至坐向橫丈尺直丈尺中兩申銀肆拾元原契未稅遵章依限呈驗應納紙價壹元業已如數收訖合填契單粘連原契印給收執管業須至契單者右給業戶王元霸准此財政廳閱候契分驗明王元霸民國十五年八月廿中華民國貳年拾壹月叁拾日給福建財政廳為</t>
  </si>
  <si>
    <t xml:space="preserve">31735066237573_003</t>
  </si>
  <si>
    <t xml:space="preserve">驗稅契證福建財政廳為給發驗稅契證事案奉國民政府財政部訓令頒發驗契暫行條例及各省驗契章程凡在此次開辦驗契以前成立之不動產舊契無論已稅未稅均應一律限期呈驗換發新契紙倘逾限不呈驗遇有訴訟不能作為憑證如經人告發或官廳查出者並加以處罰業由財政部咨行</t>
  </si>
  <si>
    <t xml:space="preserve">31735066237581_001</t>
  </si>
  <si>
    <t xml:space="preserve">31735066237581</t>
  </si>
  <si>
    <t xml:space="preserve">1917/1926</t>
  </si>
  <si>
    <r>
      <rPr>
        <sz val="10"/>
        <rFont val="Noto Sans CJK SC"/>
        <family val="2"/>
      </rPr>
      <t xml:space="preserve">黃遠容 </t>
    </r>
    <r>
      <rPr>
        <sz val="10"/>
        <rFont val="Arial"/>
        <family val="0"/>
        <charset val="1"/>
      </rPr>
      <t xml:space="preserve">| </t>
    </r>
    <r>
      <rPr>
        <sz val="10"/>
        <rFont val="Noto Sans CJK SC"/>
        <family val="2"/>
      </rPr>
      <t xml:space="preserve">黃同華 </t>
    </r>
    <r>
      <rPr>
        <sz val="10"/>
        <rFont val="Arial"/>
        <family val="0"/>
        <charset val="1"/>
      </rPr>
      <t xml:space="preserve">| </t>
    </r>
    <r>
      <rPr>
        <sz val="10"/>
        <rFont val="Noto Sans CJK SC"/>
        <family val="2"/>
      </rPr>
      <t xml:space="preserve">黃同德 </t>
    </r>
    <r>
      <rPr>
        <sz val="10"/>
        <rFont val="Arial"/>
        <family val="0"/>
        <charset val="1"/>
      </rPr>
      <t xml:space="preserve">| </t>
    </r>
    <r>
      <rPr>
        <sz val="10"/>
        <rFont val="Noto Sans CJK SC"/>
        <family val="2"/>
      </rPr>
      <t xml:space="preserve">黃國興 </t>
    </r>
    <r>
      <rPr>
        <sz val="10"/>
        <rFont val="Arial"/>
        <family val="0"/>
        <charset val="1"/>
      </rPr>
      <t xml:space="preserve">| </t>
    </r>
    <r>
      <rPr>
        <sz val="10"/>
        <rFont val="Noto Sans CJK SC"/>
        <family val="2"/>
      </rPr>
      <t xml:space="preserve">黃國義</t>
    </r>
  </si>
  <si>
    <t xml:space="preserve">Box 2, Folder 107</t>
  </si>
  <si>
    <t xml:space="preserve">民國拾叁年</t>
  </si>
  <si>
    <t xml:space="preserve">https://digital.library.pitt.edu/islandora/object/pitt:31735066237581</t>
  </si>
  <si>
    <r>
      <rPr>
        <sz val="10"/>
        <rFont val="Noto Sans CJK SC"/>
        <family val="2"/>
      </rPr>
      <t xml:space="preserve">新元款票民國拾叁年國幣九龍津黃遠容十十</t>
    </r>
    <r>
      <rPr>
        <sz val="10"/>
        <rFont val="Arial"/>
        <family val="0"/>
        <charset val="1"/>
      </rPr>
      <t xml:space="preserve">...</t>
    </r>
    <r>
      <rPr>
        <sz val="10"/>
        <rFont val="Noto Sans CJK SC"/>
        <family val="2"/>
      </rPr>
      <t xml:space="preserve">內</t>
    </r>
    <r>
      <rPr>
        <sz val="10"/>
        <rFont val="Arial"/>
        <family val="0"/>
        <charset val="1"/>
      </rPr>
      <t xml:space="preserve">...</t>
    </r>
    <r>
      <rPr>
        <sz val="10"/>
        <rFont val="Noto Sans CJK SC"/>
        <family val="2"/>
      </rPr>
      <t xml:space="preserve">拒</t>
    </r>
    <r>
      <rPr>
        <sz val="10"/>
        <rFont val="Arial"/>
        <family val="0"/>
        <charset val="1"/>
      </rPr>
      <t xml:space="preserve">...</t>
    </r>
    <r>
      <rPr>
        <sz val="10"/>
        <rFont val="Noto Sans CJK SC"/>
        <family val="2"/>
      </rPr>
      <t xml:space="preserve">改</t>
    </r>
  </si>
  <si>
    <t xml:space="preserve">31735066237581_002</t>
  </si>
  <si>
    <r>
      <rPr>
        <sz val="10"/>
        <rFont val="Noto Sans CJK SC"/>
        <family val="2"/>
      </rPr>
      <t xml:space="preserve">中華民國拾貳年</t>
    </r>
    <r>
      <rPr>
        <sz val="10"/>
        <rFont val="Arial"/>
        <family val="0"/>
        <charset val="1"/>
      </rPr>
      <t xml:space="preserve">; </t>
    </r>
    <r>
      <rPr>
        <sz val="10"/>
        <rFont val="Noto Sans CJK SC"/>
        <family val="2"/>
      </rPr>
      <t xml:space="preserve">中華民國拾參年</t>
    </r>
  </si>
  <si>
    <t xml:space="preserve">納戶執照</t>
  </si>
  <si>
    <t xml:space="preserve">照永泰縣知事</t>
  </si>
  <si>
    <t xml:space="preserve">執照</t>
  </si>
  <si>
    <t xml:space="preserve">納戶執照永泰縣知事今據都甲納戶中華民國拾貳年地丁銀合給執照須至照者中華民國拾參年正月縣字第完為徵收錢糧事永泰縣如有遺失完結內到櫃廿五</t>
  </si>
  <si>
    <t xml:space="preserve">31735066237581_003</t>
  </si>
  <si>
    <t xml:space="preserve">民國 拾貳年</t>
  </si>
  <si>
    <t xml:space="preserve">納戸執照</t>
  </si>
  <si>
    <r>
      <rPr>
        <sz val="10"/>
        <rFont val="Noto Sans CJK SC"/>
        <family val="2"/>
      </rPr>
      <t xml:space="preserve">納戸執照納戸執照今民國民國拾貳年令拾貳年玖貴人遠容玖伍百元</t>
    </r>
    <r>
      <rPr>
        <sz val="10"/>
        <rFont val="Arial"/>
        <family val="0"/>
        <charset val="1"/>
      </rPr>
      <t xml:space="preserve">190</t>
    </r>
    <r>
      <rPr>
        <sz val="10"/>
        <rFont val="Noto Sans CJK SC"/>
        <family val="2"/>
      </rPr>
      <t xml:space="preserve">納戸執照八月九日納戸執照</t>
    </r>
  </si>
  <si>
    <t xml:space="preserve">31735066237581_004</t>
  </si>
  <si>
    <t xml:space="preserve">民國拾貳年</t>
  </si>
  <si>
    <t xml:space="preserve">新戶執照</t>
  </si>
  <si>
    <r>
      <rPr>
        <sz val="10"/>
        <rFont val="Noto Sans CJK SC"/>
        <family val="2"/>
      </rPr>
      <t xml:space="preserve">新戶執照轉北項金民國拾貳年民國拾貳年民國拾貳年共大同華式錢正民國拾貳年十月九日備有</t>
    </r>
    <r>
      <rPr>
        <sz val="10"/>
        <rFont val="Arial"/>
        <family val="0"/>
        <charset val="1"/>
      </rPr>
      <t xml:space="preserve">......</t>
    </r>
  </si>
  <si>
    <t xml:space="preserve">31735066237581_005</t>
  </si>
  <si>
    <t xml:space="preserve">民國 拾年</t>
  </si>
  <si>
    <r>
      <rPr>
        <sz val="10"/>
        <rFont val="Noto Sans CJK SC"/>
        <family val="2"/>
      </rPr>
      <t xml:space="preserve">納戶執照北金民國拾年合民國拾年五為徵收稅釐事貴州同鄉事八月九日日十日內</t>
    </r>
    <r>
      <rPr>
        <sz val="10"/>
        <rFont val="Arial"/>
        <family val="0"/>
        <charset val="1"/>
      </rPr>
      <t xml:space="preserve">...</t>
    </r>
    <r>
      <rPr>
        <sz val="10"/>
        <rFont val="Noto Sans CJK SC"/>
        <family val="2"/>
      </rPr>
      <t xml:space="preserve">日</t>
    </r>
  </si>
  <si>
    <t xml:space="preserve">31735066237581_006</t>
  </si>
  <si>
    <t xml:space="preserve">民國十一年</t>
  </si>
  <si>
    <r>
      <rPr>
        <sz val="10"/>
        <rFont val="Noto Sans CJK SC"/>
        <family val="2"/>
      </rPr>
      <t xml:space="preserve">新戶款票奉</t>
    </r>
    <r>
      <rPr>
        <sz val="10"/>
        <rFont val="Arial"/>
        <family val="0"/>
        <charset val="1"/>
      </rPr>
      <t xml:space="preserve">...(</t>
    </r>
    <r>
      <rPr>
        <sz val="10"/>
        <rFont val="Noto Sans CJK SC"/>
        <family val="2"/>
      </rPr>
      <t xml:space="preserve">北</t>
    </r>
    <r>
      <rPr>
        <sz val="10"/>
        <rFont val="Arial"/>
        <family val="0"/>
        <charset val="1"/>
      </rPr>
      <t xml:space="preserve">...(Verticaltextontheright)</t>
    </r>
    <r>
      <rPr>
        <sz val="10"/>
        <rFont val="Noto Sans CJK SC"/>
        <family val="2"/>
      </rPr>
      <t xml:space="preserve">民國十一年</t>
    </r>
    <r>
      <rPr>
        <sz val="10"/>
        <rFont val="Arial"/>
        <family val="0"/>
        <charset val="1"/>
      </rPr>
      <t xml:space="preserve">...(Verticaltextinthecenter)...(Verticaltextinthecenter)</t>
    </r>
    <r>
      <rPr>
        <sz val="10"/>
        <rFont val="Noto Sans CJK SC"/>
        <family val="2"/>
      </rPr>
      <t xml:space="preserve">民國拾</t>
    </r>
    <r>
      <rPr>
        <sz val="10"/>
        <rFont val="Arial"/>
        <family val="0"/>
        <charset val="1"/>
      </rPr>
      <t xml:space="preserve">...(Verticaltextontheleft)...(Verticaltextontheleft)</t>
    </r>
    <r>
      <rPr>
        <sz val="10"/>
        <rFont val="Noto Sans CJK SC"/>
        <family val="2"/>
      </rPr>
      <t xml:space="preserve">德同公</t>
    </r>
    <r>
      <rPr>
        <sz val="10"/>
        <rFont val="Arial"/>
        <family val="0"/>
        <charset val="1"/>
      </rPr>
      <t xml:space="preserve">...</t>
    </r>
    <r>
      <rPr>
        <sz val="10"/>
        <rFont val="Noto Sans CJK SC"/>
        <family val="2"/>
      </rPr>
      <t xml:space="preserve">式錢正</t>
    </r>
    <r>
      <rPr>
        <sz val="10"/>
        <rFont val="Arial"/>
        <family val="0"/>
        <charset val="1"/>
      </rPr>
      <t xml:space="preserve">(Largecharactersinthecenter)...(Verticaltextontheright)...(Verticaltextontheleft)...(Verticaltextontheleft)</t>
    </r>
  </si>
  <si>
    <t xml:space="preserve">31735066237581_007</t>
  </si>
  <si>
    <t xml:space="preserve">民國 十 年</t>
  </si>
  <si>
    <t xml:space="preserve">納戶執照新定通法局印發此照係主人之印發民國十年十月十日今將此照發給者民國十年十月十日二三四五黃同德場徵收錢糧事五切軍陸八月九日快此諭十日內向在場收六</t>
  </si>
  <si>
    <t xml:space="preserve">31735066237581_008</t>
  </si>
  <si>
    <t xml:space="preserve">新戶號黑</t>
  </si>
  <si>
    <r>
      <rPr>
        <sz val="10"/>
        <rFont val="Noto Sans CJK SC"/>
        <family val="2"/>
      </rPr>
      <t xml:space="preserve">新戶號黑顏生</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五</t>
    </r>
    <r>
      <rPr>
        <sz val="10"/>
        <rFont val="Arial"/>
        <family val="0"/>
        <charset val="1"/>
      </rPr>
      <t xml:space="preserve">...</t>
    </r>
    <r>
      <rPr>
        <sz val="10"/>
        <rFont val="Noto Sans CJK SC"/>
        <family val="2"/>
      </rPr>
      <t xml:space="preserve">民國拾年</t>
    </r>
    <r>
      <rPr>
        <sz val="10"/>
        <rFont val="Arial"/>
        <family val="0"/>
        <charset val="1"/>
      </rPr>
      <t xml:space="preserve">...</t>
    </r>
    <r>
      <rPr>
        <sz val="10"/>
        <rFont val="Noto Sans CJK SC"/>
        <family val="2"/>
      </rPr>
      <t xml:space="preserve">會</t>
    </r>
    <r>
      <rPr>
        <sz val="10"/>
        <rFont val="Arial"/>
        <family val="0"/>
        <charset val="1"/>
      </rPr>
      <t xml:space="preserve">...</t>
    </r>
    <r>
      <rPr>
        <sz val="10"/>
        <rFont val="Noto Sans CJK SC"/>
        <family val="2"/>
      </rPr>
      <t xml:space="preserve">民國拾年</t>
    </r>
    <r>
      <rPr>
        <sz val="10"/>
        <rFont val="Arial"/>
        <family val="0"/>
        <charset val="1"/>
      </rPr>
      <t xml:space="preserve">...</t>
    </r>
    <r>
      <rPr>
        <sz val="10"/>
        <rFont val="Noto Sans CJK SC"/>
        <family val="2"/>
      </rPr>
      <t xml:space="preserve">五</t>
    </r>
    <r>
      <rPr>
        <sz val="10"/>
        <rFont val="Arial"/>
        <family val="0"/>
        <charset val="1"/>
      </rPr>
      <t xml:space="preserve">...</t>
    </r>
    <r>
      <rPr>
        <sz val="10"/>
        <rFont val="Noto Sans CJK SC"/>
        <family val="2"/>
      </rPr>
      <t xml:space="preserve">現</t>
    </r>
    <r>
      <rPr>
        <sz val="10"/>
        <rFont val="Arial"/>
        <family val="0"/>
        <charset val="1"/>
      </rPr>
      <t xml:space="preserve">...</t>
    </r>
    <r>
      <rPr>
        <sz val="10"/>
        <rFont val="Noto Sans CJK SC"/>
        <family val="2"/>
      </rPr>
      <t xml:space="preserve">十一日</t>
    </r>
    <r>
      <rPr>
        <sz val="10"/>
        <rFont val="Arial"/>
        <family val="0"/>
        <charset val="1"/>
      </rPr>
      <t xml:space="preserve">...</t>
    </r>
    <r>
      <rPr>
        <sz val="10"/>
        <rFont val="Noto Sans CJK SC"/>
        <family val="2"/>
      </rPr>
      <t xml:space="preserve">有</t>
    </r>
    <r>
      <rPr>
        <sz val="10"/>
        <rFont val="Arial"/>
        <family val="0"/>
        <charset val="1"/>
      </rPr>
      <t xml:space="preserve">...</t>
    </r>
    <r>
      <rPr>
        <sz val="10"/>
        <rFont val="Noto Sans CJK SC"/>
        <family val="2"/>
      </rPr>
      <t xml:space="preserve">為</t>
    </r>
    <r>
      <rPr>
        <sz val="10"/>
        <rFont val="Arial"/>
        <family val="0"/>
        <charset val="1"/>
      </rPr>
      <t xml:space="preserve">...</t>
    </r>
    <r>
      <rPr>
        <sz val="10"/>
        <rFont val="Noto Sans CJK SC"/>
        <family val="2"/>
      </rPr>
      <t xml:space="preserve">共三錢正七十一</t>
    </r>
    <r>
      <rPr>
        <sz val="10"/>
        <rFont val="Arial"/>
        <family val="0"/>
        <charset val="1"/>
      </rPr>
      <t xml:space="preserve">...</t>
    </r>
  </si>
  <si>
    <t xml:space="preserve">31735066237581_009</t>
  </si>
  <si>
    <r>
      <rPr>
        <sz val="10"/>
        <rFont val="Noto Sans CJK SC"/>
        <family val="2"/>
      </rPr>
      <t xml:space="preserve">中華民國十一年</t>
    </r>
    <r>
      <rPr>
        <sz val="10"/>
        <rFont val="Arial"/>
        <family val="0"/>
        <charset val="1"/>
      </rPr>
      <t xml:space="preserve">; </t>
    </r>
    <r>
      <rPr>
        <sz val="10"/>
        <rFont val="Noto Sans CJK SC"/>
        <family val="2"/>
      </rPr>
      <t xml:space="preserve">民國拾年</t>
    </r>
  </si>
  <si>
    <t xml:space="preserve">納戶執照中華民國十一年一月一日北平金民國拾年金民國拾年一月一日為收執執照貴同章衣五陸八月九日十日內新手</t>
  </si>
  <si>
    <t xml:space="preserve">31735066237581_010</t>
  </si>
  <si>
    <t xml:space="preserve">銀元執照</t>
  </si>
  <si>
    <r>
      <rPr>
        <sz val="10"/>
        <rFont val="Noto Sans CJK SC"/>
        <family val="2"/>
      </rPr>
      <t xml:space="preserve">銀元執照來</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項</t>
    </r>
    <r>
      <rPr>
        <sz val="10"/>
        <rFont val="Arial"/>
        <family val="0"/>
        <charset val="1"/>
      </rPr>
      <t xml:space="preserve">............</t>
    </r>
    <r>
      <rPr>
        <sz val="10"/>
        <rFont val="Noto Sans CJK SC"/>
        <family val="2"/>
      </rPr>
      <t xml:space="preserve">民國</t>
    </r>
    <r>
      <rPr>
        <sz val="10"/>
        <rFont val="Arial"/>
        <family val="0"/>
        <charset val="1"/>
      </rPr>
      <t xml:space="preserve">........................</t>
    </r>
    <r>
      <rPr>
        <sz val="10"/>
        <rFont val="Noto Sans CJK SC"/>
        <family val="2"/>
      </rPr>
      <t xml:space="preserve">民國</t>
    </r>
    <r>
      <rPr>
        <sz val="10"/>
        <rFont val="Arial"/>
        <family val="0"/>
        <charset val="1"/>
      </rPr>
      <t xml:space="preserve">........................</t>
    </r>
  </si>
  <si>
    <t xml:space="preserve">31735066237581_011</t>
  </si>
  <si>
    <r>
      <rPr>
        <sz val="10"/>
        <rFont val="Noto Sans CJK SC"/>
        <family val="2"/>
      </rPr>
      <t xml:space="preserve">中華民國十一年</t>
    </r>
    <r>
      <rPr>
        <sz val="10"/>
        <rFont val="Arial"/>
        <family val="0"/>
        <charset val="1"/>
      </rPr>
      <t xml:space="preserve">; </t>
    </r>
    <r>
      <rPr>
        <sz val="10"/>
        <rFont val="Noto Sans CJK SC"/>
        <family val="2"/>
      </rPr>
      <t xml:space="preserve">民國拾 年</t>
    </r>
  </si>
  <si>
    <t xml:space="preserve">納戶執照中華民國十一年一月一日北門外五民國拾民國拾年年心十二月日項五三三共欠國庫玖萬九千九百萬數收據十月廿九日張日</t>
  </si>
  <si>
    <t xml:space="preserve">31735066237581_012</t>
  </si>
  <si>
    <t xml:space="preserve">民國 十年</t>
  </si>
  <si>
    <t xml:space="preserve">納戶執照續北洋項金民國十年十月廿五日民國十年廿日式錢正章共六同章收據一月九日如違自誤此喻九</t>
  </si>
  <si>
    <t xml:space="preserve">31735066237581_013</t>
  </si>
  <si>
    <t xml:space="preserve">民國 十一年</t>
  </si>
  <si>
    <t xml:space="preserve">新萬款票</t>
  </si>
  <si>
    <r>
      <rPr>
        <sz val="10"/>
        <rFont val="Noto Sans CJK SC"/>
        <family val="2"/>
      </rPr>
      <t xml:space="preserve">新萬款票東</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金</t>
    </r>
    <r>
      <rPr>
        <sz val="10"/>
        <rFont val="Arial"/>
        <family val="0"/>
        <charset val="1"/>
      </rPr>
      <t xml:space="preserve">...</t>
    </r>
    <r>
      <rPr>
        <sz val="10"/>
        <rFont val="Noto Sans CJK SC"/>
        <family val="2"/>
      </rPr>
      <t xml:space="preserve">民國十一年</t>
    </r>
    <r>
      <rPr>
        <sz val="10"/>
        <rFont val="Arial"/>
        <family val="0"/>
        <charset val="1"/>
      </rPr>
      <t xml:space="preserve">......</t>
    </r>
    <r>
      <rPr>
        <sz val="10"/>
        <rFont val="Noto Sans CJK SC"/>
        <family val="2"/>
      </rPr>
      <t xml:space="preserve">民國</t>
    </r>
    <r>
      <rPr>
        <sz val="10"/>
        <rFont val="Arial"/>
        <family val="0"/>
        <charset val="1"/>
      </rPr>
      <t xml:space="preserve">......</t>
    </r>
    <r>
      <rPr>
        <sz val="10"/>
        <rFont val="Noto Sans CJK SC"/>
        <family val="2"/>
      </rPr>
      <t xml:space="preserve">他</t>
    </r>
    <r>
      <rPr>
        <sz val="10"/>
        <rFont val="Arial"/>
        <family val="0"/>
        <charset val="1"/>
      </rPr>
      <t xml:space="preserve">...............</t>
    </r>
  </si>
  <si>
    <t xml:space="preserve">31735066237581_014</t>
  </si>
  <si>
    <r>
      <rPr>
        <sz val="10"/>
        <rFont val="Noto Sans CJK SC"/>
        <family val="2"/>
      </rPr>
      <t xml:space="preserve">民國 年</t>
    </r>
    <r>
      <rPr>
        <sz val="10"/>
        <rFont val="Arial"/>
        <family val="0"/>
        <charset val="1"/>
      </rPr>
      <t xml:space="preserve">; </t>
    </r>
    <r>
      <rPr>
        <sz val="10"/>
        <rFont val="Noto Sans CJK SC"/>
        <family val="2"/>
      </rPr>
      <t xml:space="preserve">中華民國二十八年</t>
    </r>
  </si>
  <si>
    <t xml:space="preserve">新五執照</t>
  </si>
  <si>
    <t xml:space="preserve">新五執照新民國年民國廿八年民國廿八年中華民國二十八年十一月頁共欠國庫式錢正馬戲收錢十月十日內外共計一月進九條以諭號</t>
  </si>
  <si>
    <t xml:space="preserve">31735066237581_015</t>
  </si>
  <si>
    <r>
      <rPr>
        <sz val="10"/>
        <rFont val="Noto Sans CJK SC"/>
        <family val="2"/>
      </rPr>
      <t xml:space="preserve">中華民國十一年</t>
    </r>
    <r>
      <rPr>
        <sz val="10"/>
        <rFont val="Arial"/>
        <family val="0"/>
        <charset val="1"/>
      </rPr>
      <t xml:space="preserve">; </t>
    </r>
    <r>
      <rPr>
        <sz val="10"/>
        <rFont val="Noto Sans CJK SC"/>
        <family val="2"/>
      </rPr>
      <t xml:space="preserve">民國十一年</t>
    </r>
  </si>
  <si>
    <t xml:space="preserve">納戶執照中華民國十一年一月一日北平宣民國十一年一月一日宣民國十一年一月一日宣伍吳人同甫伍佰元八月九日號</t>
  </si>
  <si>
    <t xml:space="preserve">31735066237581_016</t>
  </si>
  <si>
    <t xml:space="preserve">中華民國拾叁年</t>
  </si>
  <si>
    <t xml:space="preserve">永泰縣知事</t>
  </si>
  <si>
    <r>
      <rPr>
        <sz val="10"/>
        <rFont val="Noto Sans CJK SC"/>
        <family val="2"/>
      </rPr>
      <t xml:space="preserve">中華民國</t>
    </r>
    <r>
      <rPr>
        <sz val="10"/>
        <rFont val="Arial"/>
        <family val="0"/>
        <charset val="1"/>
      </rPr>
      <t xml:space="preserve">; </t>
    </r>
    <r>
      <rPr>
        <sz val="10"/>
        <rFont val="Noto Sans CJK SC"/>
        <family val="2"/>
      </rPr>
      <t xml:space="preserve">執照</t>
    </r>
  </si>
  <si>
    <t xml:space="preserve">永泰縣知事今據都甲納戶中華民國合給執照須至照者中華民國拾叁年縣完共欠國興為徵收錢糧事肆錢廿如有重完銀新字第納戶執照</t>
  </si>
  <si>
    <t xml:space="preserve">31735066237581_017</t>
  </si>
  <si>
    <t xml:space="preserve">民國 十 一 年</t>
  </si>
  <si>
    <t xml:space="preserve">納元款黑</t>
  </si>
  <si>
    <t xml:space="preserve">納元款黑來年元月日合日北洋軍閥三民國十一年北洋軍閥今年元月日合日民國十一年北洋軍閥北洋軍閥其國興林子書庫林子書庫十日內自撰此書如近自撰此書八月九八日號</t>
  </si>
  <si>
    <t xml:space="preserve">31735066237581_018</t>
  </si>
  <si>
    <r>
      <rPr>
        <sz val="10"/>
        <rFont val="Noto Sans CJK SC"/>
        <family val="2"/>
      </rPr>
      <t xml:space="preserve">中華民國 拾貳年</t>
    </r>
    <r>
      <rPr>
        <sz val="10"/>
        <rFont val="Arial"/>
        <family val="0"/>
        <charset val="1"/>
      </rPr>
      <t xml:space="preserve">; </t>
    </r>
    <r>
      <rPr>
        <sz val="10"/>
        <rFont val="Noto Sans CJK SC"/>
        <family val="2"/>
      </rPr>
      <t xml:space="preserve">中華民國 拾叁年</t>
    </r>
  </si>
  <si>
    <r>
      <rPr>
        <sz val="10"/>
        <rFont val="Noto Sans CJK SC"/>
        <family val="2"/>
      </rPr>
      <t xml:space="preserve">執照</t>
    </r>
    <r>
      <rPr>
        <sz val="10"/>
        <rFont val="Arial"/>
        <family val="0"/>
        <charset val="1"/>
      </rPr>
      <t xml:space="preserve">; </t>
    </r>
    <r>
      <rPr>
        <sz val="10"/>
        <rFont val="Noto Sans CJK SC"/>
        <family val="2"/>
      </rPr>
      <t xml:space="preserve">中華民國</t>
    </r>
  </si>
  <si>
    <t xml:space="preserve">納戶執照永泰縣知事今據都甲納戶中華民國拾貳年地丁銀合給執照須至照者中華民國拾叁年十二月縣字第完為徵收錢糧事貴國興肆銀如有重完錯寫內到柜駁改廿</t>
  </si>
  <si>
    <t xml:space="preserve">31735066237581_019</t>
  </si>
  <si>
    <r>
      <rPr>
        <sz val="10"/>
        <rFont val="Noto Sans CJK SC"/>
        <family val="2"/>
      </rPr>
      <t xml:space="preserve">納戶執照東三省</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項民國拾年民國拾年林貴國員李連林</t>
    </r>
    <r>
      <rPr>
        <sz val="10"/>
        <rFont val="Arial"/>
        <family val="0"/>
        <charset val="1"/>
      </rPr>
      <t xml:space="preserve">.........</t>
    </r>
  </si>
  <si>
    <t xml:space="preserve">31735066237581_020</t>
  </si>
  <si>
    <r>
      <rPr>
        <sz val="10"/>
        <rFont val="Noto Sans CJK SC"/>
        <family val="2"/>
      </rPr>
      <t xml:space="preserve">民國十一年</t>
    </r>
    <r>
      <rPr>
        <sz val="10"/>
        <rFont val="Arial"/>
        <family val="0"/>
        <charset val="1"/>
      </rPr>
      <t xml:space="preserve">; </t>
    </r>
    <r>
      <rPr>
        <sz val="10"/>
        <rFont val="Noto Sans CJK SC"/>
        <family val="2"/>
      </rPr>
      <t xml:space="preserve">民國拾壹年</t>
    </r>
  </si>
  <si>
    <r>
      <rPr>
        <sz val="10"/>
        <rFont val="Noto Sans CJK SC"/>
        <family val="2"/>
      </rPr>
      <t xml:space="preserve">新戶執照東</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金</t>
    </r>
    <r>
      <rPr>
        <sz val="10"/>
        <rFont val="Arial"/>
        <family val="0"/>
        <charset val="1"/>
      </rPr>
      <t xml:space="preserve">...</t>
    </r>
    <r>
      <rPr>
        <sz val="10"/>
        <rFont val="Noto Sans CJK SC"/>
        <family val="2"/>
      </rPr>
      <t xml:space="preserve">民國十一年</t>
    </r>
    <r>
      <rPr>
        <sz val="10"/>
        <rFont val="Arial"/>
        <family val="0"/>
        <charset val="1"/>
      </rPr>
      <t xml:space="preserve">......</t>
    </r>
    <r>
      <rPr>
        <sz val="10"/>
        <rFont val="Noto Sans CJK SC"/>
        <family val="2"/>
      </rPr>
      <t xml:space="preserve">民國拾壹年十一月</t>
    </r>
    <r>
      <rPr>
        <sz val="10"/>
        <rFont val="Arial"/>
        <family val="0"/>
        <charset val="1"/>
      </rPr>
      <t xml:space="preserve">......</t>
    </r>
    <r>
      <rPr>
        <sz val="10"/>
        <rFont val="Noto Sans CJK SC"/>
        <family val="2"/>
      </rPr>
      <t xml:space="preserve">壹錢正貴國員為徵收</t>
    </r>
    <r>
      <rPr>
        <sz val="10"/>
        <rFont val="Arial"/>
        <family val="0"/>
        <charset val="1"/>
      </rPr>
      <t xml:space="preserve">........................</t>
    </r>
  </si>
  <si>
    <t xml:space="preserve">31735066237581_021</t>
  </si>
  <si>
    <r>
      <rPr>
        <sz val="10"/>
        <rFont val="Noto Sans CJK SC"/>
        <family val="2"/>
      </rPr>
      <t xml:space="preserve">中華民國二十一年</t>
    </r>
    <r>
      <rPr>
        <sz val="10"/>
        <rFont val="Arial"/>
        <family val="0"/>
        <charset val="1"/>
      </rPr>
      <t xml:space="preserve">; </t>
    </r>
    <r>
      <rPr>
        <sz val="10"/>
        <rFont val="Noto Sans CJK SC"/>
        <family val="2"/>
      </rPr>
      <t xml:space="preserve">民國二十一年</t>
    </r>
  </si>
  <si>
    <t xml:space="preserve">納戶執照新中華民國二十一年中華民國二十一年民國二十一年民國二十一年民國二十一年民國二十一年民國二十一年民國二十一年民國二十一年民國二十一年民國二十一年民國二十一年貴國員中華民國二十一年民國二十一年民國二十一年民國二十一年中華民國二十一年</t>
  </si>
  <si>
    <t xml:space="preserve">31735066237581_022</t>
  </si>
  <si>
    <t xml:space="preserve">民國 拾捌年</t>
  </si>
  <si>
    <r>
      <rPr>
        <sz val="10"/>
        <rFont val="Noto Sans CJK SC"/>
        <family val="2"/>
      </rPr>
      <t xml:space="preserve">納戸執照民國拾捌年地丁銀民國拾捌年地丁銀納戸執照作三黃表容正三三廿七内赴相</t>
    </r>
    <r>
      <rPr>
        <sz val="10"/>
        <rFont val="Arial"/>
        <family val="0"/>
        <charset val="1"/>
      </rPr>
      <t xml:space="preserve">...</t>
    </r>
  </si>
  <si>
    <t xml:space="preserve">31735066237581_023</t>
  </si>
  <si>
    <t xml:space="preserve">同永泰縣知事</t>
  </si>
  <si>
    <r>
      <rPr>
        <sz val="10"/>
        <rFont val="Noto Sans CJK SC"/>
        <family val="2"/>
      </rPr>
      <t xml:space="preserve">字第 三千五百</t>
    </r>
    <r>
      <rPr>
        <sz val="10"/>
        <rFont val="Arial"/>
        <family val="0"/>
        <charset val="1"/>
      </rPr>
      <t xml:space="preserve">... </t>
    </r>
    <r>
      <rPr>
        <sz val="10"/>
        <rFont val="Noto Sans CJK SC"/>
        <family val="2"/>
      </rPr>
      <t xml:space="preserve">號</t>
    </r>
  </si>
  <si>
    <r>
      <rPr>
        <sz val="10"/>
        <rFont val="Noto Sans CJK SC"/>
        <family val="2"/>
      </rPr>
      <t xml:space="preserve">納戶執照八</t>
    </r>
    <r>
      <rPr>
        <sz val="10"/>
        <rFont val="Arial"/>
        <family val="0"/>
        <charset val="1"/>
      </rPr>
      <t xml:space="preserve">...</t>
    </r>
    <r>
      <rPr>
        <sz val="10"/>
        <rFont val="Noto Sans CJK SC"/>
        <family val="2"/>
      </rPr>
      <t xml:space="preserve">土地</t>
    </r>
    <r>
      <rPr>
        <sz val="10"/>
        <rFont val="Arial"/>
        <family val="0"/>
        <charset val="1"/>
      </rPr>
      <t xml:space="preserve">...</t>
    </r>
    <r>
      <rPr>
        <sz val="10"/>
        <rFont val="Noto Sans CJK SC"/>
        <family val="2"/>
      </rPr>
      <t xml:space="preserve">合同永泰縣知事今據都甲納戶中華民國</t>
    </r>
    <r>
      <rPr>
        <sz val="10"/>
        <rFont val="Arial"/>
        <family val="0"/>
        <charset val="1"/>
      </rPr>
      <t xml:space="preserve">...</t>
    </r>
    <r>
      <rPr>
        <sz val="10"/>
        <rFont val="Noto Sans CJK SC"/>
        <family val="2"/>
      </rPr>
      <t xml:space="preserve">年合給執照須至照者中華民國</t>
    </r>
    <r>
      <rPr>
        <sz val="10"/>
        <rFont val="Arial"/>
        <family val="0"/>
        <charset val="1"/>
      </rPr>
      <t xml:space="preserve">...</t>
    </r>
    <r>
      <rPr>
        <sz val="10"/>
        <rFont val="Noto Sans CJK SC"/>
        <family val="2"/>
      </rPr>
      <t xml:space="preserve">年十二月聯心字第三千五百</t>
    </r>
    <r>
      <rPr>
        <sz val="10"/>
        <rFont val="Arial"/>
        <family val="0"/>
        <charset val="1"/>
      </rPr>
      <t xml:space="preserve">...</t>
    </r>
    <r>
      <rPr>
        <sz val="10"/>
        <rFont val="Noto Sans CJK SC"/>
        <family val="2"/>
      </rPr>
      <t xml:space="preserve">號第二千五百號為徵收錢糧事共壹卷日</t>
    </r>
  </si>
  <si>
    <t xml:space="preserve">31735066237581_024</t>
  </si>
  <si>
    <t xml:space="preserve">緝片執照</t>
  </si>
  <si>
    <t xml:space="preserve">緝片執照民國十一年北平五國警署五日警署緝片執照黃以表容十一十日內赴柜駁改違自誤</t>
  </si>
  <si>
    <t xml:space="preserve">31735066237581_025</t>
  </si>
  <si>
    <r>
      <rPr>
        <sz val="10"/>
        <rFont val="Noto Sans CJK SC"/>
        <family val="2"/>
      </rPr>
      <t xml:space="preserve">民國十五年</t>
    </r>
    <r>
      <rPr>
        <sz val="10"/>
        <rFont val="Arial"/>
        <family val="0"/>
        <charset val="1"/>
      </rPr>
      <t xml:space="preserve">; </t>
    </r>
    <r>
      <rPr>
        <sz val="10"/>
        <rFont val="Noto Sans CJK SC"/>
        <family val="2"/>
      </rPr>
      <t xml:space="preserve">民國拾捌年</t>
    </r>
  </si>
  <si>
    <t xml:space="preserve">新刊萬世寶鑑</t>
  </si>
  <si>
    <r>
      <rPr>
        <sz val="10"/>
        <rFont val="Noto Sans CJK SC"/>
        <family val="2"/>
      </rPr>
      <t xml:space="preserve">新刊萬世寶鑑民國十五年十月一日北洋政府五民國拾捌年壬戌年民國拾捌年九月玖黃卷壬戌年北洋政府九月十日內赴</t>
    </r>
    <r>
      <rPr>
        <sz val="10"/>
        <rFont val="Arial"/>
        <family val="0"/>
        <charset val="1"/>
      </rPr>
      <t xml:space="preserve">...</t>
    </r>
  </si>
  <si>
    <t xml:space="preserve">31735066237599_001</t>
  </si>
  <si>
    <t xml:space="preserve">31735066237599</t>
  </si>
  <si>
    <t xml:space="preserve">1923/1930</t>
  </si>
  <si>
    <t xml:space="preserve">黃乞容等</t>
  </si>
  <si>
    <t xml:space="preserve">Box 3, Folder 118</t>
  </si>
  <si>
    <t xml:space="preserve">光緒二十六年</t>
  </si>
  <si>
    <t xml:space="preserve">報戶執照</t>
  </si>
  <si>
    <t xml:space="preserve">https://digital.library.pitt.edu/islandora/object/pitt:31735066237599</t>
  </si>
  <si>
    <r>
      <rPr>
        <sz val="10"/>
        <rFont val="Noto Sans CJK SC"/>
        <family val="2"/>
      </rPr>
      <t xml:space="preserve">報戶執照按查商如欲改換執照者須向本局</t>
    </r>
    <r>
      <rPr>
        <sz val="10"/>
        <rFont val="Arial"/>
        <family val="0"/>
        <charset val="1"/>
      </rPr>
      <t xml:space="preserve">...</t>
    </r>
    <r>
      <rPr>
        <sz val="10"/>
        <rFont val="Noto Sans CJK SC"/>
        <family val="2"/>
      </rPr>
      <t xml:space="preserve">大清光緒二十六年</t>
    </r>
    <r>
      <rPr>
        <sz val="10"/>
        <rFont val="Arial"/>
        <family val="0"/>
        <charset val="1"/>
      </rPr>
      <t xml:space="preserve">...</t>
    </r>
    <r>
      <rPr>
        <sz val="10"/>
        <rFont val="Noto Sans CJK SC"/>
        <family val="2"/>
      </rPr>
      <t xml:space="preserve">大清光緒二十六年</t>
    </r>
    <r>
      <rPr>
        <sz val="10"/>
        <rFont val="Arial"/>
        <family val="0"/>
        <charset val="1"/>
      </rPr>
      <t xml:space="preserve">...</t>
    </r>
    <r>
      <rPr>
        <sz val="10"/>
        <rFont val="Noto Sans CJK SC"/>
        <family val="2"/>
      </rPr>
      <t xml:space="preserve">大清光緒二十六年</t>
    </r>
    <r>
      <rPr>
        <sz val="10"/>
        <rFont val="Arial"/>
        <family val="0"/>
        <charset val="1"/>
      </rPr>
      <t xml:space="preserve">...</t>
    </r>
    <r>
      <rPr>
        <sz val="10"/>
        <rFont val="Noto Sans CJK SC"/>
        <family val="2"/>
      </rPr>
      <t xml:space="preserve">大清光緒二十六年</t>
    </r>
    <r>
      <rPr>
        <sz val="10"/>
        <rFont val="Arial"/>
        <family val="0"/>
        <charset val="1"/>
      </rPr>
      <t xml:space="preserve">...</t>
    </r>
    <r>
      <rPr>
        <sz val="10"/>
        <rFont val="Noto Sans CJK SC"/>
        <family val="2"/>
      </rPr>
      <t xml:space="preserve">黃乞容貳錢為任收此下事大清光緒二十六年</t>
    </r>
    <r>
      <rPr>
        <sz val="10"/>
        <rFont val="Arial"/>
        <family val="0"/>
        <charset val="1"/>
      </rPr>
      <t xml:space="preserve">...</t>
    </r>
    <r>
      <rPr>
        <sz val="10"/>
        <rFont val="Noto Sans CJK SC"/>
        <family val="2"/>
      </rPr>
      <t xml:space="preserve">大清光緒二十六年</t>
    </r>
    <r>
      <rPr>
        <sz val="10"/>
        <rFont val="Arial"/>
        <family val="0"/>
        <charset val="1"/>
      </rPr>
      <t xml:space="preserve">...</t>
    </r>
    <r>
      <rPr>
        <sz val="10"/>
        <rFont val="Noto Sans CJK SC"/>
        <family val="2"/>
      </rPr>
      <t xml:space="preserve">大清光緒二十六年</t>
    </r>
    <r>
      <rPr>
        <sz val="10"/>
        <rFont val="Arial"/>
        <family val="0"/>
        <charset val="1"/>
      </rPr>
      <t xml:space="preserve">...</t>
    </r>
    <r>
      <rPr>
        <sz val="10"/>
        <rFont val="Noto Sans CJK SC"/>
        <family val="2"/>
      </rPr>
      <t xml:space="preserve">大清光緒二十六年</t>
    </r>
    <r>
      <rPr>
        <sz val="10"/>
        <rFont val="Arial"/>
        <family val="0"/>
        <charset val="1"/>
      </rPr>
      <t xml:space="preserve">...</t>
    </r>
    <r>
      <rPr>
        <sz val="10"/>
        <rFont val="Noto Sans CJK SC"/>
        <family val="2"/>
      </rPr>
      <t xml:space="preserve">第百五十九號</t>
    </r>
  </si>
  <si>
    <t xml:space="preserve">31735066237599_002</t>
  </si>
  <si>
    <r>
      <rPr>
        <sz val="10"/>
        <rFont val="Noto Sans CJK SC"/>
        <family val="2"/>
      </rPr>
      <t xml:space="preserve">報戶執照大清光緒二十六年十月廿一日此照係為憑凡有</t>
    </r>
    <r>
      <rPr>
        <sz val="10"/>
        <rFont val="Arial"/>
        <family val="0"/>
        <charset val="1"/>
      </rPr>
      <t xml:space="preserve">...</t>
    </r>
    <r>
      <rPr>
        <sz val="10"/>
        <rFont val="Noto Sans CJK SC"/>
        <family val="2"/>
      </rPr>
      <t xml:space="preserve">式拾</t>
    </r>
    <r>
      <rPr>
        <sz val="10"/>
        <rFont val="Arial"/>
        <family val="0"/>
        <charset val="1"/>
      </rPr>
      <t xml:space="preserve">...</t>
    </r>
    <r>
      <rPr>
        <sz val="10"/>
        <rFont val="Noto Sans CJK SC"/>
        <family val="2"/>
      </rPr>
      <t xml:space="preserve">黃乞容式拾屋口毛此照係為憑</t>
    </r>
    <r>
      <rPr>
        <sz val="10"/>
        <rFont val="Arial"/>
        <family val="0"/>
        <charset val="1"/>
      </rPr>
      <t xml:space="preserve">...</t>
    </r>
    <r>
      <rPr>
        <sz val="10"/>
        <rFont val="Noto Sans CJK SC"/>
        <family val="2"/>
      </rPr>
      <t xml:space="preserve">凡有</t>
    </r>
    <r>
      <rPr>
        <sz val="10"/>
        <rFont val="Arial"/>
        <family val="0"/>
        <charset val="1"/>
      </rPr>
      <t xml:space="preserve">...</t>
    </r>
    <r>
      <rPr>
        <sz val="10"/>
        <rFont val="Noto Sans CJK SC"/>
        <family val="2"/>
      </rPr>
      <t xml:space="preserve">此照係為憑</t>
    </r>
    <r>
      <rPr>
        <sz val="10"/>
        <rFont val="Arial"/>
        <family val="0"/>
        <charset val="1"/>
      </rPr>
      <t xml:space="preserve">...</t>
    </r>
    <r>
      <rPr>
        <sz val="10"/>
        <rFont val="Noto Sans CJK SC"/>
        <family val="2"/>
      </rPr>
      <t xml:space="preserve">大清光緒二十六年十月廿一日川干院</t>
    </r>
  </si>
  <si>
    <t xml:space="preserve">31735066237599_003</t>
  </si>
  <si>
    <t xml:space="preserve">報戶執照此照係由本局發給，凡在局內居住者，均須領取此照，以便查驗。士四金正此照係由本局發給，凡在局內居住者，均須領取此照，以便查驗。拾玖拾玖黃乞容貳錢正為征收地丁事此照係由本局發給，凡在局內居住者，均須領取此照，以便查驗。此照係由本局發給，凡在局內居住者，均須領取此照，以便查驗。此照係由本局發給，凡在局內居住者，均須領取此照，以便查驗。此照係由本局發給，凡在局內居住者，均須領取此照，以便查驗。</t>
  </si>
  <si>
    <t xml:space="preserve">31735066237599_004</t>
  </si>
  <si>
    <t xml:space="preserve">報戶執照標自商中家兵司理軍民國華中</t>
  </si>
  <si>
    <t xml:space="preserve">31735066237599_005</t>
  </si>
  <si>
    <r>
      <rPr>
        <sz val="10"/>
        <rFont val="Noto Sans CJK SC"/>
        <family val="2"/>
      </rPr>
      <t xml:space="preserve">光緒 三十 一年</t>
    </r>
    <r>
      <rPr>
        <sz val="10"/>
        <rFont val="Arial"/>
        <family val="0"/>
        <charset val="1"/>
      </rPr>
      <t xml:space="preserve">; </t>
    </r>
    <r>
      <rPr>
        <sz val="10"/>
        <rFont val="Noto Sans CJK SC"/>
        <family val="2"/>
      </rPr>
      <t xml:space="preserve">中華民國 三十 一 年</t>
    </r>
  </si>
  <si>
    <t xml:space="preserve">銀戶執照</t>
  </si>
  <si>
    <t xml:space="preserve">銀戶執照銀戶執照大清光緒三十一年金正此照係大清光緒三十一年金正此照係大清光緒三十一年金正檢捌銀戶執照黃乞容貲錢正為任收地丁事此照係大清光緒三十一年金正此照係大清光緒三十一年金正此照係大清光緒三十一年金正中華民國三十一年六月二日第一號</t>
  </si>
  <si>
    <t xml:space="preserve">31735066237599_006</t>
  </si>
  <si>
    <t xml:space="preserve">執戶照</t>
  </si>
  <si>
    <r>
      <rPr>
        <sz val="10"/>
        <rFont val="Noto Sans CJK SC"/>
        <family val="2"/>
      </rPr>
      <t xml:space="preserve">執戶照大清光緒</t>
    </r>
    <r>
      <rPr>
        <sz val="10"/>
        <rFont val="Arial"/>
        <family val="0"/>
        <charset val="1"/>
      </rPr>
      <t xml:space="preserve">...</t>
    </r>
    <r>
      <rPr>
        <sz val="10"/>
        <rFont val="Noto Sans CJK SC"/>
        <family val="2"/>
      </rPr>
      <t xml:space="preserve">大清光緒</t>
    </r>
    <r>
      <rPr>
        <sz val="10"/>
        <rFont val="Arial"/>
        <family val="0"/>
        <charset val="1"/>
      </rPr>
      <t xml:space="preserve">...</t>
    </r>
    <r>
      <rPr>
        <sz val="10"/>
        <rFont val="Noto Sans CJK SC"/>
        <family val="2"/>
      </rPr>
      <t xml:space="preserve">檢樹黃乞容式換委任</t>
    </r>
    <r>
      <rPr>
        <sz val="10"/>
        <rFont val="Arial"/>
        <family val="0"/>
        <charset val="1"/>
      </rPr>
      <t xml:space="preserve">...</t>
    </r>
    <r>
      <rPr>
        <sz val="10"/>
        <rFont val="Noto Sans CJK SC"/>
        <family val="2"/>
      </rPr>
      <t xml:space="preserve">大清光緒</t>
    </r>
    <r>
      <rPr>
        <sz val="10"/>
        <rFont val="Arial"/>
        <family val="0"/>
        <charset val="1"/>
      </rPr>
      <t xml:space="preserve">...</t>
    </r>
    <r>
      <rPr>
        <sz val="10"/>
        <rFont val="Noto Sans CJK SC"/>
        <family val="2"/>
      </rPr>
      <t xml:space="preserve">大清光緒</t>
    </r>
    <r>
      <rPr>
        <sz val="10"/>
        <rFont val="Arial"/>
        <family val="0"/>
        <charset val="1"/>
      </rPr>
      <t xml:space="preserve">...</t>
    </r>
  </si>
  <si>
    <t xml:space="preserve">31735066237599_007</t>
  </si>
  <si>
    <r>
      <rPr>
        <sz val="10"/>
        <rFont val="Noto Sans CJK SC"/>
        <family val="2"/>
      </rPr>
      <t xml:space="preserve">報戶執照換領執照如法</t>
    </r>
    <r>
      <rPr>
        <sz val="10"/>
        <rFont val="Arial"/>
        <family val="0"/>
        <charset val="1"/>
      </rPr>
      <t xml:space="preserve">...</t>
    </r>
    <r>
      <rPr>
        <sz val="10"/>
        <rFont val="Noto Sans CJK SC"/>
        <family val="2"/>
      </rPr>
      <t xml:space="preserve">凡欲換領執照者</t>
    </r>
    <r>
      <rPr>
        <sz val="10"/>
        <rFont val="Arial"/>
        <family val="0"/>
        <charset val="1"/>
      </rPr>
      <t xml:space="preserve">...</t>
    </r>
    <r>
      <rPr>
        <sz val="10"/>
        <rFont val="Noto Sans CJK SC"/>
        <family val="2"/>
      </rPr>
      <t xml:space="preserve">拾柒年</t>
    </r>
    <r>
      <rPr>
        <sz val="10"/>
        <rFont val="Arial"/>
        <family val="0"/>
        <charset val="1"/>
      </rPr>
      <t xml:space="preserve">...</t>
    </r>
    <r>
      <rPr>
        <sz val="10"/>
        <rFont val="Noto Sans CJK SC"/>
        <family val="2"/>
      </rPr>
      <t xml:space="preserve">黃乞容貳錢正凡欲換領執照者</t>
    </r>
    <r>
      <rPr>
        <sz val="10"/>
        <rFont val="Arial"/>
        <family val="0"/>
        <charset val="1"/>
      </rPr>
      <t xml:space="preserve">...</t>
    </r>
    <r>
      <rPr>
        <sz val="10"/>
        <rFont val="Noto Sans CJK SC"/>
        <family val="2"/>
      </rPr>
      <t xml:space="preserve">凡欲換領執照者</t>
    </r>
    <r>
      <rPr>
        <sz val="10"/>
        <rFont val="Arial"/>
        <family val="0"/>
        <charset val="1"/>
      </rPr>
      <t xml:space="preserve">...</t>
    </r>
    <r>
      <rPr>
        <sz val="10"/>
        <rFont val="Noto Sans CJK SC"/>
        <family val="2"/>
      </rPr>
      <t xml:space="preserve">凡欲換領執照者</t>
    </r>
    <r>
      <rPr>
        <sz val="10"/>
        <rFont val="Arial"/>
        <family val="0"/>
        <charset val="1"/>
      </rPr>
      <t xml:space="preserve">...</t>
    </r>
    <r>
      <rPr>
        <sz val="10"/>
        <rFont val="Noto Sans CJK SC"/>
        <family val="2"/>
      </rPr>
      <t xml:space="preserve">三月廿二日均第一號院</t>
    </r>
  </si>
  <si>
    <t xml:space="preserve">31735066237599_008</t>
  </si>
  <si>
    <r>
      <rPr>
        <sz val="10"/>
        <rFont val="Noto Sans CJK SC"/>
        <family val="2"/>
      </rPr>
      <t xml:space="preserve">納戸執照東京</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主民國</t>
    </r>
    <r>
      <rPr>
        <sz val="10"/>
        <rFont val="Arial"/>
        <family val="0"/>
        <charset val="1"/>
      </rPr>
      <t xml:space="preserve">............</t>
    </r>
    <r>
      <rPr>
        <sz val="10"/>
        <rFont val="Noto Sans CJK SC"/>
        <family val="2"/>
      </rPr>
      <t xml:space="preserve">民國</t>
    </r>
    <r>
      <rPr>
        <sz val="10"/>
        <rFont val="Arial"/>
        <family val="0"/>
        <charset val="1"/>
      </rPr>
      <t xml:space="preserve">................................................</t>
    </r>
  </si>
  <si>
    <t xml:space="preserve">31735066237607_001</t>
  </si>
  <si>
    <t xml:space="preserve">31735066237607</t>
  </si>
  <si>
    <t xml:space="preserve">1926/1927</t>
  </si>
  <si>
    <t xml:space="preserve">黃國興</t>
  </si>
  <si>
    <t xml:space="preserve">Box 3, Folder 128</t>
  </si>
  <si>
    <r>
      <rPr>
        <sz val="10"/>
        <rFont val="Noto Sans CJK SC"/>
        <family val="2"/>
      </rPr>
      <t xml:space="preserve">中華民國拾伍年</t>
    </r>
    <r>
      <rPr>
        <sz val="10"/>
        <rFont val="Arial"/>
        <family val="0"/>
        <charset val="1"/>
      </rPr>
      <t xml:space="preserve">; </t>
    </r>
    <r>
      <rPr>
        <sz val="10"/>
        <rFont val="Noto Sans CJK SC"/>
        <family val="2"/>
      </rPr>
      <t xml:space="preserve">中華民國拾肆年</t>
    </r>
  </si>
  <si>
    <r>
      <rPr>
        <sz val="10"/>
        <rFont val="Noto Sans CJK SC"/>
        <family val="2"/>
      </rPr>
      <t xml:space="preserve">照永泰縣知事</t>
    </r>
    <r>
      <rPr>
        <sz val="10"/>
        <rFont val="Arial"/>
        <family val="0"/>
        <charset val="1"/>
      </rPr>
      <t xml:space="preserve">; </t>
    </r>
    <r>
      <rPr>
        <sz val="10"/>
        <rFont val="Noto Sans CJK SC"/>
        <family val="2"/>
      </rPr>
      <t xml:space="preserve">九永泰縣知事</t>
    </r>
  </si>
  <si>
    <t xml:space="preserve">https://digital.library.pitt.edu/islandora/object/pitt:31735066237607</t>
  </si>
  <si>
    <t xml:space="preserve">納戶執照永泰縣知事今據都甲納戶中華民國拾伍年地丁銀合給執照須至照者中華民國拾肆年五月縣完為徵收錢糧事黃國勇肆錢正如有重完錯寫限十日內到柜駁改如遲自誤日荒字第十九永泰縣知事</t>
  </si>
  <si>
    <t xml:space="preserve">31735066237607_002</t>
  </si>
  <si>
    <r>
      <rPr>
        <sz val="10"/>
        <rFont val="Noto Sans CJK SC"/>
        <family val="2"/>
      </rPr>
      <t xml:space="preserve">民國 拾伍年</t>
    </r>
    <r>
      <rPr>
        <sz val="10"/>
        <rFont val="Arial"/>
        <family val="0"/>
        <charset val="1"/>
      </rPr>
      <t xml:space="preserve">; </t>
    </r>
    <r>
      <rPr>
        <sz val="10"/>
        <rFont val="Noto Sans CJK SC"/>
        <family val="2"/>
      </rPr>
      <t xml:space="preserve">中華民國 拾伍年</t>
    </r>
  </si>
  <si>
    <t xml:space="preserve">納戶執照民國拾伍年拾月拾日民國拾伍年拾月拾日中華民國拾伍年拾月拾日黃國具爲道毛民國拾伍年拾月拾日廿一十日內赴稅務局</t>
  </si>
  <si>
    <t xml:space="preserve">31735066237607_003</t>
  </si>
  <si>
    <r>
      <rPr>
        <sz val="10"/>
        <rFont val="Noto Sans CJK SC"/>
        <family val="2"/>
      </rPr>
      <t xml:space="preserve">民國十一年</t>
    </r>
    <r>
      <rPr>
        <sz val="10"/>
        <rFont val="Arial"/>
        <family val="0"/>
        <charset val="1"/>
      </rPr>
      <t xml:space="preserve">; </t>
    </r>
    <r>
      <rPr>
        <sz val="10"/>
        <rFont val="Noto Sans CJK SC"/>
        <family val="2"/>
      </rPr>
      <t xml:space="preserve">中華民國十一年</t>
    </r>
  </si>
  <si>
    <r>
      <rPr>
        <sz val="10"/>
        <rFont val="Noto Sans CJK SC"/>
        <family val="2"/>
      </rPr>
      <t xml:space="preserve">納戶執照民國十一年丁卯中華民國十一年九月宣貴完次貴國員任</t>
    </r>
    <r>
      <rPr>
        <sz val="10"/>
        <rFont val="Arial"/>
        <family val="0"/>
        <charset val="1"/>
      </rPr>
      <t xml:space="preserve">0</t>
    </r>
    <r>
      <rPr>
        <sz val="10"/>
        <rFont val="Noto Sans CJK SC"/>
        <family val="2"/>
      </rPr>
      <t xml:space="preserve">三廿號日貴國員</t>
    </r>
  </si>
  <si>
    <t xml:space="preserve">31735066237607_004</t>
  </si>
  <si>
    <t xml:space="preserve">民國 拾伍年</t>
  </si>
  <si>
    <t xml:space="preserve">納戶執照民國拾伍年號丁銀金銀票與票者民國拾伍年九日黃國法銀行為收執執照事廿三日自換執照</t>
  </si>
  <si>
    <t xml:space="preserve">31735066237607_005</t>
  </si>
  <si>
    <r>
      <rPr>
        <sz val="10"/>
        <rFont val="Noto Sans CJK SC"/>
        <family val="2"/>
      </rPr>
      <t xml:space="preserve">中華民國拾伍年</t>
    </r>
    <r>
      <rPr>
        <sz val="10"/>
        <rFont val="Arial"/>
        <family val="0"/>
        <charset val="1"/>
      </rPr>
      <t xml:space="preserve">; </t>
    </r>
    <r>
      <rPr>
        <sz val="10"/>
        <rFont val="Noto Sans CJK SC"/>
        <family val="2"/>
      </rPr>
      <t xml:space="preserve">中華民國拾四年</t>
    </r>
  </si>
  <si>
    <t xml:space="preserve">納戶執照永泰縣知事今據都甲納戶中華民國拾伍年地丁銀合給執照須至照者完中華民國拾四年九月縣號字第二百五為徵收錢糧事苗國銀正如有重完錯寫限十日內到櫃繳改如遲有誤日</t>
  </si>
  <si>
    <t xml:space="preserve">31735066237607_006</t>
  </si>
  <si>
    <r>
      <rPr>
        <sz val="10"/>
        <rFont val="Noto Sans CJK SC"/>
        <family val="2"/>
      </rPr>
      <t xml:space="preserve">中華民國 拾伍 年</t>
    </r>
    <r>
      <rPr>
        <sz val="10"/>
        <rFont val="Arial"/>
        <family val="0"/>
        <charset val="1"/>
      </rPr>
      <t xml:space="preserve">; </t>
    </r>
    <r>
      <rPr>
        <sz val="10"/>
        <rFont val="Noto Sans CJK SC"/>
        <family val="2"/>
      </rPr>
      <t xml:space="preserve">中華民國 拾肆 年</t>
    </r>
  </si>
  <si>
    <t xml:space="preserve">納戶執照永泰縣知事今據都中納戶中華民國拾伍年地丁銀合給執照須至照者元中華民國拾肆年縣縣字第為徵收錢糧事共國壹錢如有重完錯寫限十日內到恒駿改如遲有誤日</t>
  </si>
  <si>
    <t xml:space="preserve">31735066237615_001</t>
  </si>
  <si>
    <t xml:space="preserve">31735066237615</t>
  </si>
  <si>
    <t xml:space="preserve">1920/1926</t>
  </si>
  <si>
    <t xml:space="preserve">林仁典等</t>
  </si>
  <si>
    <t xml:space="preserve">Box 3, Folder 111</t>
  </si>
  <si>
    <t xml:space="preserve">民國 十五年</t>
  </si>
  <si>
    <t xml:space="preserve">https://digital.library.pitt.edu/islandora/object/pitt:31735066237615</t>
  </si>
  <si>
    <t xml:space="preserve">納戶執照民國十五年丁日民國十五年丁壬戌年完金此作賣作者林仁典林子書屋之三苑為</t>
  </si>
  <si>
    <t xml:space="preserve">31735066237615_002</t>
  </si>
  <si>
    <r>
      <rPr>
        <sz val="10"/>
        <rFont val="Noto Sans CJK SC"/>
        <family val="2"/>
      </rPr>
      <t xml:space="preserve">廣東省城</t>
    </r>
    <r>
      <rPr>
        <sz val="10"/>
        <rFont val="Arial"/>
        <family val="0"/>
        <charset val="1"/>
      </rPr>
      <t xml:space="preserve">...</t>
    </r>
    <r>
      <rPr>
        <sz val="10"/>
        <rFont val="Noto Sans CJK SC"/>
        <family val="2"/>
      </rPr>
      <t xml:space="preserve">丁巳年</t>
    </r>
    <r>
      <rPr>
        <sz val="10"/>
        <rFont val="Arial"/>
        <family val="0"/>
        <charset val="1"/>
      </rPr>
      <t xml:space="preserve">...</t>
    </r>
    <r>
      <rPr>
        <sz val="10"/>
        <rFont val="Noto Sans CJK SC"/>
        <family val="2"/>
      </rPr>
      <t xml:space="preserve">承</t>
    </r>
    <r>
      <rPr>
        <sz val="10"/>
        <rFont val="Arial"/>
        <family val="0"/>
        <charset val="1"/>
      </rPr>
      <t xml:space="preserve">...</t>
    </r>
    <r>
      <rPr>
        <sz val="10"/>
        <rFont val="Noto Sans CJK SC"/>
        <family val="2"/>
      </rPr>
      <t xml:space="preserve">知事</t>
    </r>
    <r>
      <rPr>
        <sz val="10"/>
        <rFont val="Arial"/>
        <family val="0"/>
        <charset val="1"/>
      </rPr>
      <t xml:space="preserve">...</t>
    </r>
    <r>
      <rPr>
        <sz val="10"/>
        <rFont val="Noto Sans CJK SC"/>
        <family val="2"/>
      </rPr>
      <t xml:space="preserve">承</t>
    </r>
    <r>
      <rPr>
        <sz val="10"/>
        <rFont val="Arial"/>
        <family val="0"/>
        <charset val="1"/>
      </rPr>
      <t xml:space="preserve">...</t>
    </r>
    <r>
      <rPr>
        <sz val="10"/>
        <rFont val="Noto Sans CJK SC"/>
        <family val="2"/>
      </rPr>
      <t xml:space="preserve">知事</t>
    </r>
    <r>
      <rPr>
        <sz val="10"/>
        <rFont val="Arial"/>
        <family val="0"/>
        <charset val="1"/>
      </rPr>
      <t xml:space="preserve">...</t>
    </r>
    <r>
      <rPr>
        <sz val="10"/>
        <rFont val="Noto Sans CJK SC"/>
        <family val="2"/>
      </rPr>
      <t xml:space="preserve">黃</t>
    </r>
    <r>
      <rPr>
        <sz val="10"/>
        <rFont val="Arial"/>
        <family val="0"/>
        <charset val="1"/>
      </rPr>
      <t xml:space="preserve">...</t>
    </r>
    <r>
      <rPr>
        <sz val="10"/>
        <rFont val="Noto Sans CJK SC"/>
        <family val="2"/>
      </rPr>
      <t xml:space="preserve">拾茶</t>
    </r>
    <r>
      <rPr>
        <sz val="10"/>
        <rFont val="Arial"/>
        <family val="0"/>
        <charset val="1"/>
      </rPr>
      <t xml:space="preserve">...</t>
    </r>
    <r>
      <rPr>
        <sz val="10"/>
        <rFont val="Noto Sans CJK SC"/>
        <family val="2"/>
      </rPr>
      <t xml:space="preserve">寶</t>
    </r>
    <r>
      <rPr>
        <sz val="10"/>
        <rFont val="Arial"/>
        <family val="0"/>
        <charset val="1"/>
      </rPr>
      <t xml:space="preserve">...</t>
    </r>
    <r>
      <rPr>
        <sz val="10"/>
        <rFont val="Noto Sans CJK SC"/>
        <family val="2"/>
      </rPr>
      <t xml:space="preserve">百二十</t>
    </r>
    <r>
      <rPr>
        <sz val="10"/>
        <rFont val="Arial"/>
        <family val="0"/>
        <charset val="1"/>
      </rPr>
      <t xml:space="preserve">...</t>
    </r>
    <r>
      <rPr>
        <sz val="10"/>
        <rFont val="Noto Sans CJK SC"/>
        <family val="2"/>
      </rPr>
      <t xml:space="preserve">林仁忠</t>
    </r>
    <r>
      <rPr>
        <sz val="10"/>
        <rFont val="Arial"/>
        <family val="0"/>
        <charset val="1"/>
      </rPr>
      <t xml:space="preserve">...</t>
    </r>
    <r>
      <rPr>
        <sz val="10"/>
        <rFont val="Noto Sans CJK SC"/>
        <family val="2"/>
      </rPr>
      <t xml:space="preserve">壹錢正</t>
    </r>
    <r>
      <rPr>
        <sz val="10"/>
        <rFont val="Arial"/>
        <family val="0"/>
        <charset val="1"/>
      </rPr>
      <t xml:space="preserve">...</t>
    </r>
  </si>
  <si>
    <t xml:space="preserve">31735066237615_003</t>
  </si>
  <si>
    <t xml:space="preserve">納戶執照永泰縣知事今據都中納戶中華民國拾伍年地丁銀合給執照須至照者中華民國拾肆年己月縣完為徵收錢糧事大清仁典正荒字第二百八十號如有重完錯寫限十日內到相驗改如遲自誤日</t>
  </si>
  <si>
    <t xml:space="preserve">31735066237615_004</t>
  </si>
  <si>
    <t xml:space="preserve">民國拾壹年</t>
  </si>
  <si>
    <t xml:space="preserve">續元執照</t>
  </si>
  <si>
    <t xml:space="preserve">照永樂縣知事</t>
  </si>
  <si>
    <t xml:space="preserve">續元執照永樂縣知事令茲民國拾壹年令茲民國拾壹年照施二千七百九十九號為徵收執照事林仁曲林仁曲土</t>
  </si>
  <si>
    <t xml:space="preserve">31735066237623_001</t>
  </si>
  <si>
    <t xml:space="preserve">31735066237623</t>
  </si>
  <si>
    <t xml:space="preserve">黃同華</t>
  </si>
  <si>
    <t xml:space="preserve">Box 3, Folder 112</t>
  </si>
  <si>
    <t xml:space="preserve">中華民國 玖年</t>
  </si>
  <si>
    <t xml:space="preserve">https://digital.library.pitt.edu/islandora/object/pitt:31735066237623</t>
  </si>
  <si>
    <t xml:space="preserve">納戶執照總局中華民國合局代辦金今據甲納戶中華民國玖年地丁銀合給一券須至照者中華民國玖年七月維子第七月廿伍千伍厘柒毫黃同華為徵收錢糧事</t>
  </si>
  <si>
    <t xml:space="preserve">31735066237623_002</t>
  </si>
  <si>
    <t xml:space="preserve">民國拾八年</t>
  </si>
  <si>
    <t xml:space="preserve">納戸執照民國拾八年國民政府賣無效者能完黃同華切切切為收稅手日九日內柜改</t>
  </si>
  <si>
    <t xml:space="preserve">31735066237623_003</t>
  </si>
  <si>
    <t xml:space="preserve">民國拾伍年</t>
  </si>
  <si>
    <t xml:space="preserve">納戶執照民國拾伍年地丁銀全縣農馬五銀者民國拾伍年之月大民黃同華毛廿十日內赴稅局改</t>
  </si>
  <si>
    <t xml:space="preserve">31735066237623_004</t>
  </si>
  <si>
    <r>
      <rPr>
        <sz val="10"/>
        <rFont val="Noto Sans CJK SC"/>
        <family val="2"/>
      </rPr>
      <t xml:space="preserve">中華民國 拾伍 年</t>
    </r>
    <r>
      <rPr>
        <sz val="10"/>
        <rFont val="Arial"/>
        <family val="0"/>
        <charset val="1"/>
      </rPr>
      <t xml:space="preserve">; </t>
    </r>
    <r>
      <rPr>
        <sz val="10"/>
        <rFont val="Noto Sans CJK SC"/>
        <family val="2"/>
      </rPr>
      <t xml:space="preserve">中華民國 拾四 年</t>
    </r>
  </si>
  <si>
    <t xml:space="preserve">納戶執照永泰縣知事今據都中納戶中華民國拾伍年地丁銀合給執照須至照者完中華民國拾四年八月縣荒子第九為徵收錢糧事黃同華錢正如有重完錯認限十日內到柜驗改如遲有誤號日</t>
  </si>
  <si>
    <t xml:space="preserve">31735066237623_005</t>
  </si>
  <si>
    <r>
      <rPr>
        <sz val="10"/>
        <rFont val="Noto Sans CJK SC"/>
        <family val="2"/>
      </rPr>
      <t xml:space="preserve">執照</t>
    </r>
    <r>
      <rPr>
        <sz val="10"/>
        <rFont val="Arial"/>
        <family val="0"/>
        <charset val="1"/>
      </rPr>
      <t xml:space="preserve">; </t>
    </r>
    <r>
      <rPr>
        <sz val="10"/>
        <rFont val="Noto Sans CJK SC"/>
        <family val="2"/>
      </rPr>
      <t xml:space="preserve">土地丁銀</t>
    </r>
  </si>
  <si>
    <t xml:space="preserve">納戶執照永春縣今據中華民國合給執照中華民國縣都中納戶土地丁銀照至照者年五月字第百七完為徵收錢糧事黃因華如有重完錯漏限十日內到柜駁改如遲自誤號日</t>
  </si>
  <si>
    <t xml:space="preserve">31735066237631_001</t>
  </si>
  <si>
    <t xml:space="preserve">31735066237631</t>
  </si>
  <si>
    <t xml:space="preserve">1920/1925</t>
  </si>
  <si>
    <r>
      <rPr>
        <sz val="10"/>
        <rFont val="Noto Sans CJK SC"/>
        <family val="2"/>
      </rPr>
      <t xml:space="preserve">黃雲村 </t>
    </r>
    <r>
      <rPr>
        <sz val="10"/>
        <rFont val="Arial"/>
        <family val="0"/>
        <charset val="1"/>
      </rPr>
      <t xml:space="preserve">| </t>
    </r>
    <r>
      <rPr>
        <sz val="10"/>
        <rFont val="Noto Sans CJK SC"/>
        <family val="2"/>
      </rPr>
      <t xml:space="preserve">黃汝勷</t>
    </r>
  </si>
  <si>
    <t xml:space="preserve">Box 2, Folder 110</t>
  </si>
  <si>
    <t xml:space="preserve">民國十年</t>
  </si>
  <si>
    <t xml:space="preserve">https://digital.library.pitt.edu/islandora/object/pitt:31735066237631</t>
  </si>
  <si>
    <t xml:space="preserve">納戸執照民國十年丁巳年國幣九月能黃雲邨十六張</t>
  </si>
  <si>
    <t xml:space="preserve">31735066237631_002</t>
  </si>
  <si>
    <t xml:space="preserve">納万執照</t>
  </si>
  <si>
    <r>
      <rPr>
        <sz val="10"/>
        <rFont val="Noto Sans CJK SC"/>
        <family val="2"/>
      </rPr>
      <t xml:space="preserve">納万執照</t>
    </r>
    <r>
      <rPr>
        <sz val="10"/>
        <rFont val="Arial"/>
        <family val="0"/>
        <charset val="1"/>
      </rPr>
      <t xml:space="preserve">Verticaltextontherightmargin,partiallyobscured.Verticaltextontheleftmargin.Verticaltextontherightmargin.Verticaltextontheleftmargin.Verticaltextontheleftmargin.</t>
    </r>
  </si>
  <si>
    <t xml:space="preserve">31735066237631_003</t>
  </si>
  <si>
    <r>
      <rPr>
        <sz val="10"/>
        <rFont val="Noto Sans CJK SC"/>
        <family val="2"/>
      </rPr>
      <t xml:space="preserve">民國十年</t>
    </r>
    <r>
      <rPr>
        <sz val="10"/>
        <rFont val="Arial"/>
        <family val="0"/>
        <charset val="1"/>
      </rPr>
      <t xml:space="preserve">; </t>
    </r>
    <r>
      <rPr>
        <sz val="10"/>
        <rFont val="Noto Sans CJK SC"/>
        <family val="2"/>
      </rPr>
      <t xml:space="preserve">宣統三年</t>
    </r>
  </si>
  <si>
    <r>
      <rPr>
        <sz val="10"/>
        <rFont val="Noto Sans CJK SC"/>
        <family val="2"/>
      </rPr>
      <t xml:space="preserve">緝片執照北洋政府金民國十年宣統三年民國十年</t>
    </r>
    <r>
      <rPr>
        <sz val="10"/>
        <rFont val="Arial"/>
        <family val="0"/>
        <charset val="1"/>
      </rPr>
      <t xml:space="preserve">...</t>
    </r>
    <r>
      <rPr>
        <sz val="10"/>
        <rFont val="Noto Sans CJK SC"/>
        <family val="2"/>
      </rPr>
      <t xml:space="preserve">能君</t>
    </r>
    <r>
      <rPr>
        <sz val="10"/>
        <rFont val="Arial"/>
        <family val="0"/>
        <charset val="1"/>
      </rPr>
      <t xml:space="preserve">...</t>
    </r>
    <r>
      <rPr>
        <sz val="10"/>
        <rFont val="Noto Sans CJK SC"/>
        <family val="2"/>
      </rPr>
      <t xml:space="preserve">黃汝勳</t>
    </r>
    <r>
      <rPr>
        <sz val="10"/>
        <rFont val="Arial"/>
        <family val="0"/>
        <charset val="1"/>
      </rPr>
      <t xml:space="preserve">...</t>
    </r>
    <r>
      <rPr>
        <sz val="10"/>
        <rFont val="Noto Sans CJK SC"/>
        <family val="2"/>
      </rPr>
      <t xml:space="preserve">七月六日</t>
    </r>
    <r>
      <rPr>
        <sz val="10"/>
        <rFont val="Arial"/>
        <family val="0"/>
        <charset val="1"/>
      </rPr>
      <t xml:space="preserve">...</t>
    </r>
  </si>
  <si>
    <t xml:space="preserve">31735066237631_004</t>
  </si>
  <si>
    <t xml:space="preserve">而春廿門</t>
  </si>
  <si>
    <t xml:space="preserve">31735066237631_005</t>
  </si>
  <si>
    <r>
      <rPr>
        <sz val="10"/>
        <rFont val="Noto Sans CJK SC"/>
        <family val="2"/>
      </rPr>
      <t xml:space="preserve">納戶執照永樂縣口</t>
    </r>
    <r>
      <rPr>
        <sz val="10"/>
        <rFont val="Arial"/>
        <family val="0"/>
        <charset val="1"/>
      </rPr>
      <t xml:space="preserve">...</t>
    </r>
    <r>
      <rPr>
        <sz val="10"/>
        <rFont val="Noto Sans CJK SC"/>
        <family val="2"/>
      </rPr>
      <t xml:space="preserve">金今據</t>
    </r>
    <r>
      <rPr>
        <sz val="10"/>
        <rFont val="Arial"/>
        <family val="0"/>
        <charset val="1"/>
      </rPr>
      <t xml:space="preserve">...</t>
    </r>
    <r>
      <rPr>
        <sz val="10"/>
        <rFont val="Noto Sans CJK SC"/>
        <family val="2"/>
      </rPr>
      <t xml:space="preserve">甲納中華國</t>
    </r>
    <r>
      <rPr>
        <sz val="10"/>
        <rFont val="Arial"/>
        <family val="0"/>
        <charset val="1"/>
      </rPr>
      <t xml:space="preserve">...</t>
    </r>
    <r>
      <rPr>
        <sz val="10"/>
        <rFont val="Noto Sans CJK SC"/>
        <family val="2"/>
      </rPr>
      <t xml:space="preserve">丁銀今給執照</t>
    </r>
    <r>
      <rPr>
        <sz val="10"/>
        <rFont val="Arial"/>
        <family val="0"/>
        <charset val="1"/>
      </rPr>
      <t xml:space="preserve">...</t>
    </r>
    <r>
      <rPr>
        <sz val="10"/>
        <rFont val="Noto Sans CJK SC"/>
        <family val="2"/>
      </rPr>
      <t xml:space="preserve">至照者中華國</t>
    </r>
    <r>
      <rPr>
        <sz val="10"/>
        <rFont val="Arial"/>
        <family val="0"/>
        <charset val="1"/>
      </rPr>
      <t xml:space="preserve">...</t>
    </r>
    <r>
      <rPr>
        <sz val="10"/>
        <rFont val="Noto Sans CJK SC"/>
        <family val="2"/>
      </rPr>
      <t xml:space="preserve">十二月路民字肆戩正黃雲軒承徵收</t>
    </r>
    <r>
      <rPr>
        <sz val="10"/>
        <rFont val="Arial"/>
        <family val="0"/>
        <charset val="1"/>
      </rPr>
      <t xml:space="preserve">...</t>
    </r>
    <r>
      <rPr>
        <sz val="10"/>
        <rFont val="Noto Sans CJK SC"/>
        <family val="2"/>
      </rPr>
      <t xml:space="preserve">事倘有重完錯</t>
    </r>
    <r>
      <rPr>
        <sz val="10"/>
        <rFont val="Arial"/>
        <family val="0"/>
        <charset val="1"/>
      </rPr>
      <t xml:space="preserve">...</t>
    </r>
    <r>
      <rPr>
        <sz val="10"/>
        <rFont val="Noto Sans CJK SC"/>
        <family val="2"/>
      </rPr>
      <t xml:space="preserve">照十日內赴</t>
    </r>
    <r>
      <rPr>
        <sz val="10"/>
        <rFont val="Arial"/>
        <family val="0"/>
        <charset val="1"/>
      </rPr>
      <t xml:space="preserve">...</t>
    </r>
    <r>
      <rPr>
        <sz val="10"/>
        <rFont val="Noto Sans CJK SC"/>
        <family val="2"/>
      </rPr>
      <t xml:space="preserve">照送自</t>
    </r>
    <r>
      <rPr>
        <sz val="10"/>
        <rFont val="Arial"/>
        <family val="0"/>
        <charset val="1"/>
      </rPr>
      <t xml:space="preserve">...</t>
    </r>
    <r>
      <rPr>
        <sz val="10"/>
        <rFont val="Noto Sans CJK SC"/>
        <family val="2"/>
      </rPr>
      <t xml:space="preserve">照九月九廿</t>
    </r>
  </si>
  <si>
    <t xml:space="preserve">31735066237631_006</t>
  </si>
  <si>
    <t xml:space="preserve">中華民國二十九年</t>
  </si>
  <si>
    <t xml:space="preserve">民字第一號</t>
  </si>
  <si>
    <t xml:space="preserve">納戶執照中華民國二十九年九月一日令發甲納戶中華民國二十九年地丁銀合給執照至照者中華民國二十九年十二月照民字第一號完黃雲輝中華民國二十九年九月一日三月九日廿六</t>
  </si>
  <si>
    <t xml:space="preserve">31735066237631_007</t>
  </si>
  <si>
    <t xml:space="preserve">中華民國 十 年</t>
  </si>
  <si>
    <t xml:space="preserve">續戶執照</t>
  </si>
  <si>
    <t xml:space="preserve">民二號土水車車車車續戶執照中華民國十年金今據甲納戶中華民國十年地丁銀合給執照須至照者中華民國十年十月縣民主義三黃汝勳王球甫三名號號號號號號二千九百廿七十一月廿九日此照係照舊制頒發之照凡有違犯者一律沒收並予處罰</t>
  </si>
  <si>
    <t xml:space="preserve">31735066237649_001</t>
  </si>
  <si>
    <t xml:space="preserve">31735066237649</t>
  </si>
  <si>
    <t xml:space="preserve">1920/1932</t>
  </si>
  <si>
    <t xml:space="preserve">陳明</t>
  </si>
  <si>
    <t xml:space="preserve">Box 3, Folder 113</t>
  </si>
  <si>
    <t xml:space="preserve">中華民國九年</t>
  </si>
  <si>
    <t xml:space="preserve">銀每兩貳千壹百文</t>
  </si>
  <si>
    <t xml:space="preserve">https://digital.library.pitt.edu/islandora/object/pitt:31735066237649</t>
  </si>
  <si>
    <t xml:space="preserve">丁銀每兩貳千壹百文照定章現年地丁過忙完納者每兩加收壹百文外另加征收費壹成隨糧肆百文附加貳百文依此類推發證福建閩侯縣為徵收丁銀事外國出標康明中華民國九年通銀正照中華民國九年</t>
  </si>
  <si>
    <t xml:space="preserve">31735066237649_002</t>
  </si>
  <si>
    <t xml:space="preserve">中華民國玖年</t>
  </si>
  <si>
    <r>
      <rPr>
        <sz val="10"/>
        <rFont val="Noto Sans CJK SC"/>
        <family val="2"/>
      </rPr>
      <t xml:space="preserve">仿</t>
    </r>
    <r>
      <rPr>
        <sz val="10"/>
        <rFont val="Arial"/>
        <family val="0"/>
        <charset val="1"/>
      </rPr>
      <t xml:space="preserve">...</t>
    </r>
    <r>
      <rPr>
        <sz val="10"/>
        <rFont val="Noto Sans CJK SC"/>
        <family val="2"/>
      </rPr>
      <t xml:space="preserve">卷</t>
    </r>
    <r>
      <rPr>
        <sz val="10"/>
        <rFont val="Arial"/>
        <family val="0"/>
        <charset val="1"/>
      </rPr>
      <t xml:space="preserve">...</t>
    </r>
    <r>
      <rPr>
        <sz val="10"/>
        <rFont val="Noto Sans CJK SC"/>
        <family val="2"/>
      </rPr>
      <t xml:space="preserve">以</t>
    </r>
    <r>
      <rPr>
        <sz val="10"/>
        <rFont val="Arial"/>
        <family val="0"/>
        <charset val="1"/>
      </rPr>
      <t xml:space="preserve">...</t>
    </r>
    <r>
      <rPr>
        <sz val="10"/>
        <rFont val="Noto Sans CJK SC"/>
        <family val="2"/>
      </rPr>
      <t xml:space="preserve">工</t>
    </r>
    <r>
      <rPr>
        <sz val="10"/>
        <rFont val="Arial"/>
        <family val="0"/>
        <charset val="1"/>
      </rPr>
      <t xml:space="preserve">...</t>
    </r>
    <r>
      <rPr>
        <sz val="10"/>
        <rFont val="Noto Sans CJK SC"/>
        <family val="2"/>
      </rPr>
      <t xml:space="preserve">具</t>
    </r>
    <r>
      <rPr>
        <sz val="10"/>
        <rFont val="Arial"/>
        <family val="0"/>
        <charset val="1"/>
      </rPr>
      <t xml:space="preserve">...</t>
    </r>
    <r>
      <rPr>
        <sz val="10"/>
        <rFont val="Noto Sans CJK SC"/>
        <family val="2"/>
      </rPr>
      <t xml:space="preserve">詳</t>
    </r>
    <r>
      <rPr>
        <sz val="10"/>
        <rFont val="Arial"/>
        <family val="0"/>
        <charset val="1"/>
      </rPr>
      <t xml:space="preserve">...</t>
    </r>
    <r>
      <rPr>
        <sz val="10"/>
        <rFont val="Noto Sans CJK SC"/>
        <family val="2"/>
      </rPr>
      <t xml:space="preserve">未每有肆下肆百文另加銀收費書受贈搜捐肆百文附加稅試白文上下類推版譯是證福建閩侯縣</t>
    </r>
    <r>
      <rPr>
        <sz val="10"/>
        <rFont val="Arial"/>
        <family val="0"/>
        <charset val="1"/>
      </rPr>
      <t xml:space="preserve">...</t>
    </r>
    <r>
      <rPr>
        <sz val="10"/>
        <rFont val="Noto Sans CJK SC"/>
        <family val="2"/>
      </rPr>
      <t xml:space="preserve">啟收事</t>
    </r>
    <r>
      <rPr>
        <sz val="10"/>
        <rFont val="Arial"/>
        <family val="0"/>
        <charset val="1"/>
      </rPr>
      <t xml:space="preserve">...</t>
    </r>
    <r>
      <rPr>
        <sz val="10"/>
        <rFont val="Noto Sans CJK SC"/>
        <family val="2"/>
      </rPr>
      <t xml:space="preserve">部關田糧戶陳明完納中華民國玖年分糧米玖升正照中華民國玖年川伍柜侯守節四百八號號給</t>
    </r>
  </si>
  <si>
    <t xml:space="preserve">31735066237649_003</t>
  </si>
  <si>
    <t xml:space="preserve">版 庫 執 證</t>
  </si>
  <si>
    <t xml:space="preserve">色米每石肆干肆百文遵照定章現年色米過忙完納者每石加收伍百文外另加征收費壹成隨糧肆百文附加貳百文依此類推版庫執證福建周侯縣為徵收事處舊侯縣都圖田糧戶陳明完納中華民國玖年分糧米茶合均中華民國玖年月號給伍柜伍字伍二万乙千九百八號</t>
  </si>
  <si>
    <t xml:space="preserve">31735066237649_004</t>
  </si>
  <si>
    <t xml:space="preserve">廿二都國の小野陳明通照元壹斗三十一大正元年大正元年大正元年大正元年卷徵國二十日九千六</t>
  </si>
  <si>
    <t xml:space="preserve">31735066237656_001</t>
  </si>
  <si>
    <t xml:space="preserve">31735066237656</t>
  </si>
  <si>
    <t xml:space="preserve">1890/1892</t>
  </si>
  <si>
    <r>
      <rPr>
        <sz val="10"/>
        <rFont val="Noto Sans CJK SC"/>
        <family val="2"/>
      </rPr>
      <t xml:space="preserve">陳雅 </t>
    </r>
    <r>
      <rPr>
        <sz val="10"/>
        <rFont val="Arial"/>
        <family val="0"/>
        <charset val="1"/>
      </rPr>
      <t xml:space="preserve">| </t>
    </r>
    <r>
      <rPr>
        <sz val="10"/>
        <rFont val="Noto Sans CJK SC"/>
        <family val="2"/>
      </rPr>
      <t xml:space="preserve">陳道書 </t>
    </r>
    <r>
      <rPr>
        <sz val="10"/>
        <rFont val="Arial"/>
        <family val="0"/>
        <charset val="1"/>
      </rPr>
      <t xml:space="preserve">| </t>
    </r>
    <r>
      <rPr>
        <sz val="10"/>
        <rFont val="Noto Sans CJK SC"/>
        <family val="2"/>
      </rPr>
      <t xml:space="preserve">陳建璽 </t>
    </r>
    <r>
      <rPr>
        <sz val="10"/>
        <rFont val="Arial"/>
        <family val="0"/>
        <charset val="1"/>
      </rPr>
      <t xml:space="preserve">| </t>
    </r>
    <r>
      <rPr>
        <sz val="10"/>
        <rFont val="Noto Sans CJK SC"/>
        <family val="2"/>
      </rPr>
      <t xml:space="preserve">陳成嘉</t>
    </r>
  </si>
  <si>
    <t xml:space="preserve">Box 2, Folder 73</t>
  </si>
  <si>
    <t xml:space="preserve">光緒拾捌年</t>
  </si>
  <si>
    <t xml:space="preserve">版事執照</t>
  </si>
  <si>
    <t xml:space="preserve">https://digital.library.pitt.edu/islandora/object/pitt:31735066237656</t>
  </si>
  <si>
    <t xml:space="preserve">版事執照欽差品銜署理閩清縣正堂加十級紀錄十次胡為徵收事据部部內戶陳雅光緒拾捌年分地丁正耗銀錢分〇厘頒至執照署光緒拾捌年日給我鄉設柜倘有重完在城限五日在納限十日許糧戶粘串稟縣以憑將來重銀水照票發還糧戶以杜重征縣光緒拾捌年字第號</t>
  </si>
  <si>
    <t xml:space="preserve">31735066237656_002</t>
  </si>
  <si>
    <t xml:space="preserve">啟事執照</t>
  </si>
  <si>
    <t xml:space="preserve">陳建生</t>
  </si>
  <si>
    <t xml:space="preserve">啟事執照鑒聖品衙署理閩清縣正堂加十級紀錄十次胡為徵收事据鄉都納戶陳建生光緒拾捌年分地丁銀數光緒拾捌年日給鄉限十日許糧戶粘串稟縣以憑將來重銀光照票發還糧戶以杜重征縣子弟號</t>
  </si>
  <si>
    <t xml:space="preserve">31735066237656_003</t>
  </si>
  <si>
    <t xml:space="preserve">敬申執照</t>
  </si>
  <si>
    <t xml:space="preserve">陸建生</t>
  </si>
  <si>
    <t xml:space="preserve">字第 川了 號</t>
  </si>
  <si>
    <t xml:space="preserve">敬申執照欽差品銜署理閩清縣正堂加十級紀錄次胡為徵收事据銀都納戶陸建生光緒拾捌年分糧卷封外至執照者光緒拾捌年月日給執照設地倘有里完在城限三日在來重銀米照票發還銀戶以社縣字第川了號</t>
  </si>
  <si>
    <t xml:space="preserve">31735066237656_004</t>
  </si>
  <si>
    <t xml:space="preserve">版串執照</t>
  </si>
  <si>
    <t xml:space="preserve">版串執照欽差品銜署理閩清縣正堂加十級紀錄十次胡為徵收事据鄉都納口陳成泰光緒拾捌年分地丁正耗銀叁錢正須至執照者光緒拾捌年月日給城銀設柜倘有重完在城限五日在內限十日許退之格中票懸以憑重銀米照票發還執戶以此重任縣名字第號</t>
  </si>
  <si>
    <t xml:space="preserve">31735066237656_005</t>
  </si>
  <si>
    <t xml:space="preserve">以似似滿辦國以似似滿辦國版串執照欽差品銜署理閩清縣正堂加十級紀錄十次胡為徵收事据鄉都納戶傳第生光緒拾捌年分地正耗銀壹兩正須至執照者光緒拾捌年月日給城納設租倘有重完在城限五日在來重銀米照票照還於日以社重縣字第號</t>
  </si>
  <si>
    <t xml:space="preserve">31735066237656_006</t>
  </si>
  <si>
    <t xml:space="preserve">光緒拾陸年</t>
  </si>
  <si>
    <t xml:space="preserve">版串執照補遺直隸州受設局正當四十四組銀次左都納戶陳雅完納光緒拾陸年分地丁正耗銀法分〇厘光緒拾陸月日給銀於照票發還報戶以土重紅執照字第號</t>
  </si>
  <si>
    <t xml:space="preserve">31735066237656_007</t>
  </si>
  <si>
    <r>
      <rPr>
        <sz val="10"/>
        <rFont val="Noto Sans CJK SC"/>
        <family val="2"/>
      </rPr>
      <t xml:space="preserve">嘉慶二十五年</t>
    </r>
    <r>
      <rPr>
        <sz val="10"/>
        <rFont val="Arial"/>
        <family val="0"/>
        <charset val="1"/>
      </rPr>
      <t xml:space="preserve">; </t>
    </r>
    <r>
      <rPr>
        <sz val="10"/>
        <rFont val="Noto Sans CJK SC"/>
        <family val="2"/>
      </rPr>
      <t xml:space="preserve">光緒拾陸 年</t>
    </r>
    <r>
      <rPr>
        <sz val="10"/>
        <rFont val="Arial"/>
        <family val="0"/>
        <charset val="1"/>
      </rPr>
      <t xml:space="preserve">; </t>
    </r>
    <r>
      <rPr>
        <sz val="10"/>
        <rFont val="Noto Sans CJK SC"/>
        <family val="2"/>
      </rPr>
      <t xml:space="preserve">光緒拾陸年</t>
    </r>
  </si>
  <si>
    <t xml:space="preserve">版串執照廣用局知照錄以特授嘉慶二十五年十一月廣東省城署完納光緒拾陸年月日壹圓正光緒拾陸年月日第房字第外重頭六照票發賣以莊重正號</t>
  </si>
  <si>
    <t xml:space="preserve">31735066237656_008</t>
  </si>
  <si>
    <t xml:space="preserve">版第執照</t>
  </si>
  <si>
    <t xml:space="preserve">版第執照清同知置錄州特授正堂加十級紀錄十八年陳道才完納完納完納光緒拾陸年小銀壹兩正光緒拾陸年月日給</t>
  </si>
  <si>
    <t xml:space="preserve">31735066237664_001</t>
  </si>
  <si>
    <t xml:space="preserve">31735066237664</t>
  </si>
  <si>
    <t xml:space="preserve">1924/1926</t>
  </si>
  <si>
    <t xml:space="preserve">黃同德</t>
  </si>
  <si>
    <t xml:space="preserve">Box 3, Folder 122</t>
  </si>
  <si>
    <t xml:space="preserve">https://digital.library.pitt.edu/islandora/object/pitt:31735066237664</t>
  </si>
  <si>
    <r>
      <rPr>
        <sz val="10"/>
        <rFont val="Noto Sans CJK SC"/>
        <family val="2"/>
      </rPr>
      <t xml:space="preserve">新戶式民國民國十三年北洋能之</t>
    </r>
    <r>
      <rPr>
        <sz val="10"/>
        <rFont val="Arial"/>
        <family val="0"/>
        <charset val="1"/>
      </rPr>
      <t xml:space="preserve">...</t>
    </r>
    <r>
      <rPr>
        <sz val="10"/>
        <rFont val="Noto Sans CJK SC"/>
        <family val="2"/>
      </rPr>
      <t xml:space="preserve">黃同德</t>
    </r>
    <r>
      <rPr>
        <sz val="10"/>
        <rFont val="Arial"/>
        <family val="0"/>
        <charset val="1"/>
      </rPr>
      <t xml:space="preserve">...</t>
    </r>
    <r>
      <rPr>
        <sz val="10"/>
        <rFont val="Noto Sans CJK SC"/>
        <family val="2"/>
      </rPr>
      <t xml:space="preserve">十九</t>
    </r>
    <r>
      <rPr>
        <sz val="10"/>
        <rFont val="Arial"/>
        <family val="0"/>
        <charset val="1"/>
      </rPr>
      <t xml:space="preserve">...</t>
    </r>
  </si>
  <si>
    <t xml:space="preserve">31735066237664_002</t>
  </si>
  <si>
    <r>
      <rPr>
        <sz val="10"/>
        <rFont val="Noto Sans CJK SC"/>
        <family val="2"/>
      </rPr>
      <t xml:space="preserve">執照</t>
    </r>
    <r>
      <rPr>
        <sz val="10"/>
        <rFont val="Arial"/>
        <family val="0"/>
        <charset val="1"/>
      </rPr>
      <t xml:space="preserve">; </t>
    </r>
    <r>
      <rPr>
        <sz val="10"/>
        <rFont val="Noto Sans CJK SC"/>
        <family val="2"/>
      </rPr>
      <t xml:space="preserve">丁銀</t>
    </r>
  </si>
  <si>
    <t xml:space="preserve">納戶執照永泰縣知事今據中華民國拾伍合給執照中華民國拾伍縣甲納戶丁銀完為徵收錢糧事伍同德流字第十六如有重完錯寫限十日內到柜駁改如遲有誤日</t>
  </si>
  <si>
    <t xml:space="preserve">31735066237672_001</t>
  </si>
  <si>
    <t xml:space="preserve">31735066237672</t>
  </si>
  <si>
    <t xml:space="preserve">1895/1900</t>
  </si>
  <si>
    <r>
      <rPr>
        <sz val="10"/>
        <rFont val="Noto Sans CJK SC"/>
        <family val="2"/>
      </rPr>
      <t xml:space="preserve">永安 </t>
    </r>
    <r>
      <rPr>
        <sz val="10"/>
        <rFont val="Arial"/>
        <family val="0"/>
        <charset val="1"/>
      </rPr>
      <t xml:space="preserve">/ </t>
    </r>
    <r>
      <rPr>
        <sz val="10"/>
        <rFont val="Noto Sans CJK SC"/>
        <family val="2"/>
      </rPr>
      <t xml:space="preserve">永泰（永福）</t>
    </r>
  </si>
  <si>
    <t xml:space="preserve">福建省永安县和永福县</t>
  </si>
  <si>
    <r>
      <rPr>
        <sz val="10"/>
        <rFont val="Noto Sans CJK SC"/>
        <family val="2"/>
      </rPr>
      <t xml:space="preserve">鄭其英 </t>
    </r>
    <r>
      <rPr>
        <sz val="10"/>
        <rFont val="Arial"/>
        <family val="0"/>
        <charset val="1"/>
      </rPr>
      <t xml:space="preserve">| </t>
    </r>
    <r>
      <rPr>
        <sz val="10"/>
        <rFont val="Noto Sans CJK SC"/>
        <family val="2"/>
      </rPr>
      <t xml:space="preserve">沈齊</t>
    </r>
  </si>
  <si>
    <t xml:space="preserve">Box 2, Folder 79</t>
  </si>
  <si>
    <r>
      <rPr>
        <sz val="10"/>
        <rFont val="Noto Sans CJK SC"/>
        <family val="2"/>
      </rPr>
      <t xml:space="preserve">光緒二十一年</t>
    </r>
    <r>
      <rPr>
        <sz val="10"/>
        <rFont val="Arial"/>
        <family val="0"/>
        <charset val="1"/>
      </rPr>
      <t xml:space="preserve">; </t>
    </r>
    <r>
      <rPr>
        <sz val="10"/>
        <rFont val="Noto Sans CJK SC"/>
        <family val="2"/>
      </rPr>
      <t xml:space="preserve">光緒 二十一年</t>
    </r>
  </si>
  <si>
    <t xml:space="preserve">https://digital.library.pitt.edu/islandora/object/pitt:31735066237672</t>
  </si>
  <si>
    <t xml:space="preserve">光緒二十一年照執事服欽加同知銜往永安縣調署僭縣正堂葉前故軍李清沈京光緒二十一年正月八日朱合切光緒二十一年光緒二十一年正月伍相鄉伍</t>
  </si>
  <si>
    <t xml:space="preserve">31735066237672_002</t>
  </si>
  <si>
    <t xml:space="preserve">31735066237680_001</t>
  </si>
  <si>
    <t xml:space="preserve">31735066237680</t>
  </si>
  <si>
    <t xml:space="preserve">1922</t>
  </si>
  <si>
    <t xml:space="preserve">黃汝勷</t>
  </si>
  <si>
    <t xml:space="preserve">Box 3, Folder 117</t>
  </si>
  <si>
    <t xml:space="preserve">納元款照</t>
  </si>
  <si>
    <t xml:space="preserve">https://digital.library.pitt.edu/islandora/object/pitt:31735066237680</t>
  </si>
  <si>
    <r>
      <rPr>
        <sz val="10"/>
        <rFont val="Noto Sans CJK SC"/>
        <family val="2"/>
      </rPr>
      <t xml:space="preserve">納元款照承領</t>
    </r>
    <r>
      <rPr>
        <sz val="10"/>
        <rFont val="Arial"/>
        <family val="0"/>
        <charset val="1"/>
      </rPr>
      <t xml:space="preserve">...</t>
    </r>
    <r>
      <rPr>
        <sz val="10"/>
        <rFont val="Noto Sans CJK SC"/>
        <family val="2"/>
      </rPr>
      <t xml:space="preserve">士相</t>
    </r>
    <r>
      <rPr>
        <sz val="10"/>
        <rFont val="Arial"/>
        <family val="0"/>
        <charset val="1"/>
      </rPr>
      <t xml:space="preserve">...</t>
    </r>
    <r>
      <rPr>
        <sz val="10"/>
        <rFont val="Noto Sans CJK SC"/>
        <family val="2"/>
      </rPr>
      <t xml:space="preserve">此</t>
    </r>
    <r>
      <rPr>
        <sz val="10"/>
        <rFont val="Arial"/>
        <family val="0"/>
        <charset val="1"/>
      </rPr>
      <t xml:space="preserve">...</t>
    </r>
    <r>
      <rPr>
        <sz val="10"/>
        <rFont val="Noto Sans CJK SC"/>
        <family val="2"/>
      </rPr>
      <t xml:space="preserve">鍾金</t>
    </r>
    <r>
      <rPr>
        <sz val="10"/>
        <rFont val="Arial"/>
        <family val="0"/>
        <charset val="1"/>
      </rPr>
      <t xml:space="preserve">...</t>
    </r>
    <r>
      <rPr>
        <sz val="10"/>
        <rFont val="Noto Sans CJK SC"/>
        <family val="2"/>
      </rPr>
      <t xml:space="preserve">中</t>
    </r>
    <r>
      <rPr>
        <sz val="10"/>
        <rFont val="Arial"/>
        <family val="0"/>
        <charset val="1"/>
      </rPr>
      <t xml:space="preserve">...</t>
    </r>
    <r>
      <rPr>
        <sz val="10"/>
        <rFont val="Noto Sans CJK SC"/>
        <family val="2"/>
      </rPr>
      <t xml:space="preserve">民國拾壹年</t>
    </r>
    <r>
      <rPr>
        <sz val="10"/>
        <rFont val="Arial"/>
        <family val="0"/>
        <charset val="1"/>
      </rPr>
      <t xml:space="preserve">...</t>
    </r>
    <r>
      <rPr>
        <sz val="10"/>
        <rFont val="Noto Sans CJK SC"/>
        <family val="2"/>
      </rPr>
      <t xml:space="preserve">地丁銀合給</t>
    </r>
    <r>
      <rPr>
        <sz val="10"/>
        <rFont val="Arial"/>
        <family val="0"/>
        <charset val="1"/>
      </rPr>
      <t xml:space="preserve">...</t>
    </r>
    <r>
      <rPr>
        <sz val="10"/>
        <rFont val="Noto Sans CJK SC"/>
        <family val="2"/>
      </rPr>
      <t xml:space="preserve">照者民國拾壹年</t>
    </r>
    <r>
      <rPr>
        <sz val="10"/>
        <rFont val="Arial"/>
        <family val="0"/>
        <charset val="1"/>
      </rPr>
      <t xml:space="preserve">...</t>
    </r>
    <r>
      <rPr>
        <sz val="10"/>
        <rFont val="Noto Sans CJK SC"/>
        <family val="2"/>
      </rPr>
      <t xml:space="preserve">十一縣施</t>
    </r>
    <r>
      <rPr>
        <sz val="10"/>
        <rFont val="Arial"/>
        <family val="0"/>
        <charset val="1"/>
      </rPr>
      <t xml:space="preserve">...</t>
    </r>
    <r>
      <rPr>
        <sz val="10"/>
        <rFont val="Noto Sans CJK SC"/>
        <family val="2"/>
      </rPr>
      <t xml:space="preserve">年</t>
    </r>
    <r>
      <rPr>
        <sz val="10"/>
        <rFont val="Arial"/>
        <family val="0"/>
        <charset val="1"/>
      </rPr>
      <t xml:space="preserve">...</t>
    </r>
    <r>
      <rPr>
        <sz val="10"/>
        <rFont val="Noto Sans CJK SC"/>
        <family val="2"/>
      </rPr>
      <t xml:space="preserve">二月</t>
    </r>
    <r>
      <rPr>
        <sz val="10"/>
        <rFont val="Arial"/>
        <family val="0"/>
        <charset val="1"/>
      </rPr>
      <t xml:space="preserve">...</t>
    </r>
    <r>
      <rPr>
        <sz val="10"/>
        <rFont val="Noto Sans CJK SC"/>
        <family val="2"/>
      </rPr>
      <t xml:space="preserve">八</t>
    </r>
    <r>
      <rPr>
        <sz val="10"/>
        <rFont val="Arial"/>
        <family val="0"/>
        <charset val="1"/>
      </rPr>
      <t xml:space="preserve">...</t>
    </r>
    <r>
      <rPr>
        <sz val="10"/>
        <rFont val="Noto Sans CJK SC"/>
        <family val="2"/>
      </rPr>
      <t xml:space="preserve">號為</t>
    </r>
    <r>
      <rPr>
        <sz val="10"/>
        <rFont val="Arial"/>
        <family val="0"/>
        <charset val="1"/>
      </rPr>
      <t xml:space="preserve">...</t>
    </r>
    <r>
      <rPr>
        <sz val="10"/>
        <rFont val="Noto Sans CJK SC"/>
        <family val="2"/>
      </rPr>
      <t xml:space="preserve">事黃</t>
    </r>
    <r>
      <rPr>
        <sz val="10"/>
        <rFont val="Arial"/>
        <family val="0"/>
        <charset val="1"/>
      </rPr>
      <t xml:space="preserve">...</t>
    </r>
    <r>
      <rPr>
        <sz val="10"/>
        <rFont val="Noto Sans CJK SC"/>
        <family val="2"/>
      </rPr>
      <t xml:space="preserve">勳切</t>
    </r>
    <r>
      <rPr>
        <sz val="10"/>
        <rFont val="Arial"/>
        <family val="0"/>
        <charset val="1"/>
      </rPr>
      <t xml:space="preserve">...</t>
    </r>
    <r>
      <rPr>
        <sz val="10"/>
        <rFont val="Noto Sans CJK SC"/>
        <family val="2"/>
      </rPr>
      <t xml:space="preserve">毛十一</t>
    </r>
    <r>
      <rPr>
        <sz val="10"/>
        <rFont val="Arial"/>
        <family val="0"/>
        <charset val="1"/>
      </rPr>
      <t xml:space="preserve">...</t>
    </r>
    <r>
      <rPr>
        <sz val="10"/>
        <rFont val="Noto Sans CJK SC"/>
        <family val="2"/>
      </rPr>
      <t xml:space="preserve">日</t>
    </r>
  </si>
  <si>
    <t xml:space="preserve">31735066237698_001</t>
  </si>
  <si>
    <t xml:space="preserve">31735066237698</t>
  </si>
  <si>
    <t xml:space="preserve">Box 2, Folder 65</t>
  </si>
  <si>
    <t xml:space="preserve">苗米</t>
  </si>
  <si>
    <t xml:space="preserve">https://digital.library.pitt.edu/islandora/object/pitt:31735066237698</t>
  </si>
  <si>
    <t xml:space="preserve">合收俾道登慶理納本年份苗米壹斗正收吉兌省不負字照光緒拾叁年正月豐收字叙有禮慶收業中</t>
  </si>
  <si>
    <t xml:space="preserve">31735066237698_002</t>
  </si>
  <si>
    <t xml:space="preserve">收徑道臺慶理納拾四年份苗米垂手不收者充官不負欠字照之光緒拾叁年五月日收字收有澧慶收本本級了收本本級了</t>
  </si>
  <si>
    <t xml:space="preserve">31735066237706_001</t>
  </si>
  <si>
    <t xml:space="preserve">31735066237706</t>
  </si>
  <si>
    <t xml:space="preserve">1936</t>
  </si>
  <si>
    <t xml:space="preserve">陳欽隆</t>
  </si>
  <si>
    <t xml:space="preserve">陳欽瑞</t>
  </si>
  <si>
    <t xml:space="preserve">Box 3, Folder 159</t>
  </si>
  <si>
    <t xml:space="preserve">立畫根斷賣契</t>
  </si>
  <si>
    <t xml:space="preserve">從弟欽瑞</t>
  </si>
  <si>
    <r>
      <rPr>
        <sz val="10"/>
        <rFont val="Noto Sans CJK SC"/>
        <family val="2"/>
      </rPr>
      <t xml:space="preserve">幣大洋陸拾員正</t>
    </r>
    <r>
      <rPr>
        <sz val="10"/>
        <rFont val="Arial"/>
        <family val="0"/>
        <charset val="1"/>
      </rPr>
      <t xml:space="preserve">; </t>
    </r>
    <r>
      <rPr>
        <sz val="10"/>
        <rFont val="Noto Sans CJK SC"/>
        <family val="2"/>
      </rPr>
      <t xml:space="preserve">價國幣大洋陸拾員正</t>
    </r>
  </si>
  <si>
    <r>
      <rPr>
        <sz val="10"/>
        <rFont val="Noto Sans CJK SC"/>
        <family val="2"/>
      </rPr>
      <t xml:space="preserve">國幣</t>
    </r>
    <r>
      <rPr>
        <sz val="10"/>
        <rFont val="Arial"/>
        <family val="0"/>
        <charset val="1"/>
      </rPr>
      <t xml:space="preserve">; </t>
    </r>
    <r>
      <rPr>
        <sz val="10"/>
        <rFont val="Noto Sans CJK SC"/>
        <family val="2"/>
      </rPr>
      <t xml:space="preserve">大洋</t>
    </r>
  </si>
  <si>
    <t xml:space="preserve">母親黃氏</t>
  </si>
  <si>
    <t xml:space="preserve">https://digital.library.pitt.edu/islandora/object/pitt:31735066237706</t>
  </si>
  <si>
    <t xml:space="preserve">立畫根斷賣契並找價人陳欽隆有祖父遺下民園一段計地伍分主名坐在長坵落經能幹丈通其字號載在官册東至陳園西至莊園南至姚園北至陳園四至分曉今因缺用自願託中引就畫根斷賣與從弟欽瑞處為三面商議將值實價畫根找價賣出國幣大洋陸拾員正其銀即日全中企申當面交足此民園即听銀主管掌耕作自便賣主不得阻執生情言說此園係是祖父遺下物業與別房份親疎兄弟伯叔諸人一概無干在先亦不當日重張典掛他人財物及交加不明等事如有此色俱是賣主出頭支當不涉嚴主之事自賣過後並無前賤後賣亦無取找取贖幸逢大造其条串合就畱冬戶下納糧起除割過收入壽參圖柒冬陳源盛戶下納糧當當差永遠為己業此係西家情愿各無反悔今欲有憑特立畫根斷賣契壹紙為據存燬內途改全中當差四字存燬本日全中當面實交畫根賣契並找價賣斷內應產價國幣大洋陸拾員正足託民國丙子念拾伍年二月日立畫根斷賣契人陳欽隆見契人母親黃氏中見人陳菊苑吳紅經垂賣主自筆陳欽隆清字外內</t>
  </si>
  <si>
    <t xml:space="preserve">31735066237714_001</t>
  </si>
  <si>
    <t xml:space="preserve">31735066237714</t>
  </si>
  <si>
    <t xml:space="preserve">1943</t>
  </si>
  <si>
    <t xml:space="preserve">黃昌聲</t>
  </si>
  <si>
    <t xml:space="preserve">陳智存</t>
  </si>
  <si>
    <t xml:space="preserve">Box 3, Folder 165</t>
  </si>
  <si>
    <t xml:space="preserve">中華民國二十二年</t>
  </si>
  <si>
    <t xml:space="preserve">https://digital.library.pitt.edu/islandora/object/pitt:31735066237714</t>
  </si>
  <si>
    <t xml:space="preserve">執今收陳智存元正收元正收中華民國二十二年十二月黃昌壽給</t>
  </si>
  <si>
    <t xml:space="preserve">31735066237722_001</t>
  </si>
  <si>
    <t xml:space="preserve">31735066237722</t>
  </si>
  <si>
    <t xml:space="preserve">1829</t>
  </si>
  <si>
    <t xml:space="preserve">黃隆貫</t>
  </si>
  <si>
    <t xml:space="preserve">陳國遠</t>
  </si>
  <si>
    <t xml:space="preserve">Box 1, Folder 23</t>
  </si>
  <si>
    <t xml:space="preserve">道光九年</t>
  </si>
  <si>
    <t xml:space="preserve">https://digital.library.pitt.edu/islandora/object/pitt:31735066237722</t>
  </si>
  <si>
    <t xml:space="preserve">道光九年七月廿八日入陳國遠借欠祖末臺名肆正此以立收官黃隆貴</t>
  </si>
  <si>
    <t xml:space="preserve">31735066237730_001</t>
  </si>
  <si>
    <t xml:space="preserve">31735066237730</t>
  </si>
  <si>
    <t xml:space="preserve">劉嘉命</t>
  </si>
  <si>
    <t xml:space="preserve">劉源森</t>
  </si>
  <si>
    <t xml:space="preserve">Box 2, Folder 92</t>
  </si>
  <si>
    <t xml:space="preserve">嘉命</t>
  </si>
  <si>
    <t xml:space="preserve">洋銀</t>
  </si>
  <si>
    <t xml:space="preserve">劉孝元</t>
  </si>
  <si>
    <t xml:space="preserve">劉孝鑑</t>
  </si>
  <si>
    <t xml:space="preserve">https://digital.library.pitt.edu/islandora/object/pitt:31735066237730</t>
  </si>
  <si>
    <t xml:space="preserve">立賣斷契人嘉命承祖遺下置有皮骨坪基壹匝及菜園即目上至劉宅路至劉宅本主坪基為界左至菜園大路為界右至山邊為界今來俱出四至契內明白并因缺少銀兩應用情愿托中說諭即將其坪基及菜園四至界內尽底立契出賣斷與本村堂孫劉源森名下承買為業當日三面言議時值土風斷契價洋銀捌兩式錢伍分正足成契之日一頓交足未久分厘並非準將債貨之類亦無重復興賣之理所賣其坪基及菜園的係自分定物業與親房人等各無干涉自賣斷之後仍從買主永遠營業收租賣者不敢阻扼兩家甘允各無後悔等情今欲有憑敬立賣斷契字為照當日實交得時值斷契價洋銀捌兩式錢伍分足記謹當日面批菜園上手老契一時不能尋出日後尋出不躡行用批照謹宣統元年十二月立賣斷字人劉嘉命謹說諭人吳清明。為中人劉孝元知契人堂孫劉華老賣斷契代筆人劉孝鑑謹</t>
  </si>
  <si>
    <t xml:space="preserve">31735066237748_001</t>
  </si>
  <si>
    <t xml:space="preserve">31735066237748</t>
  </si>
  <si>
    <t xml:space="preserve">張國光</t>
  </si>
  <si>
    <t xml:space="preserve">張國寶</t>
  </si>
  <si>
    <t xml:space="preserve">Box 3, Folder 138</t>
  </si>
  <si>
    <t xml:space="preserve">民國壹拾七年</t>
  </si>
  <si>
    <t xml:space="preserve">價銀貳仟壹百伍拾元正</t>
  </si>
  <si>
    <t xml:space="preserve">本地方</t>
  </si>
  <si>
    <t xml:space="preserve">柯嶺墘上下份</t>
  </si>
  <si>
    <t xml:space="preserve">叔經枝</t>
  </si>
  <si>
    <t xml:space="preserve">https://digital.library.pitt.edu/islandora/object/pitt:31735066237748</t>
  </si>
  <si>
    <t xml:space="preserve">立賣斷根面全田契張國光係在本房住人自己承祖手置有課田壹畝坐落本地方土名柯嶺墘上下份等處年久受連拾勦正其糧色大湖照冊科派今因乏用自願託中白到堂兄國寶處三面言議今日將此田賣斷出價銀貳仟壹百伍拾元正其銀即日隨契交足其田所錢主起佃耕作過甲入戶定課永遠當業價足心願已斷葛藤向後光子孫弟親疏眷伯叔兄弟侄無干永不散別生枝節之理但此田係承祖手置物業弟別無干並未重張典當他人財物倘有來盤不明係光出頭承當弟銀主無干兩相允愿各勿反悔今欲有憑立賣斷根面全田契壹份付批永遠為照其原契久遠遺失如有向出不堪行用為叔見冊劉氏全見叔經清母民國壹拾七年冬月吉日親立賣斷根面全田契張國光中人叔經枝分</t>
  </si>
  <si>
    <t xml:space="preserve">31735066237755_001</t>
  </si>
  <si>
    <t xml:space="preserve">31735066237755</t>
  </si>
  <si>
    <t xml:space="preserve">1935</t>
  </si>
  <si>
    <t xml:space="preserve">張國軒</t>
  </si>
  <si>
    <t xml:space="preserve">Box 3, Folder 154</t>
  </si>
  <si>
    <r>
      <rPr>
        <sz val="10"/>
        <rFont val="Noto Sans CJK SC"/>
        <family val="2"/>
      </rPr>
      <t xml:space="preserve">民國十七年</t>
    </r>
    <r>
      <rPr>
        <sz val="10"/>
        <rFont val="Arial"/>
        <family val="0"/>
        <charset val="1"/>
      </rPr>
      <t xml:space="preserve">; </t>
    </r>
    <r>
      <rPr>
        <sz val="10"/>
        <rFont val="Noto Sans CJK SC"/>
        <family val="2"/>
      </rPr>
      <t xml:space="preserve">中華民國 </t>
    </r>
    <r>
      <rPr>
        <sz val="10"/>
        <rFont val="Arial"/>
        <family val="0"/>
        <charset val="1"/>
      </rPr>
      <t xml:space="preserve">27 </t>
    </r>
    <r>
      <rPr>
        <sz val="10"/>
        <rFont val="Noto Sans CJK SC"/>
        <family val="2"/>
      </rPr>
      <t xml:space="preserve">年</t>
    </r>
  </si>
  <si>
    <t xml:space="preserve">價九佰貳拾元</t>
  </si>
  <si>
    <t xml:space="preserve">柯溪坑不動產面積四至東至南至西至</t>
  </si>
  <si>
    <r>
      <rPr>
        <sz val="10"/>
        <rFont val="Arial"/>
        <family val="0"/>
        <charset val="1"/>
      </rPr>
      <t xml:space="preserve">(</t>
    </r>
    <r>
      <rPr>
        <sz val="10"/>
        <rFont val="Noto Sans CJK SC"/>
        <family val="2"/>
      </rPr>
      <t xml:space="preserve">三</t>
    </r>
    <r>
      <rPr>
        <sz val="10"/>
        <rFont val="Arial"/>
        <family val="0"/>
        <charset val="1"/>
      </rPr>
      <t xml:space="preserve">) | </t>
    </r>
    <r>
      <rPr>
        <sz val="10"/>
        <rFont val="Noto Sans CJK SC"/>
        <family val="2"/>
      </rPr>
      <t xml:space="preserve">福建省政府財政廳頒發閩侯縣已稅契驗契證</t>
    </r>
  </si>
  <si>
    <t xml:space="preserve">https://digital.library.pitt.edu/islandora/object/pitt:31735066237755</t>
  </si>
  <si>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福建省政府財政廳頒發閩侯縣已稅契驗契證茲為整理契稅，體卹人民，保障產權起見，特定驗契辦法，凡屬田園屋地各類不動產，已稅未稅契據，均應一律投驗，填給驗契證，已稅之紅契，不收驗費，未稅之白契，無論典賣及產價多寡，每張祇收驗契費銀壹元，經此驗契，粘有驗契證者，方為有效。非經買賣移轉，不再徵稅。業主姓名張國軒業主住址金平不動產種類田不動產坐落柯溪坑不動產面積四至東至南至西至北至畝等分則畝分釐賦額地丁糧米產價九佰貳拾元出典主姓名張國光中證人姓名張振枝立契年月日民國十七年其他此處粘連原契騎縫加蓋驗契鈐記此處蓋財政廳驗契證關防此處蓋縣政府印第</t>
    </r>
    <r>
      <rPr>
        <sz val="10"/>
        <rFont val="Arial"/>
        <family val="0"/>
        <charset val="1"/>
      </rPr>
      <t xml:space="preserve">6</t>
    </r>
    <r>
      <rPr>
        <sz val="10"/>
        <rFont val="Noto Sans CJK SC"/>
        <family val="2"/>
      </rPr>
      <t xml:space="preserve">區區長簽名蓋章中華民國</t>
    </r>
    <r>
      <rPr>
        <sz val="10"/>
        <rFont val="Arial"/>
        <family val="0"/>
        <charset val="1"/>
      </rPr>
      <t xml:space="preserve">27</t>
    </r>
    <r>
      <rPr>
        <sz val="10"/>
        <rFont val="Noto Sans CJK SC"/>
        <family val="2"/>
      </rPr>
      <t xml:space="preserve">年</t>
    </r>
    <r>
      <rPr>
        <sz val="10"/>
        <rFont val="Arial"/>
        <family val="0"/>
        <charset val="1"/>
      </rPr>
      <t xml:space="preserve">6</t>
    </r>
    <r>
      <rPr>
        <sz val="10"/>
        <rFont val="Noto Sans CJK SC"/>
        <family val="2"/>
      </rPr>
      <t xml:space="preserve">月日第</t>
    </r>
    <r>
      <rPr>
        <sz val="10"/>
        <rFont val="Arial"/>
        <family val="0"/>
        <charset val="1"/>
      </rPr>
      <t xml:space="preserve">1423</t>
    </r>
    <r>
      <rPr>
        <sz val="10"/>
        <rFont val="Noto Sans CJK SC"/>
        <family val="2"/>
      </rPr>
      <t xml:space="preserve">號第</t>
    </r>
    <r>
      <rPr>
        <sz val="10"/>
        <rFont val="Arial"/>
        <family val="0"/>
        <charset val="1"/>
      </rPr>
      <t xml:space="preserve">64</t>
    </r>
    <r>
      <rPr>
        <sz val="10"/>
        <rFont val="Noto Sans CJK SC"/>
        <family val="2"/>
      </rPr>
      <t xml:space="preserve">保保長或鄉長簽名蓋章此種已稅契驗契證不收驗費閩侯縣三此張填給業主粘連原契據管業</t>
    </r>
  </si>
  <si>
    <t xml:space="preserve">31735066237763_001</t>
  </si>
  <si>
    <t xml:space="preserve">31735066237763</t>
  </si>
  <si>
    <t xml:space="preserve">1937</t>
  </si>
  <si>
    <t xml:space="preserve">晉江</t>
  </si>
  <si>
    <t xml:space="preserve">福建省晉江縣</t>
  </si>
  <si>
    <t xml:space="preserve">吳修晟</t>
  </si>
  <si>
    <t xml:space="preserve">Box 3, Folder 160</t>
  </si>
  <si>
    <t xml:space="preserve">中華民國 十六年</t>
  </si>
  <si>
    <t xml:space="preserve">價法幣壹拾捌元正</t>
  </si>
  <si>
    <t xml:space="preserve">法幣</t>
  </si>
  <si>
    <t xml:space="preserve">錫坑鄉</t>
  </si>
  <si>
    <r>
      <rPr>
        <sz val="10"/>
        <rFont val="Noto Sans CJK SC"/>
        <family val="2"/>
      </rPr>
      <t xml:space="preserve">補契紙 </t>
    </r>
    <r>
      <rPr>
        <sz val="10"/>
        <rFont val="Arial"/>
        <family val="0"/>
        <charset val="1"/>
      </rPr>
      <t xml:space="preserve">| </t>
    </r>
    <r>
      <rPr>
        <sz val="10"/>
        <rFont val="Noto Sans CJK SC"/>
        <family val="2"/>
      </rPr>
      <t xml:space="preserve">章程摘要</t>
    </r>
  </si>
  <si>
    <r>
      <rPr>
        <sz val="10"/>
        <rFont val="Noto Sans CJK SC"/>
        <family val="2"/>
      </rPr>
      <t xml:space="preserve">福建省政府財政廳</t>
    </r>
    <r>
      <rPr>
        <sz val="10"/>
        <rFont val="Arial"/>
        <family val="0"/>
        <charset val="1"/>
      </rPr>
      <t xml:space="preserve">; </t>
    </r>
    <r>
      <rPr>
        <sz val="10"/>
        <rFont val="Noto Sans CJK SC"/>
        <family val="2"/>
      </rPr>
      <t xml:space="preserve">月晉江縣政府</t>
    </r>
    <r>
      <rPr>
        <sz val="10"/>
        <rFont val="Arial"/>
        <family val="0"/>
        <charset val="1"/>
      </rPr>
      <t xml:space="preserve">; </t>
    </r>
    <r>
      <rPr>
        <sz val="10"/>
        <rFont val="Noto Sans CJK SC"/>
        <family val="2"/>
      </rPr>
      <t xml:space="preserve">政府或縣政府</t>
    </r>
  </si>
  <si>
    <t xml:space="preserve">https://digital.library.pitt.edu/islandora/object/pitt:31735066237763</t>
  </si>
  <si>
    <r>
      <rPr>
        <sz val="10"/>
        <rFont val="Arial"/>
        <family val="0"/>
        <charset val="1"/>
      </rPr>
      <t xml:space="preserve">1036</t>
    </r>
    <r>
      <rPr>
        <sz val="10"/>
        <rFont val="Noto Sans CJK SC"/>
        <family val="2"/>
      </rPr>
      <t xml:space="preserve">補契紙契紙費伍角奉令附加縣小學教育經費五成福建省政府財政廳頒發晉江縣補契字號補契紙管業人姓名吳修晟簽名啟分〇啟九分〇釐其他不動產種類民園等則下則坐落錫坑鄉土名太姥墓賦額買受年月日證明人姓名第三區第</t>
    </r>
    <r>
      <rPr>
        <sz val="10"/>
        <rFont val="Arial"/>
        <family val="0"/>
        <charset val="1"/>
      </rPr>
      <t xml:space="preserve">270</t>
    </r>
    <r>
      <rPr>
        <sz val="10"/>
        <rFont val="Noto Sans CJK SC"/>
        <family val="2"/>
      </rPr>
      <t xml:space="preserve">聯保主任吳篤志面積玖卅年月日中證人姓名吳篤志蓋章四至東至溝南至岸西至路北至岸無契原因年湮代遠四鄰證人姓名屋式產價法幣壹拾捌元正應納稅銀法幣叁角陸分正出賣人姓名祖遺蓋章左鄰右鄰前鄰後鄰蓋章中華民國十六年八月晉江縣政府給右給業主吳修晟收執章程摘要一、補契稅率，照各種契稅稅率，減半征收。一、契項契紙於發售時，每張徵收契費五角，俟契成立，應即依限納稅，再行加徵稅官署印信，無徵稅官署蓋印者，作未稅論。徵稅官署係市政府或縣政府。一、每一官契紙，祇限填載一產業。一、官署地方法團，及其他公益法人，所得不動產產權時，得免納契稅，惟官契紙仍須購用，印契管業，但以收益為目的者，不得免稅。一、業主因焚燬，致契據遺失，或世傳祖業未有契據者，經本座四鄰證明，得聲請徵稅官署出示公告，並登本地報紙，經過一個月後，無人異議，由徵稅官署估定價格，納稅補契。一、前項估價，業主認為不符時，得聲請此照鄰地價值再估之。一、典契遺失，出典人已不存在，經四鄰證明，受典年限，合於民法和平佔有之規定者，准照前條聲請補契為業主，但須照實契納稅，年近而出典人尚在者，由受典人憑中請出典人另書典契，加保稅，出典人不得拒絕，契紙費及稅款，照章完納。一、是項契紙，如因遺失或作廢及其他事故須補領者，應向原領聯保主任辦公處，或原領機關報告，除照繳契紙費，准其補領契紙外，但因遺失而補領者，每張應另處六倍契紙費之罰金三元，如係填寫錯誤或其他事故作廢有原契紙繳銷而補領者，每張應另處二倍契紙費之罰金一元，於補領契紙時繳納。此聯印給業主收執</t>
    </r>
  </si>
  <si>
    <t xml:space="preserve">31735066237771_001</t>
  </si>
  <si>
    <t xml:space="preserve">31735066237771</t>
  </si>
  <si>
    <t xml:space="preserve">1947</t>
  </si>
  <si>
    <t xml:space="preserve">福建省林森縣</t>
  </si>
  <si>
    <r>
      <rPr>
        <sz val="10"/>
        <rFont val="Noto Sans CJK SC"/>
        <family val="2"/>
      </rPr>
      <t xml:space="preserve">黃克動 </t>
    </r>
    <r>
      <rPr>
        <sz val="10"/>
        <rFont val="Arial"/>
        <family val="0"/>
        <charset val="1"/>
      </rPr>
      <t xml:space="preserve">| </t>
    </r>
    <r>
      <rPr>
        <sz val="10"/>
        <rFont val="Noto Sans CJK SC"/>
        <family val="2"/>
      </rPr>
      <t xml:space="preserve">黃生官</t>
    </r>
  </si>
  <si>
    <t xml:space="preserve">Box 4, Folder 185</t>
  </si>
  <si>
    <t xml:space="preserve">中華民國三十 六年</t>
  </si>
  <si>
    <t xml:space="preserve">島嶼鄉鎮</t>
  </si>
  <si>
    <r>
      <rPr>
        <sz val="10"/>
        <rFont val="Noto Sans CJK SC"/>
        <family val="2"/>
      </rPr>
      <t xml:space="preserve">第 字 號 </t>
    </r>
    <r>
      <rPr>
        <sz val="10"/>
        <rFont val="Arial"/>
        <family val="0"/>
        <charset val="1"/>
      </rPr>
      <t xml:space="preserve">| 000500 | </t>
    </r>
    <r>
      <rPr>
        <sz val="10"/>
        <rFont val="Noto Sans CJK SC"/>
        <family val="2"/>
      </rPr>
      <t xml:space="preserve">號 </t>
    </r>
    <r>
      <rPr>
        <sz val="10"/>
        <rFont val="Arial"/>
        <family val="0"/>
        <charset val="1"/>
      </rPr>
      <t xml:space="preserve">| </t>
    </r>
    <r>
      <rPr>
        <sz val="10"/>
        <rFont val="Noto Sans CJK SC"/>
        <family val="2"/>
      </rPr>
      <t xml:space="preserve">福建省林業執照 </t>
    </r>
    <r>
      <rPr>
        <sz val="10"/>
        <rFont val="Arial"/>
        <family val="0"/>
        <charset val="1"/>
      </rPr>
      <t xml:space="preserve">| </t>
    </r>
    <r>
      <rPr>
        <sz val="10"/>
        <rFont val="Noto Sans CJK SC"/>
        <family val="2"/>
      </rPr>
      <t xml:space="preserve">林森縣政府為發給土地管業執照事</t>
    </r>
  </si>
  <si>
    <r>
      <rPr>
        <sz val="10"/>
        <rFont val="Noto Sans CJK SC"/>
        <family val="2"/>
      </rPr>
      <t xml:space="preserve">照林森縣政府</t>
    </r>
    <r>
      <rPr>
        <sz val="10"/>
        <rFont val="Arial"/>
        <family val="0"/>
        <charset val="1"/>
      </rPr>
      <t xml:space="preserve">; </t>
    </r>
    <r>
      <rPr>
        <sz val="10"/>
        <rFont val="Noto Sans CJK SC"/>
        <family val="2"/>
      </rPr>
      <t xml:space="preserve">長林森田賦糧食管理處</t>
    </r>
  </si>
  <si>
    <t xml:space="preserve">面黃克勳</t>
  </si>
  <si>
    <t xml:space="preserve">https://digital.library.pitt.edu/islandora/object/pitt:31735066237771</t>
  </si>
  <si>
    <r>
      <rPr>
        <sz val="10"/>
        <rFont val="Noto Sans CJK SC"/>
        <family val="2"/>
      </rPr>
      <t xml:space="preserve">第字號</t>
    </r>
    <r>
      <rPr>
        <sz val="10"/>
        <rFont val="Arial"/>
        <family val="0"/>
        <charset val="1"/>
      </rPr>
      <t xml:space="preserve">000500</t>
    </r>
    <r>
      <rPr>
        <sz val="10"/>
        <rFont val="Noto Sans CJK SC"/>
        <family val="2"/>
      </rPr>
      <t xml:space="preserve">號福建省林業執照林森縣政府為發給土地管業執照事查本縣奉令舉辦土地陳報右記主地故業經審核無訛合行填發管業執照以憑管業嗣後如有買賣典當繼承分割合併贈與交換或其他產權移轉時務須持照遵章向本縣田賦機關聲請准收通戶換領新照倘有私擅塗改或偽造者按律治罪須至執照者業主姓名面黃克勳住林森縣下保甲鄉村戶附代表人姓名面黃生官住林森縣下保甲鄉村戶記土地坐落島嶼鄉鎮土名王五橋段別地號島嶼字號</t>
    </r>
    <r>
      <rPr>
        <sz val="10"/>
        <rFont val="Arial"/>
        <family val="0"/>
        <charset val="1"/>
      </rPr>
      <t xml:space="preserve">248</t>
    </r>
    <r>
      <rPr>
        <sz val="10"/>
        <rFont val="Noto Sans CJK SC"/>
        <family val="2"/>
      </rPr>
      <t xml:space="preserve">段第號地目等則田地等則面積連畝分厘賦額連元角分標示地價元角分元元斤圖略北東南西</t>
    </r>
    <r>
      <rPr>
        <sz val="10"/>
        <rFont val="Arial"/>
        <family val="0"/>
        <charset val="1"/>
      </rPr>
      <t xml:space="preserve">249246</t>
    </r>
    <r>
      <rPr>
        <sz val="10"/>
        <rFont val="Noto Sans CJK SC"/>
        <family val="2"/>
      </rPr>
      <t xml:space="preserve">給右給面黃克勳生官收執中華民國三十六年年月日縣長林森田賦糧食管理處處長林森田賦糧食管理處處長</t>
    </r>
  </si>
  <si>
    <t xml:space="preserve">31735066266143_001</t>
  </si>
  <si>
    <t xml:space="preserve">31735066266143</t>
  </si>
  <si>
    <t xml:space="preserve">王鐘鈞</t>
  </si>
  <si>
    <t xml:space="preserve">Box 4, Folder 174</t>
  </si>
  <si>
    <r>
      <rPr>
        <sz val="10"/>
        <rFont val="Noto Sans CJK SC"/>
        <family val="2"/>
      </rPr>
      <t xml:space="preserve">馬路下段別地號西</t>
    </r>
    <r>
      <rPr>
        <sz val="10"/>
        <rFont val="Arial"/>
        <family val="0"/>
        <charset val="1"/>
      </rPr>
      <t xml:space="preserve">520</t>
    </r>
    <r>
      <rPr>
        <sz val="10"/>
        <rFont val="Noto Sans CJK SC"/>
        <family val="2"/>
      </rPr>
      <t xml:space="preserve">地目等則田</t>
    </r>
  </si>
  <si>
    <r>
      <rPr>
        <sz val="10"/>
        <rFont val="Noto Sans CJK SC"/>
        <family val="2"/>
      </rPr>
      <t xml:space="preserve">西 </t>
    </r>
    <r>
      <rPr>
        <sz val="10"/>
        <rFont val="Arial"/>
        <family val="0"/>
        <charset val="1"/>
      </rPr>
      <t xml:space="preserve">| 005598 | </t>
    </r>
    <r>
      <rPr>
        <sz val="10"/>
        <rFont val="Noto Sans CJK SC"/>
        <family val="2"/>
      </rPr>
      <t xml:space="preserve">號 </t>
    </r>
    <r>
      <rPr>
        <sz val="10"/>
        <rFont val="Arial"/>
        <family val="0"/>
        <charset val="1"/>
      </rPr>
      <t xml:space="preserve">| </t>
    </r>
    <r>
      <rPr>
        <sz val="10"/>
        <rFont val="Noto Sans CJK SC"/>
        <family val="2"/>
      </rPr>
      <t xml:space="preserve">福建省林業執照 土地管地</t>
    </r>
  </si>
  <si>
    <r>
      <rPr>
        <sz val="10"/>
        <rFont val="Noto Sans CJK SC"/>
        <family val="2"/>
      </rPr>
      <t xml:space="preserve">地林森縣政府</t>
    </r>
    <r>
      <rPr>
        <sz val="10"/>
        <rFont val="Arial"/>
        <family val="0"/>
        <charset val="1"/>
      </rPr>
      <t xml:space="preserve">; </t>
    </r>
    <r>
      <rPr>
        <sz val="10"/>
        <rFont val="Noto Sans CJK SC"/>
        <family val="2"/>
      </rPr>
      <t xml:space="preserve">長林森田賦糧食管理處</t>
    </r>
  </si>
  <si>
    <t xml:space="preserve">https://digital.library.pitt.edu/islandora/object/pitt:31735066266143</t>
  </si>
  <si>
    <r>
      <rPr>
        <sz val="10"/>
        <rFont val="Noto Sans CJK SC"/>
        <family val="2"/>
      </rPr>
      <t xml:space="preserve">西</t>
    </r>
    <r>
      <rPr>
        <sz val="10"/>
        <rFont val="Arial"/>
        <family val="0"/>
        <charset val="1"/>
      </rPr>
      <t xml:space="preserve">005598</t>
    </r>
    <r>
      <rPr>
        <sz val="10"/>
        <rFont val="Noto Sans CJK SC"/>
        <family val="2"/>
      </rPr>
      <t xml:space="preserve">號福建省林業執照土地管地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王鐘鈞林森縣保鄉甲附代表人姓名址林森縣保鄉甲村記土地坐落馬路下段別地號西</t>
    </r>
    <r>
      <rPr>
        <sz val="10"/>
        <rFont val="Arial"/>
        <family val="0"/>
        <charset val="1"/>
      </rPr>
      <t xml:space="preserve">520</t>
    </r>
    <r>
      <rPr>
        <sz val="10"/>
        <rFont val="Noto Sans CJK SC"/>
        <family val="2"/>
      </rPr>
      <t xml:space="preserve">地目等則田地式上面積零捌玖賦額零四伍收益元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地價元圖西中華民國三十六年四月縣長林森田賦糧食管理處處長陳善長鍾鈞右給王鐘鈞收執日北南東西字第一任珍號號</t>
    </r>
  </si>
  <si>
    <t xml:space="preserve">31735066266150_001</t>
  </si>
  <si>
    <t xml:space="preserve">31735066266150</t>
  </si>
  <si>
    <t xml:space="preserve">Box 4, Folder 175</t>
  </si>
  <si>
    <r>
      <rPr>
        <sz val="10"/>
        <rFont val="Noto Sans CJK SC"/>
        <family val="2"/>
      </rPr>
      <t xml:space="preserve">西 字 第 </t>
    </r>
    <r>
      <rPr>
        <sz val="10"/>
        <rFont val="Arial"/>
        <family val="0"/>
        <charset val="1"/>
      </rPr>
      <t xml:space="preserve">005599 </t>
    </r>
    <r>
      <rPr>
        <sz val="10"/>
        <rFont val="Noto Sans CJK SC"/>
        <family val="2"/>
      </rPr>
      <t xml:space="preserve">號 </t>
    </r>
    <r>
      <rPr>
        <sz val="10"/>
        <rFont val="Arial"/>
        <family val="0"/>
        <charset val="1"/>
      </rPr>
      <t xml:space="preserve">| </t>
    </r>
    <r>
      <rPr>
        <sz val="10"/>
        <rFont val="Noto Sans CJK SC"/>
        <family val="2"/>
      </rPr>
      <t xml:space="preserve">福建省林業執照 土地管地</t>
    </r>
  </si>
  <si>
    <t xml:space="preserve">地林森縣政府</t>
  </si>
  <si>
    <t xml:space="preserve">https://digital.library.pitt.edu/islandora/object/pitt:31735066266150</t>
  </si>
  <si>
    <r>
      <rPr>
        <sz val="10"/>
        <rFont val="Noto Sans CJK SC"/>
        <family val="2"/>
      </rPr>
      <t xml:space="preserve">西字第</t>
    </r>
    <r>
      <rPr>
        <sz val="10"/>
        <rFont val="Arial"/>
        <family val="0"/>
        <charset val="1"/>
      </rPr>
      <t xml:space="preserve">005599</t>
    </r>
    <r>
      <rPr>
        <sz val="10"/>
        <rFont val="Noto Sans CJK SC"/>
        <family val="2"/>
      </rPr>
      <t xml:space="preserve">號福建省林業執照土地管地林森縣政府為發給土地營業執照事查本縣奉令舉辦土地陳報右記業主地畝業經審核無訛合行填發營業執照以憑營業嗣後如有買賣典當繼承分割合併贈與交換或其他產權移轉時務須持照遵章向本縣田賦機關聲請推收過戶換領新照倘有私擅塗改或偽造者按律治罪須至執照者</t>
    </r>
  </si>
  <si>
    <t xml:space="preserve">31735066266168_001</t>
  </si>
  <si>
    <t xml:space="preserve">31735066266168</t>
  </si>
  <si>
    <t xml:space="preserve">林修枝</t>
  </si>
  <si>
    <t xml:space="preserve">Box 4, Folder 176</t>
  </si>
  <si>
    <t xml:space="preserve">中華民國三十 八年</t>
  </si>
  <si>
    <r>
      <rPr>
        <sz val="10"/>
        <rFont val="Noto Sans CJK SC"/>
        <family val="2"/>
      </rPr>
      <t xml:space="preserve">馬坑段列地號西</t>
    </r>
    <r>
      <rPr>
        <sz val="10"/>
        <rFont val="Arial"/>
        <family val="0"/>
        <charset val="1"/>
      </rPr>
      <t xml:space="preserve">5</t>
    </r>
    <r>
      <rPr>
        <sz val="10"/>
        <rFont val="Noto Sans CJK SC"/>
        <family val="2"/>
      </rPr>
      <t xml:space="preserve">段第</t>
    </r>
    <r>
      <rPr>
        <sz val="10"/>
        <rFont val="Arial"/>
        <family val="0"/>
        <charset val="1"/>
      </rPr>
      <t xml:space="preserve">48</t>
    </r>
    <r>
      <rPr>
        <sz val="10"/>
        <rFont val="Noto Sans CJK SC"/>
        <family val="2"/>
      </rPr>
      <t xml:space="preserve">號地目等</t>
    </r>
  </si>
  <si>
    <r>
      <rPr>
        <sz val="10"/>
        <rFont val="Noto Sans CJK SC"/>
        <family val="2"/>
      </rPr>
      <t xml:space="preserve">西 字 第 </t>
    </r>
    <r>
      <rPr>
        <sz val="10"/>
        <rFont val="Arial"/>
        <family val="0"/>
        <charset val="1"/>
      </rPr>
      <t xml:space="preserve">005590 </t>
    </r>
    <r>
      <rPr>
        <sz val="10"/>
        <rFont val="Noto Sans CJK SC"/>
        <family val="2"/>
      </rPr>
      <t xml:space="preserve">號 </t>
    </r>
    <r>
      <rPr>
        <sz val="10"/>
        <rFont val="Arial"/>
        <family val="0"/>
        <charset val="1"/>
      </rPr>
      <t xml:space="preserve">| </t>
    </r>
    <r>
      <rPr>
        <sz val="10"/>
        <rFont val="Noto Sans CJK SC"/>
        <family val="2"/>
      </rPr>
      <t xml:space="preserve">福 建 省 林 森 縣 土 地 管 業 執 照</t>
    </r>
  </si>
  <si>
    <r>
      <rPr>
        <sz val="10"/>
        <rFont val="Noto Sans CJK SC"/>
        <family val="2"/>
      </rPr>
      <t xml:space="preserve">照林森縣政府</t>
    </r>
    <r>
      <rPr>
        <sz val="10"/>
        <rFont val="Arial"/>
        <family val="0"/>
        <charset val="1"/>
      </rPr>
      <t xml:space="preserve">; </t>
    </r>
    <r>
      <rPr>
        <sz val="10"/>
        <rFont val="Noto Sans CJK SC"/>
        <family val="2"/>
      </rPr>
      <t xml:space="preserve">執林森田賦糧食管理處</t>
    </r>
  </si>
  <si>
    <t xml:space="preserve">https://digital.library.pitt.edu/islandora/object/pitt:31735066266168</t>
  </si>
  <si>
    <r>
      <rPr>
        <sz val="10"/>
        <rFont val="Noto Sans CJK SC"/>
        <family val="2"/>
      </rPr>
      <t xml:space="preserve">西字第</t>
    </r>
    <r>
      <rPr>
        <sz val="10"/>
        <rFont val="Arial"/>
        <family val="0"/>
        <charset val="1"/>
      </rPr>
      <t xml:space="preserve">005590</t>
    </r>
    <r>
      <rPr>
        <sz val="10"/>
        <rFont val="Noto Sans CJK SC"/>
        <family val="2"/>
      </rPr>
      <t xml:space="preserve">號福建省林森縣土地管業執照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林修枝代表人姓名林森縣林森縣保保馬井村馬井村甲甲附記土地坐落馬坑段列地號西</t>
    </r>
    <r>
      <rPr>
        <sz val="10"/>
        <rFont val="Arial"/>
        <family val="0"/>
        <charset val="1"/>
      </rPr>
      <t xml:space="preserve">5</t>
    </r>
    <r>
      <rPr>
        <sz val="10"/>
        <rFont val="Noto Sans CJK SC"/>
        <family val="2"/>
      </rPr>
      <t xml:space="preserve">段第</t>
    </r>
    <r>
      <rPr>
        <sz val="10"/>
        <rFont val="Arial"/>
        <family val="0"/>
        <charset val="1"/>
      </rPr>
      <t xml:space="preserve">48</t>
    </r>
    <r>
      <rPr>
        <sz val="10"/>
        <rFont val="Noto Sans CJK SC"/>
        <family val="2"/>
      </rPr>
      <t xml:space="preserve">號地目等則蕩地壹等上則面積零畝壹分伍厘賦額零元零角貳分示地價元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圖略北東南西中華民國三十八年四月右給林修枝收執林森田賦糧食管理處處長縣長日</t>
    </r>
  </si>
  <si>
    <t xml:space="preserve">31735066266176_001</t>
  </si>
  <si>
    <t xml:space="preserve">31735066266176</t>
  </si>
  <si>
    <t xml:space="preserve">Box 4, Folder 177</t>
  </si>
  <si>
    <t xml:space="preserve">段別地號地目等則面積賦額收益地價</t>
  </si>
  <si>
    <r>
      <rPr>
        <sz val="10"/>
        <rFont val="Noto Sans CJK SC"/>
        <family val="2"/>
      </rPr>
      <t xml:space="preserve">西 </t>
    </r>
    <r>
      <rPr>
        <sz val="10"/>
        <rFont val="Arial"/>
        <family val="0"/>
        <charset val="1"/>
      </rPr>
      <t xml:space="preserve">| </t>
    </r>
    <r>
      <rPr>
        <sz val="10"/>
        <rFont val="Noto Sans CJK SC"/>
        <family val="2"/>
      </rPr>
      <t xml:space="preserve">第 </t>
    </r>
    <r>
      <rPr>
        <sz val="10"/>
        <rFont val="Arial"/>
        <family val="0"/>
        <charset val="1"/>
      </rPr>
      <t xml:space="preserve">| 005591 | </t>
    </r>
    <r>
      <rPr>
        <sz val="10"/>
        <rFont val="Noto Sans CJK SC"/>
        <family val="2"/>
      </rPr>
      <t xml:space="preserve">號 </t>
    </r>
    <r>
      <rPr>
        <sz val="10"/>
        <rFont val="Arial"/>
        <family val="0"/>
        <charset val="1"/>
      </rPr>
      <t xml:space="preserve">| </t>
    </r>
    <r>
      <rPr>
        <sz val="10"/>
        <rFont val="Noto Sans CJK SC"/>
        <family val="2"/>
      </rPr>
      <t xml:space="preserve">福建省林業執照</t>
    </r>
  </si>
  <si>
    <r>
      <rPr>
        <sz val="10"/>
        <rFont val="Noto Sans CJK SC"/>
        <family val="2"/>
      </rPr>
      <t xml:space="preserve">照林森縣政府</t>
    </r>
    <r>
      <rPr>
        <sz val="10"/>
        <rFont val="Arial"/>
        <family val="0"/>
        <charset val="1"/>
      </rPr>
      <t xml:space="preserve">; </t>
    </r>
    <r>
      <rPr>
        <sz val="10"/>
        <rFont val="Noto Sans CJK SC"/>
        <family val="2"/>
      </rPr>
      <t xml:space="preserve">執林森田賦糧食管理處</t>
    </r>
    <r>
      <rPr>
        <sz val="10"/>
        <rFont val="Arial"/>
        <family val="0"/>
        <charset val="1"/>
      </rPr>
      <t xml:space="preserve">; </t>
    </r>
    <r>
      <rPr>
        <sz val="10"/>
        <rFont val="Noto Sans CJK SC"/>
        <family val="2"/>
      </rPr>
      <t xml:space="preserve">長林森田賦糧食管理處</t>
    </r>
  </si>
  <si>
    <t xml:space="preserve">https://digital.library.pitt.edu/islandora/object/pitt:31735066266176</t>
  </si>
  <si>
    <r>
      <rPr>
        <sz val="10"/>
        <rFont val="Noto Sans CJK SC"/>
        <family val="2"/>
      </rPr>
      <t xml:space="preserve">西第</t>
    </r>
    <r>
      <rPr>
        <sz val="10"/>
        <rFont val="Arial"/>
        <family val="0"/>
        <charset val="1"/>
      </rPr>
      <t xml:space="preserve">005591</t>
    </r>
    <r>
      <rPr>
        <sz val="10"/>
        <rFont val="Noto Sans CJK SC"/>
        <family val="2"/>
      </rPr>
      <t xml:space="preserve">號福建省林業執照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住址代表人姓名附記林修枝林森縣保鄉甲戶村林森縣保鄉甲戶村土地坐落段別地號地目等則面積賦額收益地價馬路下西</t>
    </r>
    <r>
      <rPr>
        <sz val="10"/>
        <rFont val="Arial"/>
        <family val="0"/>
        <charset val="1"/>
      </rPr>
      <t xml:space="preserve">519</t>
    </r>
    <r>
      <rPr>
        <sz val="10"/>
        <rFont val="Noto Sans CJK SC"/>
        <family val="2"/>
      </rPr>
      <t xml:space="preserve">號田地等則壹畝零分零厘零元柒角式分元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元</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南</t>
    </r>
    <r>
      <rPr>
        <sz val="10"/>
        <rFont val="Arial"/>
        <family val="0"/>
        <charset val="1"/>
      </rPr>
      <t xml:space="preserve">'(</t>
    </r>
    <r>
      <rPr>
        <sz val="10"/>
        <rFont val="Noto Sans CJK SC"/>
        <family val="2"/>
      </rPr>
      <t xml:space="preserve">東</t>
    </r>
    <r>
      <rPr>
        <sz val="10"/>
        <rFont val="Arial"/>
        <family val="0"/>
        <charset val="1"/>
      </rPr>
      <t xml:space="preserve">'(</t>
    </r>
    <r>
      <rPr>
        <sz val="10"/>
        <rFont val="Noto Sans CJK SC"/>
        <family val="2"/>
      </rPr>
      <t xml:space="preserve">西</t>
    </r>
    <r>
      <rPr>
        <sz val="10"/>
        <rFont val="Arial"/>
        <family val="0"/>
        <charset val="1"/>
      </rPr>
      <t xml:space="preserve">'(]</t>
    </r>
    <r>
      <rPr>
        <sz val="10"/>
        <rFont val="Noto Sans CJK SC"/>
        <family val="2"/>
      </rPr>
      <t xml:space="preserve">中華民國三十一年四月右給林修枝收執林森田賦糧食管理處處長林森田賦糧食管理處處長</t>
    </r>
  </si>
  <si>
    <t xml:space="preserve">31735066266184_001</t>
  </si>
  <si>
    <t xml:space="preserve">31735066266184</t>
  </si>
  <si>
    <t xml:space="preserve">Box 4, Folder 178</t>
  </si>
  <si>
    <r>
      <rPr>
        <sz val="10"/>
        <rFont val="Noto Sans CJK SC"/>
        <family val="2"/>
      </rPr>
      <t xml:space="preserve">花屏鄉</t>
    </r>
    <r>
      <rPr>
        <sz val="10"/>
        <rFont val="Arial"/>
        <family val="0"/>
        <charset val="1"/>
      </rPr>
      <t xml:space="preserve">(</t>
    </r>
    <r>
      <rPr>
        <sz val="10"/>
        <rFont val="Noto Sans CJK SC"/>
        <family val="2"/>
      </rPr>
      <t xml:space="preserve">鎮</t>
    </r>
    <r>
      <rPr>
        <sz val="10"/>
        <rFont val="Arial"/>
        <family val="0"/>
        <charset val="1"/>
      </rPr>
      <t xml:space="preserve">)</t>
    </r>
  </si>
  <si>
    <r>
      <rPr>
        <sz val="10"/>
        <rFont val="Noto Sans CJK SC"/>
        <family val="2"/>
      </rPr>
      <t xml:space="preserve">西 </t>
    </r>
    <r>
      <rPr>
        <sz val="10"/>
        <rFont val="Arial"/>
        <family val="0"/>
        <charset val="1"/>
      </rPr>
      <t xml:space="preserve">| </t>
    </r>
    <r>
      <rPr>
        <sz val="10"/>
        <rFont val="Noto Sans CJK SC"/>
        <family val="2"/>
      </rPr>
      <t xml:space="preserve">字第 </t>
    </r>
    <r>
      <rPr>
        <sz val="10"/>
        <rFont val="Arial"/>
        <family val="0"/>
        <charset val="1"/>
      </rPr>
      <t xml:space="preserve">| 005593 | </t>
    </r>
    <r>
      <rPr>
        <sz val="10"/>
        <rFont val="Noto Sans CJK SC"/>
        <family val="2"/>
      </rPr>
      <t xml:space="preserve">號 </t>
    </r>
    <r>
      <rPr>
        <sz val="10"/>
        <rFont val="Arial"/>
        <family val="0"/>
        <charset val="1"/>
      </rPr>
      <t xml:space="preserve">| </t>
    </r>
    <r>
      <rPr>
        <sz val="10"/>
        <rFont val="Noto Sans CJK SC"/>
        <family val="2"/>
      </rPr>
      <t xml:space="preserve">福建省森林縣 </t>
    </r>
    <r>
      <rPr>
        <sz val="10"/>
        <rFont val="Arial"/>
        <family val="0"/>
        <charset val="1"/>
      </rPr>
      <t xml:space="preserve">| </t>
    </r>
    <r>
      <rPr>
        <sz val="10"/>
        <rFont val="Noto Sans CJK SC"/>
        <family val="2"/>
      </rPr>
      <t xml:space="preserve">土地管業執照</t>
    </r>
  </si>
  <si>
    <r>
      <rPr>
        <sz val="10"/>
        <rFont val="Noto Sans CJK SC"/>
        <family val="2"/>
      </rPr>
      <t xml:space="preserve">字第 </t>
    </r>
    <r>
      <rPr>
        <sz val="10"/>
        <rFont val="Arial"/>
        <family val="0"/>
        <charset val="1"/>
      </rPr>
      <t xml:space="preserve">005593 </t>
    </r>
    <r>
      <rPr>
        <sz val="10"/>
        <rFont val="Noto Sans CJK SC"/>
        <family val="2"/>
      </rPr>
      <t xml:space="preserve">號</t>
    </r>
  </si>
  <si>
    <t xml:space="preserve">https://digital.library.pitt.edu/islandora/object/pitt:31735066266184</t>
  </si>
  <si>
    <r>
      <rPr>
        <sz val="10"/>
        <rFont val="Noto Sans CJK SC"/>
        <family val="2"/>
      </rPr>
      <t xml:space="preserve">西字第</t>
    </r>
    <r>
      <rPr>
        <sz val="10"/>
        <rFont val="Arial"/>
        <family val="0"/>
        <charset val="1"/>
      </rPr>
      <t xml:space="preserve">005593</t>
    </r>
    <r>
      <rPr>
        <sz val="10"/>
        <rFont val="Noto Sans CJK SC"/>
        <family val="2"/>
      </rPr>
      <t xml:space="preserve">號福建省森林縣土地管業執照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林修枝住林森縣花屏保鄉馬井村附代表人姓名址林森縣保鄉甲村記土地坐落花屏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土名門前東土地段別地號西字第</t>
    </r>
    <r>
      <rPr>
        <sz val="10"/>
        <rFont val="Arial"/>
        <family val="0"/>
        <charset val="1"/>
      </rPr>
      <t xml:space="preserve">5</t>
    </r>
    <r>
      <rPr>
        <sz val="10"/>
        <rFont val="Noto Sans CJK SC"/>
        <family val="2"/>
      </rPr>
      <t xml:space="preserve">段第</t>
    </r>
    <r>
      <rPr>
        <sz val="10"/>
        <rFont val="Arial"/>
        <family val="0"/>
        <charset val="1"/>
      </rPr>
      <t xml:space="preserve">38</t>
    </r>
    <r>
      <rPr>
        <sz val="10"/>
        <rFont val="Noto Sans CJK SC"/>
        <family val="2"/>
      </rPr>
      <t xml:space="preserve">略地地目等則田地畝等下則標面積零畝畝分伍厘示賦額零元陸角玖分收收益元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地地價元西中華民國三十六年四月日右給林修枝收執林森田賦糧食管理處處長林森田賦糧食管理處處長</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南</t>
    </r>
    <r>
      <rPr>
        <sz val="10"/>
        <rFont val="Arial"/>
        <family val="0"/>
        <charset val="1"/>
      </rPr>
      <t xml:space="preserve">)</t>
    </r>
    <r>
      <rPr>
        <sz val="10"/>
        <rFont val="Noto Sans CJK SC"/>
        <family val="2"/>
      </rPr>
      <t xml:space="preserve">東</t>
    </r>
    <r>
      <rPr>
        <sz val="10"/>
        <rFont val="Arial"/>
        <family val="0"/>
        <charset val="1"/>
      </rPr>
      <t xml:space="preserve">)</t>
    </r>
    <r>
      <rPr>
        <sz val="10"/>
        <rFont val="Noto Sans CJK SC"/>
        <family val="2"/>
      </rPr>
      <t xml:space="preserve">西</t>
    </r>
    <r>
      <rPr>
        <sz val="10"/>
        <rFont val="Arial"/>
        <family val="0"/>
        <charset val="1"/>
      </rPr>
      <t xml:space="preserve">)totheleft.]</t>
    </r>
  </si>
  <si>
    <t xml:space="preserve">31735066266192_001</t>
  </si>
  <si>
    <t xml:space="preserve">31735066266192</t>
  </si>
  <si>
    <t xml:space="preserve">Box 4, Folder 179</t>
  </si>
  <si>
    <r>
      <rPr>
        <sz val="10"/>
        <rFont val="Noto Sans CJK SC"/>
        <family val="2"/>
      </rPr>
      <t xml:space="preserve">西 </t>
    </r>
    <r>
      <rPr>
        <sz val="10"/>
        <rFont val="Arial"/>
        <family val="0"/>
        <charset val="1"/>
      </rPr>
      <t xml:space="preserve">| </t>
    </r>
    <r>
      <rPr>
        <sz val="10"/>
        <rFont val="Noto Sans CJK SC"/>
        <family val="2"/>
      </rPr>
      <t xml:space="preserve">第 </t>
    </r>
    <r>
      <rPr>
        <sz val="10"/>
        <rFont val="Arial"/>
        <family val="0"/>
        <charset val="1"/>
      </rPr>
      <t xml:space="preserve">| 005588 | </t>
    </r>
    <r>
      <rPr>
        <sz val="10"/>
        <rFont val="Noto Sans CJK SC"/>
        <family val="2"/>
      </rPr>
      <t xml:space="preserve">號 </t>
    </r>
    <r>
      <rPr>
        <sz val="10"/>
        <rFont val="Arial"/>
        <family val="0"/>
        <charset val="1"/>
      </rPr>
      <t xml:space="preserve">| </t>
    </r>
    <r>
      <rPr>
        <sz val="10"/>
        <rFont val="Noto Sans CJK SC"/>
        <family val="2"/>
      </rPr>
      <t xml:space="preserve">福建省林森縣 土地管業執照</t>
    </r>
  </si>
  <si>
    <r>
      <rPr>
        <sz val="10"/>
        <rFont val="Noto Sans CJK SC"/>
        <family val="2"/>
      </rPr>
      <t xml:space="preserve">照林森縣政府</t>
    </r>
    <r>
      <rPr>
        <sz val="10"/>
        <rFont val="Arial"/>
        <family val="0"/>
        <charset val="1"/>
      </rPr>
      <t xml:space="preserve">; </t>
    </r>
    <r>
      <rPr>
        <sz val="10"/>
        <rFont val="Noto Sans CJK SC"/>
        <family val="2"/>
      </rPr>
      <t xml:space="preserve">元林森田賦糧食管理處</t>
    </r>
  </si>
  <si>
    <t xml:space="preserve">https://digital.library.pitt.edu/islandora/object/pitt:31735066266192</t>
  </si>
  <si>
    <r>
      <rPr>
        <sz val="10"/>
        <rFont val="Noto Sans CJK SC"/>
        <family val="2"/>
      </rPr>
      <t xml:space="preserve">西第</t>
    </r>
    <r>
      <rPr>
        <sz val="10"/>
        <rFont val="Arial"/>
        <family val="0"/>
        <charset val="1"/>
      </rPr>
      <t xml:space="preserve">005588</t>
    </r>
    <r>
      <rPr>
        <sz val="10"/>
        <rFont val="Noto Sans CJK SC"/>
        <family val="2"/>
      </rPr>
      <t xml:space="preserve">號福建省林森縣土地管業執照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代表人姓名土地坐落段別地號地目等則面積賦額收益地價林修枝林森縣林森縣保甲鄉村戶記附馬坑西</t>
    </r>
    <r>
      <rPr>
        <sz val="10"/>
        <rFont val="Arial"/>
        <family val="0"/>
        <charset val="1"/>
      </rPr>
      <t xml:space="preserve">110</t>
    </r>
    <r>
      <rPr>
        <sz val="10"/>
        <rFont val="Noto Sans CJK SC"/>
        <family val="2"/>
      </rPr>
      <t xml:space="preserve">號基地等上則壹畝壹分捌厘壹元壹角零分元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元住址林森縣保甲鄉村戶記附馬坑西</t>
    </r>
    <r>
      <rPr>
        <sz val="10"/>
        <rFont val="Arial"/>
        <family val="0"/>
        <charset val="1"/>
      </rPr>
      <t xml:space="preserve">110</t>
    </r>
    <r>
      <rPr>
        <sz val="10"/>
        <rFont val="Noto Sans CJK SC"/>
        <family val="2"/>
      </rPr>
      <t xml:space="preserve">號基地等上則壹畝壹分捌厘壹元壹角零分元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元林森田賦糧食管理處處長林修枝收執日西南東</t>
    </r>
  </si>
  <si>
    <t xml:space="preserve">31735066266200_001</t>
  </si>
  <si>
    <t xml:space="preserve">31735066266200</t>
  </si>
  <si>
    <t xml:space="preserve">Box 4, Folder 180</t>
  </si>
  <si>
    <r>
      <rPr>
        <sz val="10"/>
        <rFont val="Noto Sans CJK SC"/>
        <family val="2"/>
      </rPr>
      <t xml:space="preserve">屏鄉</t>
    </r>
    <r>
      <rPr>
        <sz val="10"/>
        <rFont val="Arial"/>
        <family val="0"/>
        <charset val="1"/>
      </rPr>
      <t xml:space="preserve">(</t>
    </r>
    <r>
      <rPr>
        <sz val="10"/>
        <rFont val="Noto Sans CJK SC"/>
        <family val="2"/>
      </rPr>
      <t xml:space="preserve">鎮</t>
    </r>
    <r>
      <rPr>
        <sz val="10"/>
        <rFont val="Arial"/>
        <family val="0"/>
        <charset val="1"/>
      </rPr>
      <t xml:space="preserve">)</t>
    </r>
  </si>
  <si>
    <r>
      <rPr>
        <sz val="10"/>
        <rFont val="Noto Sans CJK SC"/>
        <family val="2"/>
      </rPr>
      <t xml:space="preserve">福 建 省 林 森 縣  </t>
    </r>
    <r>
      <rPr>
        <sz val="10"/>
        <rFont val="Arial"/>
        <family val="0"/>
        <charset val="1"/>
      </rPr>
      <t xml:space="preserve">| </t>
    </r>
    <r>
      <rPr>
        <sz val="10"/>
        <rFont val="Noto Sans CJK SC"/>
        <family val="2"/>
      </rPr>
      <t xml:space="preserve">林森縣政府為發給土地管業執照事</t>
    </r>
  </si>
  <si>
    <t xml:space="preserve">https://digital.library.pitt.edu/islandora/object/pitt:31735066266200</t>
  </si>
  <si>
    <r>
      <rPr>
        <sz val="10"/>
        <rFont val="Noto Sans CJK SC"/>
        <family val="2"/>
      </rPr>
      <t xml:space="preserve">西字第</t>
    </r>
    <r>
      <rPr>
        <sz val="10"/>
        <rFont val="Arial"/>
        <family val="0"/>
        <charset val="1"/>
      </rPr>
      <t xml:space="preserve">005587</t>
    </r>
    <r>
      <rPr>
        <sz val="10"/>
        <rFont val="Noto Sans CJK SC"/>
        <family val="2"/>
      </rPr>
      <t xml:space="preserve">號福建省林森縣土地管業執照林森縣政府為發給土地管業執照事查本縣奉令舉辦土地陳報右記業主地畝業經審核無訛合行填發管業執照以憑管業嗣後如有買賣典當繼承分割合併贈與交換或其他產權移轉時務須持照遵章向本縣田賦機關開聲請推收過戶換領新照倘有私擅塗改或偽造者按律治罪須至執照者業主姓名林修枝住林森縣屏保馬井戶附代表人姓名址林森縣保甲戶記土地坐落屏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土名馬坑略東土段列地號西字第</t>
    </r>
    <r>
      <rPr>
        <sz val="10"/>
        <rFont val="Arial"/>
        <family val="0"/>
        <charset val="1"/>
      </rPr>
      <t xml:space="preserve">5</t>
    </r>
    <r>
      <rPr>
        <sz val="10"/>
        <rFont val="Noto Sans CJK SC"/>
        <family val="2"/>
      </rPr>
      <t xml:space="preserve">段第</t>
    </r>
    <r>
      <rPr>
        <sz val="10"/>
        <rFont val="Arial"/>
        <family val="0"/>
        <charset val="1"/>
      </rPr>
      <t xml:space="preserve">111</t>
    </r>
    <r>
      <rPr>
        <sz val="10"/>
        <rFont val="Noto Sans CJK SC"/>
        <family val="2"/>
      </rPr>
      <t xml:space="preserve">地目等則基地式等上則面積零畝零分式厘北南標賦額零元零角毫分示地價元圖西中華民國三十六年四月日右給林修枝收執縣長林森田賦糧食管理處處長林森田賦糧食管理處處長</t>
    </r>
  </si>
  <si>
    <t xml:space="preserve">31735066266218_001</t>
  </si>
  <si>
    <t xml:space="preserve">31735066266218</t>
  </si>
  <si>
    <t xml:space="preserve">Box 4, Folder 181</t>
  </si>
  <si>
    <r>
      <rPr>
        <sz val="10"/>
        <rFont val="Noto Sans CJK SC"/>
        <family val="2"/>
      </rPr>
      <t xml:space="preserve">劉厝鄉</t>
    </r>
    <r>
      <rPr>
        <sz val="10"/>
        <rFont val="Arial"/>
        <family val="0"/>
        <charset val="1"/>
      </rPr>
      <t xml:space="preserve">(</t>
    </r>
    <r>
      <rPr>
        <sz val="10"/>
        <rFont val="Noto Sans CJK SC"/>
        <family val="2"/>
      </rPr>
      <t xml:space="preserve">鎮</t>
    </r>
    <r>
      <rPr>
        <sz val="10"/>
        <rFont val="Arial"/>
        <family val="0"/>
        <charset val="1"/>
      </rPr>
      <t xml:space="preserve">)</t>
    </r>
  </si>
  <si>
    <r>
      <rPr>
        <sz val="10"/>
        <rFont val="Noto Sans CJK SC"/>
        <family val="2"/>
      </rPr>
      <t xml:space="preserve">西 第 </t>
    </r>
    <r>
      <rPr>
        <sz val="10"/>
        <rFont val="Arial"/>
        <family val="0"/>
        <charset val="1"/>
      </rPr>
      <t xml:space="preserve">005586 </t>
    </r>
    <r>
      <rPr>
        <sz val="10"/>
        <rFont val="Noto Sans CJK SC"/>
        <family val="2"/>
      </rPr>
      <t xml:space="preserve">號 </t>
    </r>
    <r>
      <rPr>
        <sz val="10"/>
        <rFont val="Arial"/>
        <family val="0"/>
        <charset val="1"/>
      </rPr>
      <t xml:space="preserve">| </t>
    </r>
    <r>
      <rPr>
        <sz val="10"/>
        <rFont val="Noto Sans CJK SC"/>
        <family val="2"/>
      </rPr>
      <t xml:space="preserve">福建省林森縣 土地管業執照</t>
    </r>
  </si>
  <si>
    <t xml:space="preserve">https://digital.library.pitt.edu/islandora/object/pitt:31735066266218</t>
  </si>
  <si>
    <r>
      <rPr>
        <sz val="10"/>
        <rFont val="Noto Sans CJK SC"/>
        <family val="2"/>
      </rPr>
      <t xml:space="preserve">西第</t>
    </r>
    <r>
      <rPr>
        <sz val="10"/>
        <rFont val="Arial"/>
        <family val="0"/>
        <charset val="1"/>
      </rPr>
      <t xml:space="preserve">005586</t>
    </r>
    <r>
      <rPr>
        <sz val="10"/>
        <rFont val="Noto Sans CJK SC"/>
        <family val="2"/>
      </rPr>
      <t xml:space="preserve">號福建省林森縣土地管業執照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林修枝代表人姓名住址林森縣林森縣保保劉厝鄉劉厝鄉甲甲村戶村戶記附土地坐落劉厝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土名坑裡段別地號西字第</t>
    </r>
    <r>
      <rPr>
        <sz val="10"/>
        <rFont val="Arial"/>
        <family val="0"/>
        <charset val="1"/>
      </rPr>
      <t xml:space="preserve">5</t>
    </r>
    <r>
      <rPr>
        <sz val="10"/>
        <rFont val="Noto Sans CJK SC"/>
        <family val="2"/>
      </rPr>
      <t xml:space="preserve">段第</t>
    </r>
    <r>
      <rPr>
        <sz val="10"/>
        <rFont val="Arial"/>
        <family val="0"/>
        <charset val="1"/>
      </rPr>
      <t xml:space="preserve">269</t>
    </r>
    <r>
      <rPr>
        <sz val="10"/>
        <rFont val="Noto Sans CJK SC"/>
        <family val="2"/>
      </rPr>
      <t xml:space="preserve">號地目等則農地式等上則面積壹畝壹分壹厘賦額零元伍角伍分示地價元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元圖略北東南西中華民國三十六年四月右給林修枝收執縣長林森田賦糧食管理處處長林森田賦糧食管理處處長日</t>
    </r>
  </si>
  <si>
    <t xml:space="preserve">31735066266226_001</t>
  </si>
  <si>
    <t xml:space="preserve">31735066266226</t>
  </si>
  <si>
    <t xml:space="preserve">Box 4, Folder 182</t>
  </si>
  <si>
    <r>
      <rPr>
        <sz val="10"/>
        <rFont val="Noto Sans CJK SC"/>
        <family val="2"/>
      </rPr>
      <t xml:space="preserve">鄉</t>
    </r>
    <r>
      <rPr>
        <sz val="10"/>
        <rFont val="Arial"/>
        <family val="0"/>
        <charset val="1"/>
      </rPr>
      <t xml:space="preserve">(</t>
    </r>
    <r>
      <rPr>
        <sz val="10"/>
        <rFont val="Noto Sans CJK SC"/>
        <family val="2"/>
      </rPr>
      <t xml:space="preserve">鎮</t>
    </r>
    <r>
      <rPr>
        <sz val="10"/>
        <rFont val="Arial"/>
        <family val="0"/>
        <charset val="1"/>
      </rPr>
      <t xml:space="preserve">)</t>
    </r>
  </si>
  <si>
    <t xml:space="preserve">福 建 省 林 森 縣 土 地 管 業 執 照</t>
  </si>
  <si>
    <t xml:space="preserve">https://digital.library.pitt.edu/islandora/object/pitt:31735066266226</t>
  </si>
  <si>
    <r>
      <rPr>
        <sz val="10"/>
        <rFont val="Noto Sans CJK SC"/>
        <family val="2"/>
      </rPr>
      <t xml:space="preserve">西字</t>
    </r>
    <r>
      <rPr>
        <sz val="10"/>
        <rFont val="Arial"/>
        <family val="0"/>
        <charset val="1"/>
      </rPr>
      <t xml:space="preserve">005585</t>
    </r>
    <r>
      <rPr>
        <sz val="10"/>
        <rFont val="Noto Sans CJK SC"/>
        <family val="2"/>
      </rPr>
      <t xml:space="preserve">號福建省林森縣土地管業執照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林修枝住林森縣保馬井村附代表人姓名址林森縣保甲鄉村記土地坐落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土名白龍厝前略段別地號字第</t>
    </r>
    <r>
      <rPr>
        <sz val="10"/>
        <rFont val="Arial"/>
        <family val="0"/>
        <charset val="1"/>
      </rPr>
      <t xml:space="preserve">4</t>
    </r>
    <r>
      <rPr>
        <sz val="10"/>
        <rFont val="Noto Sans CJK SC"/>
        <family val="2"/>
      </rPr>
      <t xml:space="preserve">段第</t>
    </r>
    <r>
      <rPr>
        <sz val="10"/>
        <rFont val="Arial"/>
        <family val="0"/>
        <charset val="1"/>
      </rPr>
      <t xml:space="preserve">239</t>
    </r>
    <r>
      <rPr>
        <sz val="10"/>
        <rFont val="Noto Sans CJK SC"/>
        <family val="2"/>
      </rPr>
      <t xml:space="preserve">地目等則田等下則面積畝玖分伍厘賦額元貳角柒分收益元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元圖地價元圖元圖中華民國三十六年四月日右給林修枝收執林森田賦糧食管理處處長林森田賦糧食管理處處長</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南</t>
    </r>
    <r>
      <rPr>
        <sz val="10"/>
        <rFont val="Arial"/>
        <family val="0"/>
        <charset val="1"/>
      </rPr>
      <t xml:space="preserve">)</t>
    </r>
    <r>
      <rPr>
        <sz val="10"/>
        <rFont val="Noto Sans CJK SC"/>
        <family val="2"/>
      </rPr>
      <t xml:space="preserve">東</t>
    </r>
    <r>
      <rPr>
        <sz val="10"/>
        <rFont val="Arial"/>
        <family val="0"/>
        <charset val="1"/>
      </rPr>
      <t xml:space="preserve">)</t>
    </r>
    <r>
      <rPr>
        <sz val="10"/>
        <rFont val="Noto Sans CJK SC"/>
        <family val="2"/>
      </rPr>
      <t xml:space="preserve">西</t>
    </r>
    <r>
      <rPr>
        <sz val="10"/>
        <rFont val="Arial"/>
        <family val="0"/>
        <charset val="1"/>
      </rPr>
      <t xml:space="preserve">)totheleft.]</t>
    </r>
  </si>
  <si>
    <t xml:space="preserve">31735066266234_001</t>
  </si>
  <si>
    <t xml:space="preserve">31735066266234</t>
  </si>
  <si>
    <t xml:space="preserve">Box 4, Folder 183</t>
  </si>
  <si>
    <r>
      <rPr>
        <sz val="10"/>
        <rFont val="Noto Sans CJK SC"/>
        <family val="2"/>
      </rPr>
      <t xml:space="preserve">馬坑段別地號西字第</t>
    </r>
    <r>
      <rPr>
        <sz val="10"/>
        <rFont val="Arial"/>
        <family val="0"/>
        <charset val="1"/>
      </rPr>
      <t xml:space="preserve">5</t>
    </r>
    <r>
      <rPr>
        <sz val="10"/>
        <rFont val="Noto Sans CJK SC"/>
        <family val="2"/>
      </rPr>
      <t xml:space="preserve">段第</t>
    </r>
    <r>
      <rPr>
        <sz val="10"/>
        <rFont val="Arial"/>
        <family val="0"/>
        <charset val="1"/>
      </rPr>
      <t xml:space="preserve">118</t>
    </r>
    <r>
      <rPr>
        <sz val="10"/>
        <rFont val="Noto Sans CJK SC"/>
        <family val="2"/>
      </rPr>
      <t xml:space="preserve">號</t>
    </r>
  </si>
  <si>
    <t xml:space="preserve">https://digital.library.pitt.edu/islandora/object/pitt:31735066266234</t>
  </si>
  <si>
    <r>
      <rPr>
        <sz val="10"/>
        <rFont val="Noto Sans CJK SC"/>
        <family val="2"/>
      </rPr>
      <t xml:space="preserve">西第</t>
    </r>
    <r>
      <rPr>
        <sz val="10"/>
        <rFont val="Arial"/>
        <family val="0"/>
        <charset val="1"/>
      </rPr>
      <t xml:space="preserve">5589</t>
    </r>
    <r>
      <rPr>
        <sz val="10"/>
        <rFont val="Noto Sans CJK SC"/>
        <family val="2"/>
      </rPr>
      <t xml:space="preserve">號福建省林森縣土地管業執照林森縣政府為發給土地管業執照事查本縣奉令舉辦土地陳報右記業主地畝業經審核無訛合行填發管業執照以憑管業嗣後如有買賣典當繼承分割合併贈與交換或其他產權移轉時務須持照遵章向本縣田賦機關聲請推收過戶換領新照倘有私擅塗改或偽造者按律治罪須至執照者業主姓名林修枝代表人姓名住址林森縣林森縣保保馬井村鄉甲鄉甲戶村戶附記土地坐落馬坑段別地號西字第</t>
    </r>
    <r>
      <rPr>
        <sz val="10"/>
        <rFont val="Arial"/>
        <family val="0"/>
        <charset val="1"/>
      </rPr>
      <t xml:space="preserve">5</t>
    </r>
    <r>
      <rPr>
        <sz val="10"/>
        <rFont val="Noto Sans CJK SC"/>
        <family val="2"/>
      </rPr>
      <t xml:space="preserve">段第</t>
    </r>
    <r>
      <rPr>
        <sz val="10"/>
        <rFont val="Arial"/>
        <family val="0"/>
        <charset val="1"/>
      </rPr>
      <t xml:space="preserve">118</t>
    </r>
    <r>
      <rPr>
        <sz val="10"/>
        <rFont val="Noto Sans CJK SC"/>
        <family val="2"/>
      </rPr>
      <t xml:space="preserve">號地目等則基地戈等上則面積零畝零分捌厘賦額零元零角零分示地價元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圖略北南東西中華民國三十六年四月日右給林修枝收執林森田賦糧食管理處處長林森田賦糧食管理處處長</t>
    </r>
  </si>
  <si>
    <t xml:space="preserve">31735066266242_001</t>
  </si>
  <si>
    <t xml:space="preserve">31735066266242</t>
  </si>
  <si>
    <t xml:space="preserve">Box 4, Folder 184</t>
  </si>
  <si>
    <r>
      <rPr>
        <sz val="10"/>
        <rFont val="Noto Sans CJK SC"/>
        <family val="2"/>
      </rPr>
      <t xml:space="preserve">白龍坪上段別地號西字第</t>
    </r>
    <r>
      <rPr>
        <sz val="10"/>
        <rFont val="Arial"/>
        <family val="0"/>
        <charset val="1"/>
      </rPr>
      <t xml:space="preserve">4</t>
    </r>
    <r>
      <rPr>
        <sz val="10"/>
        <rFont val="Noto Sans CJK SC"/>
        <family val="2"/>
      </rPr>
      <t xml:space="preserve">段第</t>
    </r>
    <r>
      <rPr>
        <sz val="10"/>
        <rFont val="Arial"/>
        <family val="0"/>
        <charset val="1"/>
      </rPr>
      <t xml:space="preserve">22</t>
    </r>
  </si>
  <si>
    <r>
      <rPr>
        <sz val="10"/>
        <rFont val="Noto Sans CJK SC"/>
        <family val="2"/>
      </rPr>
      <t xml:space="preserve">號林森縣政府</t>
    </r>
    <r>
      <rPr>
        <sz val="10"/>
        <rFont val="Arial"/>
        <family val="0"/>
        <charset val="1"/>
      </rPr>
      <t xml:space="preserve">; </t>
    </r>
    <r>
      <rPr>
        <sz val="10"/>
        <rFont val="Noto Sans CJK SC"/>
        <family val="2"/>
      </rPr>
      <t xml:space="preserve">長林森田賦糧食管理處</t>
    </r>
  </si>
  <si>
    <t xml:space="preserve">西字第伍伍號</t>
  </si>
  <si>
    <t xml:space="preserve">https://digital.library.pitt.edu/islandora/object/pitt:31735066266242</t>
  </si>
  <si>
    <r>
      <rPr>
        <sz val="10"/>
        <rFont val="Noto Sans CJK SC"/>
        <family val="2"/>
      </rPr>
      <t xml:space="preserve">西</t>
    </r>
    <r>
      <rPr>
        <sz val="10"/>
        <rFont val="Arial"/>
        <family val="0"/>
        <charset val="1"/>
      </rPr>
      <t xml:space="preserve">005584</t>
    </r>
    <r>
      <rPr>
        <sz val="10"/>
        <rFont val="Noto Sans CJK SC"/>
        <family val="2"/>
      </rPr>
      <t xml:space="preserve">號福建省林森縣土地管業執照西字第伍伍號林森縣政府為發給土地管業執照事查本縣奉令舉辦土地陳報右記業主地故業經審核無訛合行填發管業執照以憑管業嗣後如有買賣典當繼承分割合併贈與交換或其他產權移轉時務須持照遵章向本縣田賦機關聲請推收過戶換領新照倘有私擅塗改或偽造者按律治罪須至執照者業主姓名林修枝代表人姓名林修枝林森縣保鄉甲戶村記附土地坐落白龍坪上段別地號西字第</t>
    </r>
    <r>
      <rPr>
        <sz val="10"/>
        <rFont val="Arial"/>
        <family val="0"/>
        <charset val="1"/>
      </rPr>
      <t xml:space="preserve">4</t>
    </r>
    <r>
      <rPr>
        <sz val="10"/>
        <rFont val="Noto Sans CJK SC"/>
        <family val="2"/>
      </rPr>
      <t xml:space="preserve">段第</t>
    </r>
    <r>
      <rPr>
        <sz val="10"/>
        <rFont val="Arial"/>
        <family val="0"/>
        <charset val="1"/>
      </rPr>
      <t xml:space="preserve">222</t>
    </r>
    <r>
      <rPr>
        <sz val="10"/>
        <rFont val="Noto Sans CJK SC"/>
        <family val="2"/>
      </rPr>
      <t xml:space="preserve">號地目等則田地等下則面積壹畝玖分零厘賦類壹元伍角四分標地收益元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元右給林修枝收執中華民國三十八年四月縣長林森田賦糧食管理處處長林森田賦糧食管理處處長日</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南</t>
    </r>
    <r>
      <rPr>
        <sz val="10"/>
        <rFont val="Arial"/>
        <family val="0"/>
        <charset val="1"/>
      </rPr>
      <t xml:space="preserve">'(</t>
    </r>
    <r>
      <rPr>
        <sz val="10"/>
        <rFont val="Noto Sans CJK SC"/>
        <family val="2"/>
      </rPr>
      <t xml:space="preserve">西</t>
    </r>
    <r>
      <rPr>
        <sz val="10"/>
        <rFont val="Arial"/>
        <family val="0"/>
        <charset val="1"/>
      </rPr>
      <t xml:space="preserve">'(</t>
    </r>
    <r>
      <rPr>
        <sz val="10"/>
        <rFont val="Noto Sans CJK SC"/>
        <family val="2"/>
      </rPr>
      <t xml:space="preserve">東</t>
    </r>
    <r>
      <rPr>
        <sz val="10"/>
        <rFont val="Arial"/>
        <family val="0"/>
        <charset val="1"/>
      </rPr>
      <t xml:space="preserve">'(]</t>
    </r>
  </si>
  <si>
    <t xml:space="preserve">31735066266259_001</t>
  </si>
  <si>
    <t xml:space="preserve">31735066266259</t>
  </si>
  <si>
    <t xml:space="preserve">1840</t>
  </si>
  <si>
    <t xml:space="preserve">林氏</t>
  </si>
  <si>
    <t xml:space="preserve">Box 1, Folder 26</t>
  </si>
  <si>
    <t xml:space="preserve">立閩書</t>
  </si>
  <si>
    <t xml:space="preserve">白龍</t>
  </si>
  <si>
    <r>
      <rPr>
        <sz val="10"/>
        <rFont val="Noto Sans CJK SC"/>
        <family val="2"/>
      </rPr>
      <t xml:space="preserve">山場</t>
    </r>
    <r>
      <rPr>
        <sz val="10"/>
        <rFont val="Arial"/>
        <family val="0"/>
        <charset val="1"/>
      </rPr>
      <t xml:space="preserve">; </t>
    </r>
    <r>
      <rPr>
        <sz val="10"/>
        <rFont val="Noto Sans CJK SC"/>
        <family val="2"/>
      </rPr>
      <t xml:space="preserve">屋宇</t>
    </r>
    <r>
      <rPr>
        <sz val="10"/>
        <rFont val="Arial"/>
        <family val="0"/>
        <charset val="1"/>
      </rPr>
      <t xml:space="preserve">; </t>
    </r>
    <r>
      <rPr>
        <sz val="10"/>
        <rFont val="Noto Sans CJK SC"/>
        <family val="2"/>
      </rPr>
      <t xml:space="preserve">墳</t>
    </r>
  </si>
  <si>
    <t xml:space="preserve">李龍泉</t>
  </si>
  <si>
    <r>
      <rPr>
        <sz val="10"/>
        <rFont val="Noto Sans CJK SC"/>
        <family val="2"/>
      </rPr>
      <t xml:space="preserve">林長賓</t>
    </r>
    <r>
      <rPr>
        <sz val="10"/>
        <rFont val="Arial"/>
        <family val="0"/>
        <charset val="1"/>
      </rPr>
      <t xml:space="preserve">; </t>
    </r>
    <r>
      <rPr>
        <sz val="10"/>
        <rFont val="Noto Sans CJK SC"/>
        <family val="2"/>
      </rPr>
      <t xml:space="preserve">勇審</t>
    </r>
  </si>
  <si>
    <t xml:space="preserve">母林氏</t>
  </si>
  <si>
    <t xml:space="preserve">https://digital.library.pitt.edu/islandora/object/pitt:31735066266259</t>
  </si>
  <si>
    <t xml:space="preserve">主閩書母林氏生育二男俱已婚娶前因家口浩繁恐生陰隙特請族戚將祖遺山場屋宇田園拓闢為定高低相配肥瘦相兼自闢之後立為福祿二房各掌各業不得爭長競短切思木以一本而發千枝水以一源而達萬派但願兄弟怡怡彝斯衍慶子孫絕絕孝悌居先予之愿也欲有憑立閩書式紙各執書紙為照一養膳田土名池壑仔書口一養膳郭大珠早晚租谷各法百肆拾斤一養膳郭朝植朝理廷紀廷彬早晚租谷式百拾拾捌一大廳直透後廳天井左右披屋式祠一前進後廳書祠係吉山通行又前進左傍房屋書祠一郭其泉早晚租穀陸百捌一陳肇祺早晚租谷壹拾肆担伍拾玖捌一周雍美早晚租谷壹拾玖担壹拾捌內撥出貳百拾拾斤帖次房坑口田價現回郭大壑郭君揚一田土名馬路迤迤詔五分一土名虎嘯石至李家土壠直透余家施亨通土壠以上三姓係一方看官至王家土壠直透國境為左池塔頂後門上坪池塔上龍眼模書林左邊一土名白龍山李家右邊土壠唐家居中下至鄭家左邊直透家牆後孫長房一陳兆熙造墳係長次房全造其鐵費用外對半勻分又每干起壹百文與次房費用一門前大池書式拾肆係長房輪起或輪係是次房其池水長房輪以壹尺為準與次房能用又大魚壹拾伍則不與次房年底之需次房值輪亦然其根色不論當輪按年應完貳百玖拾文係兩房勻分長男國詩次男國書在見林長賓在見林長賓道光拾拾吉日長閩書林在見勇審陳必祥楊能波李仕木林文德李仕木林文德代筆李龍泉大長發其祥</t>
  </si>
  <si>
    <t xml:space="preserve">31735066266267_001</t>
  </si>
  <si>
    <t xml:space="preserve">31735066266267</t>
  </si>
  <si>
    <t xml:space="preserve">德詮僧人</t>
  </si>
  <si>
    <t xml:space="preserve">Box 1, Folder 40</t>
  </si>
  <si>
    <t xml:space="preserve">同治肆年</t>
  </si>
  <si>
    <t xml:space="preserve">僧德詮</t>
  </si>
  <si>
    <t xml:space="preserve">價鏡銀壹拾捌兩正</t>
  </si>
  <si>
    <t xml:space="preserve">侯邑草市都馬坑等處</t>
  </si>
  <si>
    <t xml:space="preserve">馬路下下寺</t>
  </si>
  <si>
    <t xml:space="preserve">鄭昌頤</t>
  </si>
  <si>
    <t xml:space="preserve">吳為相</t>
  </si>
  <si>
    <t xml:space="preserve">師弟</t>
  </si>
  <si>
    <t xml:space="preserve">https://digital.library.pitt.edu/islandora/object/pitt:31735066266267</t>
  </si>
  <si>
    <t xml:space="preserve">立賣斷契僧德詮承師祖遺下有寺田面數號坐產侯邑草市都馬坑等處地方內撥出寺田面叁號土名馬路下墓路共計官文式畝叁分式厘伍毛捌忽年載面租穀肆百肆拾壹斛乾淨其穀色立在草市都一甲僧德祖戶下厯掌收租完課無異今因修理佛殿要用耗中自情愿將此叁號田面賣斷與林處永遠為業三面言議本日賣斷出田面價鏡銀壹拾捌兩正庫陶足色其銀即日收足其田面所從買主前去會佃收租永遠管業其穀色即所林家照縣例科派過甲入戶完納註自賣斷之後價足心愿永斷葛藤向後永不得別生枝節但此田面係註承師祖遺下物業與師家他人無干亦未曾重張典當他人財物如有來歷不明係註出頭承當不涉買主之事兩相允愿各無後悔今欲有憑立賣斷契畫紙付執永遠為照計開田號畝數一地字四區三百二大號土名馬路下下寺田大分二厘一地字四區三百三十號土名馬路下下寺田三分七厘八毛載租谷式百貳拾伍斛一地字四區三百四十七號土名馬路即井嘴下苗整分厘七毛八忽載租谷式百壹拾陸斛但此田面係是祖遺並無原契繳付標照同治肆年拾貳月吉日立賣斷契僧德詮在見師弟德綴師侄鳳來中見鄭昌頤林萬斌永遠為業代筆吳為相</t>
  </si>
  <si>
    <t xml:space="preserve">31735066266275_001</t>
  </si>
  <si>
    <t xml:space="preserve">31735066266275</t>
  </si>
  <si>
    <t xml:space="preserve">Box 2, Folder 61</t>
  </si>
  <si>
    <r>
      <rPr>
        <sz val="10"/>
        <rFont val="Noto Sans CJK SC"/>
        <family val="2"/>
      </rPr>
      <t xml:space="preserve">光緒十五年</t>
    </r>
    <r>
      <rPr>
        <sz val="10"/>
        <rFont val="Arial"/>
        <family val="0"/>
        <charset val="1"/>
      </rPr>
      <t xml:space="preserve">; </t>
    </r>
    <r>
      <rPr>
        <sz val="10"/>
        <rFont val="Noto Sans CJK SC"/>
        <family val="2"/>
      </rPr>
      <t xml:space="preserve">光緒拾貳年</t>
    </r>
  </si>
  <si>
    <t xml:space="preserve">https://digital.library.pitt.edu/islandora/object/pitt:31735066266275</t>
  </si>
  <si>
    <r>
      <rPr>
        <sz val="10"/>
        <rFont val="Noto Sans CJK SC"/>
        <family val="2"/>
      </rPr>
      <t xml:space="preserve">契侯奉性真公福建三都督府</t>
    </r>
    <r>
      <rPr>
        <sz val="10"/>
        <rFont val="Arial"/>
        <family val="0"/>
        <charset val="1"/>
      </rPr>
      <t xml:space="preserve">...</t>
    </r>
    <r>
      <rPr>
        <sz val="10"/>
        <rFont val="Noto Sans CJK SC"/>
        <family val="2"/>
      </rPr>
      <t xml:space="preserve">光緒十五年正月二十四日</t>
    </r>
    <r>
      <rPr>
        <sz val="10"/>
        <rFont val="Arial"/>
        <family val="0"/>
        <charset val="1"/>
      </rPr>
      <t xml:space="preserve">...</t>
    </r>
    <r>
      <rPr>
        <sz val="10"/>
        <rFont val="Noto Sans CJK SC"/>
        <family val="2"/>
      </rPr>
      <t xml:space="preserve">戶部咨河南司案呈所有本部議河南布政司明隆公章實印准將契尾結連用</t>
    </r>
    <r>
      <rPr>
        <sz val="10"/>
        <rFont val="Arial"/>
        <family val="0"/>
        <charset val="1"/>
      </rPr>
      <t xml:space="preserve">...</t>
    </r>
    <r>
      <rPr>
        <sz val="10"/>
        <rFont val="Noto Sans CJK SC"/>
        <family val="2"/>
      </rPr>
      <t xml:space="preserve">州縣收稅契照州縣申送外之例</t>
    </r>
    <r>
      <rPr>
        <sz val="10"/>
        <rFont val="Arial"/>
        <family val="0"/>
        <charset val="1"/>
      </rPr>
      <t xml:space="preserve">...</t>
    </r>
    <r>
      <rPr>
        <sz val="10"/>
        <rFont val="Noto Sans CJK SC"/>
        <family val="2"/>
      </rPr>
      <t xml:space="preserve">從未議將花戶收執出票中</t>
    </r>
    <r>
      <rPr>
        <sz val="10"/>
        <rFont val="Arial"/>
        <family val="0"/>
        <charset val="1"/>
      </rPr>
      <t xml:space="preserve">...</t>
    </r>
    <r>
      <rPr>
        <sz val="10"/>
        <rFont val="Noto Sans CJK SC"/>
        <family val="2"/>
      </rPr>
      <t xml:space="preserve">之索取甚至實錄為好</t>
    </r>
    <r>
      <rPr>
        <sz val="10"/>
        <rFont val="Arial"/>
        <family val="0"/>
        <charset val="1"/>
      </rPr>
      <t xml:space="preserve">...</t>
    </r>
    <r>
      <rPr>
        <sz val="10"/>
        <rFont val="Noto Sans CJK SC"/>
        <family val="2"/>
      </rPr>
      <t xml:space="preserve">投稅為畏途觀望延接</t>
    </r>
    <r>
      <rPr>
        <sz val="10"/>
        <rFont val="Arial"/>
        <family val="0"/>
        <charset val="1"/>
      </rPr>
      <t xml:space="preserve">...</t>
    </r>
    <r>
      <rPr>
        <sz val="10"/>
        <rFont val="Noto Sans CJK SC"/>
        <family val="2"/>
      </rPr>
      <t xml:space="preserve">俞允條命下之日</t>
    </r>
    <r>
      <rPr>
        <sz val="10"/>
        <rFont val="Arial"/>
        <family val="0"/>
        <charset val="1"/>
      </rPr>
      <t xml:space="preserve">...</t>
    </r>
    <r>
      <rPr>
        <sz val="10"/>
        <rFont val="Noto Sans CJK SC"/>
        <family val="2"/>
      </rPr>
      <t xml:space="preserve">葉居</t>
    </r>
    <r>
      <rPr>
        <sz val="10"/>
        <rFont val="Arial"/>
        <family val="0"/>
        <charset val="1"/>
      </rPr>
      <t xml:space="preserve">...</t>
    </r>
    <r>
      <rPr>
        <sz val="10"/>
        <rFont val="Noto Sans CJK SC"/>
        <family val="2"/>
      </rPr>
      <t xml:space="preserve">實林萬利田</t>
    </r>
    <r>
      <rPr>
        <sz val="10"/>
        <rFont val="Arial"/>
        <family val="0"/>
        <charset val="1"/>
      </rPr>
      <t xml:space="preserve">...</t>
    </r>
    <r>
      <rPr>
        <sz val="10"/>
        <rFont val="Noto Sans CJK SC"/>
        <family val="2"/>
      </rPr>
      <t xml:space="preserve">葉居</t>
    </r>
    <r>
      <rPr>
        <sz val="10"/>
        <rFont val="Arial"/>
        <family val="0"/>
        <charset val="1"/>
      </rPr>
      <t xml:space="preserve">...</t>
    </r>
    <r>
      <rPr>
        <sz val="10"/>
        <rFont val="Noto Sans CJK SC"/>
        <family val="2"/>
      </rPr>
      <t xml:space="preserve">實林萬利田</t>
    </r>
    <r>
      <rPr>
        <sz val="10"/>
        <rFont val="Arial"/>
        <family val="0"/>
        <charset val="1"/>
      </rPr>
      <t xml:space="preserve">...</t>
    </r>
    <r>
      <rPr>
        <sz val="10"/>
        <rFont val="Noto Sans CJK SC"/>
        <family val="2"/>
      </rPr>
      <t xml:space="preserve">葉居</t>
    </r>
    <r>
      <rPr>
        <sz val="10"/>
        <rFont val="Arial"/>
        <family val="0"/>
        <charset val="1"/>
      </rPr>
      <t xml:space="preserve">...</t>
    </r>
    <r>
      <rPr>
        <sz val="10"/>
        <rFont val="Noto Sans CJK SC"/>
        <family val="2"/>
      </rPr>
      <t xml:space="preserve">實林萬利田</t>
    </r>
    <r>
      <rPr>
        <sz val="10"/>
        <rFont val="Arial"/>
        <family val="0"/>
        <charset val="1"/>
      </rPr>
      <t xml:space="preserve">...</t>
    </r>
    <r>
      <rPr>
        <sz val="10"/>
        <rFont val="Noto Sans CJK SC"/>
        <family val="2"/>
      </rPr>
      <t xml:space="preserve">光緒拾貳年參月以千陸百貳拾肆侯官官准</t>
    </r>
  </si>
  <si>
    <t xml:space="preserve">31735066266283_001</t>
  </si>
  <si>
    <t xml:space="preserve">31735066266283</t>
  </si>
  <si>
    <t xml:space="preserve">林宜新</t>
  </si>
  <si>
    <t xml:space="preserve">林久樹</t>
  </si>
  <si>
    <t xml:space="preserve">Box 2, Folder 101</t>
  </si>
  <si>
    <t xml:space="preserve">中華民國四年</t>
  </si>
  <si>
    <t xml:space="preserve">閩侯縣馬坑</t>
  </si>
  <si>
    <r>
      <rPr>
        <sz val="10"/>
        <rFont val="Noto Sans CJK SC"/>
        <family val="2"/>
      </rPr>
      <t xml:space="preserve">福建財政廳 </t>
    </r>
    <r>
      <rPr>
        <sz val="10"/>
        <rFont val="Arial"/>
        <family val="0"/>
        <charset val="1"/>
      </rPr>
      <t xml:space="preserve">| </t>
    </r>
    <r>
      <rPr>
        <sz val="10"/>
        <rFont val="Noto Sans CJK SC"/>
        <family val="2"/>
      </rPr>
      <t xml:space="preserve">契單</t>
    </r>
  </si>
  <si>
    <r>
      <rPr>
        <sz val="10"/>
        <rFont val="Noto Sans CJK SC"/>
        <family val="2"/>
      </rPr>
      <t xml:space="preserve">稅字第一號</t>
    </r>
    <r>
      <rPr>
        <sz val="10"/>
        <rFont val="Arial"/>
        <family val="0"/>
        <charset val="1"/>
      </rPr>
      <t xml:space="preserve">; </t>
    </r>
    <r>
      <rPr>
        <sz val="10"/>
        <rFont val="Noto Sans CJK SC"/>
        <family val="2"/>
      </rPr>
      <t xml:space="preserve">稅字第一萬肆千伍百叁肆號</t>
    </r>
  </si>
  <si>
    <t xml:space="preserve">https://digital.library.pitt.edu/islandora/object/pitt:31735066266283</t>
  </si>
  <si>
    <t xml:space="preserve">稅字第一號完稅金福建財政廳為給發契單事案查接管國稅廳籌備處卷內奉財政部飭開契稅條例於一月十一日經大總統公布並由本部按照本條例第十一條之規定訂定契稅條例施行細則於一月二十九日以部令公布在案查契稅條例第一條第二項前項契約用紙由財政部定式頒行等語除契稅條例第二條所規定之特別印花由部製備另行頒發外隨飭發去契稅條例暨契稅條例施行細則並契紙及各種收據清冊格式應即照式先行製備仰該處長遵照辦理可也等因奉此查契稅條例施行細則第二十條本條例公布後各徵稅官署未奉到部頒契紙特別印花出示曉諭以前所有田房稅契應仍照向章辦理等語今據閩侯縣業戶林久樹於清宣統元年十一月日典受林宜新屋產座坐落閩侯縣馬坑地方東至西至北至坐向橫大尺直南至大尺直右給業戶林久樹准此契單中華民國四年一月三十日給稅字第一萬肆千伍百叁肆號稅字第一萬肆千伍百叁肆號</t>
  </si>
  <si>
    <t xml:space="preserve">31735066266291_001</t>
  </si>
  <si>
    <t xml:space="preserve">31735066266291</t>
  </si>
  <si>
    <t xml:space="preserve">張寶詨</t>
  </si>
  <si>
    <t xml:space="preserve">程長孫</t>
  </si>
  <si>
    <t xml:space="preserve">Box 2, Folder 81</t>
  </si>
  <si>
    <t xml:space="preserve">立找斷胞頭加壹字</t>
  </si>
  <si>
    <t xml:space="preserve">光緒貳拾五年</t>
  </si>
  <si>
    <t xml:space="preserve">張寶該</t>
  </si>
  <si>
    <t xml:space="preserve">南坑</t>
  </si>
  <si>
    <t xml:space="preserve">後門</t>
  </si>
  <si>
    <t xml:space="preserve">張銑狗</t>
  </si>
  <si>
    <t xml:space="preserve">https://digital.library.pitt.edu/islandora/object/pitt:31735066266291</t>
  </si>
  <si>
    <t xml:space="preserve">立找斷胞頭加壹字人張寶該承祖遺下置有粟廠屋坐落南坑土名後門山粟廠壹伴所有四至界內在前契明白今因缺銀使用情愿托中說諭找斷與程長孫名下當日三面言議賣得土風時值契價洋銀貳兩貳錢伍分正成契之日一色現交不敢少欠分厘的係自己股內物業與親房伯叔弟兄侄人等各不相干日找之後任從買主營業收租不敢阻執兩家甘允各無後悔恐口無憑立賣粟廠房屋斷契字為照當日實交得找出洋銀貳兩貳錢伍分正足。光緒貳拾五年日立八月賣斷粟廠房屋人張寶該。說找人何章林。劝找人張發孫。代筆人張銑狗。</t>
  </si>
  <si>
    <t xml:space="preserve">31735066266309_001</t>
  </si>
  <si>
    <t xml:space="preserve">31735066266309</t>
  </si>
  <si>
    <t xml:space="preserve">藍炳孫</t>
  </si>
  <si>
    <t xml:space="preserve">Box 2, Folder 72</t>
  </si>
  <si>
    <t xml:space="preserve">立賣斷茶山契</t>
  </si>
  <si>
    <r>
      <rPr>
        <sz val="10"/>
        <rFont val="Noto Sans CJK SC"/>
        <family val="2"/>
      </rPr>
      <t xml:space="preserve">茶山</t>
    </r>
    <r>
      <rPr>
        <sz val="10"/>
        <rFont val="Arial"/>
        <family val="0"/>
        <charset val="1"/>
      </rPr>
      <t xml:space="preserve">; </t>
    </r>
    <r>
      <rPr>
        <sz val="10"/>
        <rFont val="Noto Sans CJK SC"/>
        <family val="2"/>
      </rPr>
      <t xml:space="preserve">皮骨</t>
    </r>
  </si>
  <si>
    <t xml:space="preserve">張喜老卷</t>
  </si>
  <si>
    <t xml:space="preserve">https://digital.library.pitt.edu/islandora/object/pitt:31735066266309</t>
  </si>
  <si>
    <t xml:space="preserve">立賣斷茶山契人藍炳孫自己置有茶皮骨山壹片坐落南坑土名橫蘭路停仔後即目上至半畢嫂樣張宅為界下至大橫路為界左至石嶺火重為界右至近荒山林宅黃竹樣為界今未俱出四至界內明白今因缺銀應用情愿托中說諭即將此皮骨茶山撈桐荒山盡底立契出賣斷與程長孫名下為業當日三面言議土風時值契價洋銀肆兩正足成契之日一頭交足未欠分厘並無債貨準折之類及無重復典賣之理所賣其山的係自己股內物業與親房伯叔兄弟侄人等各不相干自賣斷之後仍從買主營業摘茶收租不敢阻撓此係先言後定兩家甘悅各無後悔異說恐口無憑立賣皮骨茶山荒山斷契字為照計有上手全契出業未便繳照當日批明當日實交得土風時值斷契價洋銀肆兩正足光緒拾陸年十月日立賣皮骨茶山斷契人藍炳孫說諭人賴文仔中見人張文發在見人藍乃壽代筆人張喜老卷立賣斷茶山契</t>
  </si>
  <si>
    <t xml:space="preserve">31735066266317_001</t>
  </si>
  <si>
    <t xml:space="preserve">31735066266317</t>
  </si>
  <si>
    <t xml:space="preserve">1870</t>
  </si>
  <si>
    <t xml:space="preserve">程姑仔</t>
  </si>
  <si>
    <t xml:space="preserve">金寶</t>
  </si>
  <si>
    <t xml:space="preserve">Box 2, Folder 51</t>
  </si>
  <si>
    <t xml:space="preserve">立賣新皮骨雜木茶山契</t>
  </si>
  <si>
    <r>
      <rPr>
        <sz val="10"/>
        <rFont val="Noto Sans CJK SC"/>
        <family val="2"/>
      </rPr>
      <t xml:space="preserve">同治玖年</t>
    </r>
    <r>
      <rPr>
        <sz val="10"/>
        <rFont val="Arial"/>
        <family val="0"/>
        <charset val="1"/>
      </rPr>
      <t xml:space="preserve">; </t>
    </r>
    <r>
      <rPr>
        <sz val="10"/>
        <rFont val="Noto Sans CJK SC"/>
        <family val="2"/>
      </rPr>
      <t xml:space="preserve">光緒二十七年</t>
    </r>
  </si>
  <si>
    <t xml:space="preserve">價洋銀拾貳兩正</t>
  </si>
  <si>
    <t xml:space="preserve">由里上溪后</t>
  </si>
  <si>
    <r>
      <rPr>
        <sz val="10"/>
        <rFont val="Noto Sans CJK SC"/>
        <family val="2"/>
      </rPr>
      <t xml:space="preserve">奮樂重</t>
    </r>
    <r>
      <rPr>
        <sz val="10"/>
        <rFont val="Arial"/>
        <family val="0"/>
        <charset val="1"/>
      </rPr>
      <t xml:space="preserve">; </t>
    </r>
    <r>
      <rPr>
        <sz val="10"/>
        <rFont val="Noto Sans CJK SC"/>
        <family val="2"/>
      </rPr>
      <t xml:space="preserve">石嶺后</t>
    </r>
  </si>
  <si>
    <r>
      <rPr>
        <sz val="10"/>
        <rFont val="Noto Sans CJK SC"/>
        <family val="2"/>
      </rPr>
      <t xml:space="preserve">張元壽○</t>
    </r>
    <r>
      <rPr>
        <sz val="10"/>
        <rFont val="Arial"/>
        <family val="0"/>
        <charset val="1"/>
      </rPr>
      <t xml:space="preserve">; </t>
    </r>
    <r>
      <rPr>
        <sz val="10"/>
        <rFont val="Noto Sans CJK SC"/>
        <family val="2"/>
      </rPr>
      <t xml:space="preserve">勸諭者明與日</t>
    </r>
  </si>
  <si>
    <t xml:space="preserve">媽鄧氏</t>
  </si>
  <si>
    <t xml:space="preserve">https://digital.library.pitt.edu/islandora/object/pitt:31735066266317</t>
  </si>
  <si>
    <t xml:space="preserve">立賣新皮骨雜木茶山契人程姑仔承祖遺下置有雜木杉松茶山貳片壹片坐落由里上溪后土名奮樂重其山即目上至崗頂下至水堪連宅山為界左至張宅山含水為界右至連宅山分水為界又壹片坐落任里慶墩土名石嶺后其山即目上至崗頂下至田左至張宅山含水為界右至張宅山分水為界今來俱出貳片四至界內明白因父身亡故自實分年初喪下缺銀使用今因憑中幼論情愿托中說諭即將此山貳片四至界內立新契尽底出賣與血叔翁金寶名下為業當日三面言議賣得土風時直新契價洋銀拾貳兩正足成契之日一頓交足未欠分厘並無債貨準折之類及無重複典賣之理所賣其山即係自己股內物業與親房伯叔兄弟姪人等名無自賣斷之後仍從買主前去栽插畜番營業不敢阻挑此係先言後定兩家甘心各無後悔恐口無憑今欲有憑立賣新皮骨杉松雜木茶山契字為照計繳上手白契書紙繳照契內註有相干二字當日批明當日實交得土風時直賣新契價洋銀拾貳兩正足○同治玖年四月日立賣新茶山契字人程姑仔○說諭人張貴孫○為中人張元壽○在見人朱仕明○知契媽鄧氏○立賣新契代筆人程姑仔一批此石嶺石一片山場左至張宅分水崗頂黃竹樣為界再者一片山場因光緒二十七年請托中人勸諭者明與日後張程兩姓不得混爭批明</t>
  </si>
  <si>
    <t xml:space="preserve">31735066266325_001</t>
  </si>
  <si>
    <t xml:space="preserve">31735066266325</t>
  </si>
  <si>
    <t xml:space="preserve">1927</t>
  </si>
  <si>
    <t xml:space="preserve">賴國才</t>
  </si>
  <si>
    <t xml:space="preserve">Box 3, Folder 129</t>
  </si>
  <si>
    <t xml:space="preserve">中華民國十一年</t>
  </si>
  <si>
    <t xml:space="preserve">契稅清須知 業戶須知</t>
  </si>
  <si>
    <r>
      <rPr>
        <sz val="10"/>
        <rFont val="Noto Sans CJK SC"/>
        <family val="2"/>
      </rPr>
      <t xml:space="preserve">須知</t>
    </r>
    <r>
      <rPr>
        <sz val="10"/>
        <rFont val="Arial"/>
        <family val="0"/>
        <charset val="1"/>
      </rPr>
      <t xml:space="preserve">; </t>
    </r>
    <r>
      <rPr>
        <sz val="10"/>
        <rFont val="Noto Sans CJK SC"/>
        <family val="2"/>
      </rPr>
      <t xml:space="preserve">賴國才</t>
    </r>
  </si>
  <si>
    <t xml:space="preserve">https://digital.library.pitt.edu/islandora/object/pitt:31735066266325</t>
  </si>
  <si>
    <t xml:space="preserve">契稅清須知業戶須知照得此契有據之照府承此佈為給證事查得湯湖鄉業戶賴國才得棗尾地方竹山屋中華民國十一年四月稅契單福第三號業經移轉此證作廢須至證者中華民國日給此聯給承領人存執</t>
  </si>
  <si>
    <t xml:space="preserve">31735066266333_001</t>
  </si>
  <si>
    <t xml:space="preserve">31735066266333</t>
  </si>
  <si>
    <t xml:space="preserve">黃生官</t>
  </si>
  <si>
    <t xml:space="preserve">Box 4, Folder 186</t>
  </si>
  <si>
    <r>
      <rPr>
        <sz val="10"/>
        <rFont val="Noto Sans CJK SC"/>
        <family val="2"/>
      </rPr>
      <t xml:space="preserve">烏嶼鄉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二名烏嶼烏嶼鄉</t>
    </r>
    <r>
      <rPr>
        <sz val="10"/>
        <rFont val="Arial"/>
        <family val="0"/>
        <charset val="1"/>
      </rPr>
      <t xml:space="preserve">(</t>
    </r>
    <r>
      <rPr>
        <sz val="10"/>
        <rFont val="Noto Sans CJK SC"/>
        <family val="2"/>
      </rPr>
      <t xml:space="preserve">鎮</t>
    </r>
    <r>
      <rPr>
        <sz val="10"/>
        <rFont val="Arial"/>
        <family val="0"/>
        <charset val="1"/>
      </rPr>
      <t xml:space="preserve">)</t>
    </r>
  </si>
  <si>
    <r>
      <rPr>
        <sz val="10"/>
        <rFont val="Noto Sans CJK SC"/>
        <family val="2"/>
      </rPr>
      <t xml:space="preserve">局字第 </t>
    </r>
    <r>
      <rPr>
        <sz val="10"/>
        <rFont val="Arial"/>
        <family val="0"/>
        <charset val="1"/>
      </rPr>
      <t xml:space="preserve">000501 </t>
    </r>
    <r>
      <rPr>
        <sz val="10"/>
        <rFont val="Noto Sans CJK SC"/>
        <family val="2"/>
      </rPr>
      <t xml:space="preserve">號 </t>
    </r>
    <r>
      <rPr>
        <sz val="10"/>
        <rFont val="Arial"/>
        <family val="0"/>
        <charset val="1"/>
      </rPr>
      <t xml:space="preserve">| </t>
    </r>
    <r>
      <rPr>
        <sz val="10"/>
        <rFont val="Noto Sans CJK SC"/>
        <family val="2"/>
      </rPr>
      <t xml:space="preserve">福建省林業執照 </t>
    </r>
    <r>
      <rPr>
        <sz val="10"/>
        <rFont val="Arial"/>
        <family val="0"/>
        <charset val="1"/>
      </rPr>
      <t xml:space="preserve">| </t>
    </r>
    <r>
      <rPr>
        <sz val="10"/>
        <rFont val="Noto Sans CJK SC"/>
        <family val="2"/>
      </rPr>
      <t xml:space="preserve">林森縣政府為發給土地營業執照事</t>
    </r>
  </si>
  <si>
    <r>
      <rPr>
        <sz val="10"/>
        <rFont val="Noto Sans CJK SC"/>
        <family val="2"/>
      </rPr>
      <t xml:space="preserve">照林森縣政府</t>
    </r>
    <r>
      <rPr>
        <sz val="10"/>
        <rFont val="Arial"/>
        <family val="0"/>
        <charset val="1"/>
      </rPr>
      <t xml:space="preserve">; </t>
    </r>
    <r>
      <rPr>
        <sz val="10"/>
        <rFont val="Noto Sans CJK SC"/>
        <family val="2"/>
      </rPr>
      <t xml:space="preserve">縣林森田賦糧食管理處</t>
    </r>
  </si>
  <si>
    <r>
      <rPr>
        <sz val="10"/>
        <rFont val="Noto Sans CJK SC"/>
        <family val="2"/>
      </rPr>
      <t xml:space="preserve">局字第 </t>
    </r>
    <r>
      <rPr>
        <sz val="10"/>
        <rFont val="Arial"/>
        <family val="0"/>
        <charset val="1"/>
      </rPr>
      <t xml:space="preserve">000501 </t>
    </r>
    <r>
      <rPr>
        <sz val="10"/>
        <rFont val="Noto Sans CJK SC"/>
        <family val="2"/>
      </rPr>
      <t xml:space="preserve">號</t>
    </r>
  </si>
  <si>
    <t xml:space="preserve">https://digital.library.pitt.edu/islandora/object/pitt:31735066266333</t>
  </si>
  <si>
    <r>
      <rPr>
        <sz val="10"/>
        <rFont val="Noto Sans CJK SC"/>
        <family val="2"/>
      </rPr>
      <t xml:space="preserve">局字第</t>
    </r>
    <r>
      <rPr>
        <sz val="10"/>
        <rFont val="Arial"/>
        <family val="0"/>
        <charset val="1"/>
      </rPr>
      <t xml:space="preserve">000501</t>
    </r>
    <r>
      <rPr>
        <sz val="10"/>
        <rFont val="Noto Sans CJK SC"/>
        <family val="2"/>
      </rPr>
      <t xml:space="preserve">號福建省林業執照林森縣政府為發給土地營業執照事查本縣奉令舉辦土地陳報右記業主地改業經審核無訛合行填發營業執照以憑管業嗣後如有買賣典當繼承分割合併贈與交換或其他產權移轉時務須持照遵章向本縣田賦機關聲請推收過戶換領新照倘有私擅塗改或偽造者按律治罪須至執照者業主姓名黃生官住址林森縣烏嶼鄉林森縣保甲鄉戶村戶附記土地坐落烏嶼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二名烏嶼烏嶼鄉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二名段別地號烏嶼字第</t>
    </r>
    <r>
      <rPr>
        <sz val="10"/>
        <rFont val="Arial"/>
        <family val="0"/>
        <charset val="1"/>
      </rPr>
      <t xml:space="preserve">36</t>
    </r>
    <r>
      <rPr>
        <sz val="10"/>
        <rFont val="Noto Sans CJK SC"/>
        <family val="2"/>
      </rPr>
      <t xml:space="preserve">段第</t>
    </r>
    <r>
      <rPr>
        <sz val="10"/>
        <rFont val="Arial"/>
        <family val="0"/>
        <charset val="1"/>
      </rPr>
      <t xml:space="preserve">36</t>
    </r>
    <r>
      <rPr>
        <sz val="10"/>
        <rFont val="Noto Sans CJK SC"/>
        <family val="2"/>
      </rPr>
      <t xml:space="preserve">號地目等則田地等則面積伍畝貳分零厘賦額叁元叁角捌分收益元</t>
    </r>
    <r>
      <rPr>
        <sz val="10"/>
        <rFont val="Arial"/>
        <family val="0"/>
        <charset val="1"/>
      </rPr>
      <t xml:space="preserve">(</t>
    </r>
    <r>
      <rPr>
        <sz val="10"/>
        <rFont val="Noto Sans CJK SC"/>
        <family val="2"/>
      </rPr>
      <t xml:space="preserve">斤</t>
    </r>
    <r>
      <rPr>
        <sz val="10"/>
        <rFont val="Arial"/>
        <family val="0"/>
        <charset val="1"/>
      </rPr>
      <t xml:space="preserve">)</t>
    </r>
    <r>
      <rPr>
        <sz val="10"/>
        <rFont val="Noto Sans CJK SC"/>
        <family val="2"/>
      </rPr>
      <t xml:space="preserve">地價元示右給黃生官收執中華民國三十六年月長縣林森田賦糧食管理處處長日</t>
    </r>
    <r>
      <rPr>
        <sz val="10"/>
        <rFont val="Arial"/>
        <family val="0"/>
        <charset val="1"/>
      </rPr>
      <t xml:space="preserve">[</t>
    </r>
    <r>
      <rPr>
        <sz val="10"/>
        <rFont val="Noto Sans CJK SC"/>
        <family val="2"/>
      </rPr>
      <t xml:space="preserve">北</t>
    </r>
    <r>
      <rPr>
        <sz val="10"/>
        <rFont val="Arial"/>
        <family val="0"/>
        <charset val="1"/>
      </rPr>
      <t xml:space="preserve">)</t>
    </r>
    <r>
      <rPr>
        <sz val="10"/>
        <rFont val="Noto Sans CJK SC"/>
        <family val="2"/>
      </rPr>
      <t xml:space="preserve">南</t>
    </r>
    <r>
      <rPr>
        <sz val="10"/>
        <rFont val="Arial"/>
        <family val="0"/>
        <charset val="1"/>
      </rPr>
      <t xml:space="preserve">)</t>
    </r>
    <r>
      <rPr>
        <sz val="10"/>
        <rFont val="Noto Sans CJK SC"/>
        <family val="2"/>
      </rPr>
      <t xml:space="preserve">東</t>
    </r>
    <r>
      <rPr>
        <sz val="10"/>
        <rFont val="Arial"/>
        <family val="0"/>
        <charset val="1"/>
      </rPr>
      <t xml:space="preserve">)</t>
    </r>
    <r>
      <rPr>
        <sz val="10"/>
        <rFont val="Noto Sans CJK SC"/>
        <family val="2"/>
      </rPr>
      <t xml:space="preserve">西</t>
    </r>
    <r>
      <rPr>
        <sz val="10"/>
        <rFont val="Arial"/>
        <family val="0"/>
        <charset val="1"/>
      </rPr>
      <t xml:space="preserve">)60'atthetop,'24'63']</t>
    </r>
  </si>
  <si>
    <t xml:space="preserve">31735066266341_001</t>
  </si>
  <si>
    <t xml:space="preserve">31735066266341</t>
  </si>
  <si>
    <t xml:space="preserve">錆啇百壽協廳軒</t>
  </si>
  <si>
    <t xml:space="preserve">Box 3, Folder 134</t>
  </si>
  <si>
    <t xml:space="preserve">中華民國 七年</t>
  </si>
  <si>
    <t xml:space="preserve">價壹仟叁佰零四元</t>
  </si>
  <si>
    <t xml:space="preserve">業戶</t>
  </si>
  <si>
    <t xml:space="preserve">新字第捌仟伍佰捌柒號</t>
  </si>
  <si>
    <t xml:space="preserve">https://digital.library.pitt.edu/islandora/object/pitt:31735066266341</t>
  </si>
  <si>
    <t xml:space="preserve">驗稅契證福建財政廳為給發驗稅契證事案奉國民政府財政部訓令頒發驗契暫行條例及各省驗契章程凡在此次開辦驗契以前成立之不動產舊契無論已稅未稅均應一律限期呈驗換發新契紙倘逾限不呈驗遇有訴訟不能作為憑證如經人告發或官廳查出者並加以處罰業由財政部咨行司法部通飭遵辦以為匿驗者戒等因奉此當經擬具徵收方法電奉財政部核准照辦並已訂定本省驗契補充辦法分別通令布告遵照在案茲據業戶呈繳已稅斷契壹紙產價壹仟叁佰零四元坐落四至原契已載明白遵章呈驗應納紙價壹元伍角註冊費壹角附加教育費貳角業已如數收訖除註冊外合填驗稅契證粘連原契印給執管業須至契證者右給業戶鑄商百壽協慶軒准此中華民國七年一月十五日給新字第捌仟伍佰捌柒號</t>
  </si>
  <si>
    <t xml:space="preserve">31735066266358_001</t>
  </si>
  <si>
    <t xml:space="preserve">31735066266358</t>
  </si>
  <si>
    <t xml:space="preserve">Box 3, Folder 144</t>
  </si>
  <si>
    <r>
      <rPr>
        <sz val="10"/>
        <rFont val="Noto Sans CJK SC"/>
        <family val="2"/>
      </rPr>
      <t xml:space="preserve">民國三十一年</t>
    </r>
    <r>
      <rPr>
        <sz val="10"/>
        <rFont val="Arial"/>
        <family val="0"/>
        <charset val="1"/>
      </rPr>
      <t xml:space="preserve">; </t>
    </r>
    <r>
      <rPr>
        <sz val="10"/>
        <rFont val="Noto Sans CJK SC"/>
        <family val="2"/>
      </rPr>
      <t xml:space="preserve">中華民國三十一年</t>
    </r>
  </si>
  <si>
    <t xml:space="preserve">簡便南惠津境基並辦</t>
  </si>
  <si>
    <r>
      <rPr>
        <sz val="10"/>
        <rFont val="Noto Sans CJK SC"/>
        <family val="2"/>
      </rPr>
      <t xml:space="preserve">不動產登記圖式用紙 </t>
    </r>
    <r>
      <rPr>
        <sz val="10"/>
        <rFont val="Arial"/>
        <family val="0"/>
        <charset val="1"/>
      </rPr>
      <t xml:space="preserve">| </t>
    </r>
    <r>
      <rPr>
        <sz val="10"/>
        <rFont val="Noto Sans CJK SC"/>
        <family val="2"/>
      </rPr>
      <t xml:space="preserve">坐落簡便 </t>
    </r>
    <r>
      <rPr>
        <sz val="10"/>
        <rFont val="Arial"/>
        <family val="0"/>
        <charset val="1"/>
      </rPr>
      <t xml:space="preserve">| </t>
    </r>
    <r>
      <rPr>
        <sz val="10"/>
        <rFont val="Noto Sans CJK SC"/>
        <family val="2"/>
      </rPr>
      <t xml:space="preserve">圖式</t>
    </r>
  </si>
  <si>
    <t xml:space="preserve">https://digital.library.pitt.edu/islandora/object/pitt:31735066266358</t>
  </si>
  <si>
    <r>
      <rPr>
        <sz val="10"/>
        <rFont val="Noto Sans CJK SC"/>
        <family val="2"/>
      </rPr>
      <t xml:space="preserve">不動產登記圖式用紙每分定價銀五分坐落簡便南惠津境基並辦地方應房應房路沿地界等項基今詳列後圖以誌圖式</t>
    </r>
    <r>
      <rPr>
        <sz val="10"/>
        <rFont val="Arial"/>
        <family val="0"/>
        <charset val="1"/>
      </rPr>
      <t xml:space="preserve">[</t>
    </r>
    <r>
      <rPr>
        <sz val="10"/>
        <rFont val="Noto Sans CJK SC"/>
        <family val="2"/>
      </rPr>
      <t xml:space="preserve">房</t>
    </r>
    <r>
      <rPr>
        <sz val="10"/>
        <rFont val="Arial"/>
        <family val="0"/>
        <charset val="1"/>
      </rPr>
      <t xml:space="preserve">'(room),'</t>
    </r>
    <r>
      <rPr>
        <sz val="10"/>
        <rFont val="Noto Sans CJK SC"/>
        <family val="2"/>
      </rPr>
      <t xml:space="preserve">廳</t>
    </r>
    <r>
      <rPr>
        <sz val="10"/>
        <rFont val="Arial"/>
        <family val="0"/>
        <charset val="1"/>
      </rPr>
      <t xml:space="preserve">'(hall),'</t>
    </r>
    <r>
      <rPr>
        <sz val="10"/>
        <rFont val="Noto Sans CJK SC"/>
        <family val="2"/>
      </rPr>
      <t xml:space="preserve">廚房</t>
    </r>
    <r>
      <rPr>
        <sz val="10"/>
        <rFont val="Arial"/>
        <family val="0"/>
        <charset val="1"/>
      </rPr>
      <t xml:space="preserve">'(kitchen),'</t>
    </r>
    <r>
      <rPr>
        <sz val="10"/>
        <rFont val="Noto Sans CJK SC"/>
        <family val="2"/>
      </rPr>
      <t xml:space="preserve">堂</t>
    </r>
    <r>
      <rPr>
        <sz val="10"/>
        <rFont val="Arial"/>
        <family val="0"/>
        <charset val="1"/>
      </rPr>
      <t xml:space="preserve">'(</t>
    </r>
    <r>
      <rPr>
        <sz val="10"/>
        <rFont val="Noto Sans CJK SC"/>
        <family val="2"/>
      </rPr>
      <t xml:space="preserve">山</t>
    </r>
    <r>
      <rPr>
        <sz val="10"/>
        <rFont val="Arial"/>
        <family val="0"/>
        <charset val="1"/>
      </rPr>
      <t xml:space="preserve">'(</t>
    </r>
    <r>
      <rPr>
        <sz val="10"/>
        <rFont val="Noto Sans CJK SC"/>
        <family val="2"/>
      </rPr>
      <t xml:space="preserve">林</t>
    </r>
    <r>
      <rPr>
        <sz val="10"/>
        <rFont val="Arial"/>
        <family val="0"/>
        <charset val="1"/>
      </rPr>
      <t xml:space="preserve">'(forest)and'</t>
    </r>
    <r>
      <rPr>
        <sz val="10"/>
        <rFont val="Noto Sans CJK SC"/>
        <family val="2"/>
      </rPr>
      <t xml:space="preserve">路</t>
    </r>
    <r>
      <rPr>
        <sz val="10"/>
        <rFont val="Arial"/>
        <family val="0"/>
        <charset val="1"/>
      </rPr>
      <t xml:space="preserve">'(]</t>
    </r>
    <r>
      <rPr>
        <sz val="10"/>
        <rFont val="Noto Sans CJK SC"/>
        <family val="2"/>
      </rPr>
      <t xml:space="preserve">海人</t>
    </r>
    <r>
      <rPr>
        <sz val="10"/>
        <rFont val="Arial"/>
        <family val="0"/>
        <charset val="1"/>
      </rPr>
      <t xml:space="preserve">1/200</t>
    </r>
    <r>
      <rPr>
        <sz val="10"/>
        <rFont val="Noto Sans CJK SC"/>
        <family val="2"/>
      </rPr>
      <t xml:space="preserve">民國三十一年二月二日協慶軒公署閩侯地方法院不動產登記處台區登記簿第</t>
    </r>
    <r>
      <rPr>
        <sz val="10"/>
        <rFont val="Arial"/>
        <family val="0"/>
        <charset val="1"/>
      </rPr>
      <t xml:space="preserve">49</t>
    </r>
    <r>
      <rPr>
        <sz val="10"/>
        <rFont val="Noto Sans CJK SC"/>
        <family val="2"/>
      </rPr>
      <t xml:space="preserve">冊第</t>
    </r>
    <r>
      <rPr>
        <sz val="10"/>
        <rFont val="Arial"/>
        <family val="0"/>
        <charset val="1"/>
      </rPr>
      <t xml:space="preserve">79</t>
    </r>
    <r>
      <rPr>
        <sz val="10"/>
        <rFont val="Noto Sans CJK SC"/>
        <family val="2"/>
      </rPr>
      <t xml:space="preserve">頁第</t>
    </r>
    <r>
      <rPr>
        <sz val="10"/>
        <rFont val="Arial"/>
        <family val="0"/>
        <charset val="1"/>
      </rPr>
      <t xml:space="preserve">1465</t>
    </r>
    <r>
      <rPr>
        <sz val="10"/>
        <rFont val="Noto Sans CJK SC"/>
        <family val="2"/>
      </rPr>
      <t xml:space="preserve">號中華民國三十一年二月九日收付第</t>
    </r>
    <r>
      <rPr>
        <sz val="10"/>
        <rFont val="Arial"/>
        <family val="0"/>
        <charset val="1"/>
      </rPr>
      <t xml:space="preserve">2145</t>
    </r>
    <r>
      <rPr>
        <sz val="10"/>
        <rFont val="Noto Sans CJK SC"/>
        <family val="2"/>
      </rPr>
      <t xml:space="preserve">號</t>
    </r>
  </si>
  <si>
    <t xml:space="preserve">31735066266366_001</t>
  </si>
  <si>
    <t xml:space="preserve">31735066266366</t>
  </si>
  <si>
    <t xml:space="preserve">1842</t>
  </si>
  <si>
    <r>
      <rPr>
        <sz val="10"/>
        <rFont val="Noto Sans CJK SC"/>
        <family val="2"/>
      </rPr>
      <t xml:space="preserve">黃維裕 </t>
    </r>
    <r>
      <rPr>
        <sz val="10"/>
        <rFont val="Arial"/>
        <family val="0"/>
        <charset val="1"/>
      </rPr>
      <t xml:space="preserve">| </t>
    </r>
    <r>
      <rPr>
        <sz val="10"/>
        <rFont val="Noto Sans CJK SC"/>
        <family val="2"/>
      </rPr>
      <t xml:space="preserve">黃維岑</t>
    </r>
  </si>
  <si>
    <t xml:space="preserve">Box 1, Folder 30</t>
  </si>
  <si>
    <t xml:space="preserve">道光貳拾貳年</t>
  </si>
  <si>
    <t xml:space="preserve">字黃</t>
  </si>
  <si>
    <t xml:space="preserve">價銀叁百伍拾文</t>
  </si>
  <si>
    <t xml:space="preserve">黃繼書</t>
  </si>
  <si>
    <t xml:space="preserve">https://digital.library.pitt.edu/islandora/object/pitt:31735066266366</t>
  </si>
  <si>
    <t xml:space="preserve">立合約字黃惟裕兩家田池相連致以角口爭端各親友聞知進前兩函家說和一家掌田一家掌池經親友公議各立合約字其田在池邊逐年其池水潤田約至春三月末為限其池土畚內應由埭俟池主俸池之日挑回應用裕不得言說池水出入聽憑池主之便兩家允愿各勿後悔今欲有憑各立合約字一紙為憑再約挑土之日其池土所憑池主寄在田中田主不得言說外再買池土半埭公估價銀叁百伍拾文池主不得半途翻異其池土枯涸不得揀選至俸池工及池埭係池主自倩修理繼書繼書廉鏡公親黃孝甲廉阜紹度道光貳拾貳年拾貳月念五日立合約字黃惟裕惟岑繼代筆黃繼書今月二日</t>
  </si>
  <si>
    <t xml:space="preserve">31735066266374_001</t>
  </si>
  <si>
    <t xml:space="preserve">31735066266374</t>
  </si>
  <si>
    <t xml:space="preserve">1844/1845</t>
  </si>
  <si>
    <r>
      <rPr>
        <sz val="10"/>
        <rFont val="Noto Sans CJK SC"/>
        <family val="2"/>
      </rPr>
      <t xml:space="preserve">林厚成 </t>
    </r>
    <r>
      <rPr>
        <sz val="10"/>
        <rFont val="Arial"/>
        <family val="0"/>
        <charset val="1"/>
      </rPr>
      <t xml:space="preserve">| </t>
    </r>
    <r>
      <rPr>
        <sz val="10"/>
        <rFont val="Noto Sans CJK SC"/>
        <family val="2"/>
      </rPr>
      <t xml:space="preserve">林厚祿 </t>
    </r>
    <r>
      <rPr>
        <sz val="10"/>
        <rFont val="Arial"/>
        <family val="0"/>
        <charset val="1"/>
      </rPr>
      <t xml:space="preserve">| </t>
    </r>
    <r>
      <rPr>
        <sz val="10"/>
        <rFont val="Noto Sans CJK SC"/>
        <family val="2"/>
      </rPr>
      <t xml:space="preserve">林厚祥</t>
    </r>
  </si>
  <si>
    <t xml:space="preserve">葉成</t>
  </si>
  <si>
    <t xml:space="preserve">Box 1, Folder 31</t>
  </si>
  <si>
    <t xml:space="preserve">道光貳拾肆年</t>
  </si>
  <si>
    <t xml:space="preserve">林厚成</t>
  </si>
  <si>
    <t xml:space="preserve">價銀陸拾伍兩正</t>
  </si>
  <si>
    <t xml:space="preserve">錢文</t>
  </si>
  <si>
    <t xml:space="preserve">林道吉</t>
  </si>
  <si>
    <t xml:space="preserve">蔣則榮</t>
  </si>
  <si>
    <t xml:space="preserve">胞婿李氏</t>
  </si>
  <si>
    <t xml:space="preserve">嫂陳氏</t>
  </si>
  <si>
    <t xml:space="preserve">https://digital.library.pitt.edu/islandora/object/pitt:31735066266374</t>
  </si>
  <si>
    <t xml:space="preserve">四法西契林厚成同胞春新序治侯邑地方坐南朝北前進五柱天井左右過水第貳進五柱過水相連后進叁柱前至官衙後至河左至葉家屋右至金家屋上至椽椽磚瓦下至礫石地基地六至俱載明白其屋內樓閣地秤橫直板棚門窗戶桶衙籬井厠一切俱全今因別用將此店屋托中曲興葉慶為業三面言議本日得訖店屋價銀陸拾伍兩正外貼修理銀伍兩共成業檢兩正其銀正紋廣九釐其銀即日收足其店屋即听從葉家管業不得別生枝節言說等情吉居住或另租他人听從其便面約伍年為限俟限滿之日听成條照契面銀兩取贖葉家不得執留如不取贖仍听葉家管業不得別生枝節言說等情如有遵例投稅所需稅銀錢文贖屋之日一起認還但此屋係成父手置物業與本列房見東自水兄弟至葉子亦未曾重張曲據他人財物以及來歷不明等情如有此情係成等出頭承當不涉葉家之事兩相允憑各無翻悔今欲有憑立典契壹紙并繳陳百受斷契壹紙鄭志宏原典湊斷契壹紙並繳上手林陳朱丁莊毛六姓等契共成壹拾陸紙統付為照知契道光貳拾肆年貳月吉日立典契林厚成寶胞嫂陳氏胞弟厚祥厚祿胞姪春新在見胞婿李氏陳元海中友林道吉代筆蔣則榮大進</t>
  </si>
  <si>
    <t xml:space="preserve">31735066266374_002</t>
  </si>
  <si>
    <r>
      <rPr>
        <sz val="10"/>
        <rFont val="Noto Sans CJK SC"/>
        <family val="2"/>
      </rPr>
      <t xml:space="preserve">道光貳拾肆年</t>
    </r>
    <r>
      <rPr>
        <sz val="10"/>
        <rFont val="Arial"/>
        <family val="0"/>
        <charset val="1"/>
      </rPr>
      <t xml:space="preserve">; </t>
    </r>
    <r>
      <rPr>
        <sz val="10"/>
        <rFont val="Noto Sans CJK SC"/>
        <family val="2"/>
      </rPr>
      <t xml:space="preserve">道光貳拾伍年</t>
    </r>
  </si>
  <si>
    <t xml:space="preserve">價銀叁拾兩正</t>
  </si>
  <si>
    <t xml:space="preserve">侯邑魁輔舖</t>
  </si>
  <si>
    <t xml:space="preserve">店屋</t>
  </si>
  <si>
    <r>
      <rPr>
        <sz val="10"/>
        <rFont val="Noto Sans CJK SC"/>
        <family val="2"/>
      </rPr>
      <t xml:space="preserve">立湊斷契林厚成全胞弟厚祥祿胞姪春新承父在日手置有店屋壹間坐落侯邑魁輔舖地方於道光貳拾肆年貳月間與葉家為業其六至並銀兩俱載典契內明白今因要用中將此店屋湊斷與葉慶為業三面言議本日湊斷得店屋價銀叁拾兩正共成壹百兩正其銀正紋廣九七色其銀即日收足其虛即听葉家或拆毀起蓋或改式舊樣悉泛其便自斷之後價足心愿永斷葛籐成等不得言贖言湊言盡亦不得別生枝節等情但此屋係成父手置物業與本別房親疎伯叔兄弟姪無干亦未曾重張典掛他人財物以及來歷不明等情如有此情係成等出頭承當與葉家無涉今欲有憑立湊斷契壹紙並前手已繳原典斷契共成壹拾柒紙統付為昭國家經租南橋區人民委員會私房改道水公室土地業經依法發給執照所有權狀以備查驗利項應以計求為憑福州土地登記處印</t>
    </r>
    <r>
      <rPr>
        <sz val="10"/>
        <rFont val="Arial"/>
        <family val="0"/>
        <charset val="1"/>
      </rPr>
      <t xml:space="preserve">30</t>
    </r>
    <r>
      <rPr>
        <sz val="10"/>
        <rFont val="Noto Sans CJK SC"/>
        <family val="2"/>
      </rPr>
      <t xml:space="preserve">道光貳拾伍年法月吉日立湊斷契林厚成畫知契母郭氏胞嫂陳氏中胞弟厚祥</t>
    </r>
  </si>
  <si>
    <t xml:space="preserve">31735066266382_001</t>
  </si>
  <si>
    <t xml:space="preserve">31735066266382</t>
  </si>
  <si>
    <t xml:space="preserve">1888/1913</t>
  </si>
  <si>
    <t xml:space="preserve">陸元規</t>
  </si>
  <si>
    <t xml:space="preserve">陸元賜</t>
  </si>
  <si>
    <t xml:space="preserve">Box 2, Folder 66</t>
  </si>
  <si>
    <t xml:space="preserve">中華民國 貳年</t>
  </si>
  <si>
    <t xml:space="preserve">價銀兩中銀叁拾元</t>
  </si>
  <si>
    <t xml:space="preserve">古田縣萬丹溪裡馬墘</t>
  </si>
  <si>
    <r>
      <rPr>
        <sz val="10"/>
        <rFont val="Noto Sans CJK SC"/>
        <family val="2"/>
      </rPr>
      <t xml:space="preserve">契 按 曲 單 </t>
    </r>
    <r>
      <rPr>
        <sz val="10"/>
        <rFont val="Arial"/>
        <family val="0"/>
        <charset val="1"/>
      </rPr>
      <t xml:space="preserve">| </t>
    </r>
    <r>
      <rPr>
        <sz val="10"/>
        <rFont val="Noto Sans CJK SC"/>
        <family val="2"/>
      </rPr>
      <t xml:space="preserve">福建國稅廳籌備處</t>
    </r>
  </si>
  <si>
    <t xml:space="preserve">驗字第貳萬一千一百九十九號</t>
  </si>
  <si>
    <t xml:space="preserve">https://digital.library.pitt.edu/islandora/object/pitt:31735066266382</t>
  </si>
  <si>
    <t xml:space="preserve">契按曲單福建國稅廳籌備處給發契單事案奉財政部電行劃一契紙章程內開本章程施行以前成立之不動產舊契無論已稅契未稅契均應一律限期呈驗逾限不呈驗者於訴訟時不能作為憑據一併函知司法機關認真辦理以為匿驗者戒等因奉此當經擬定分別徵收方法已稅之舊契每張收紙價壹元未稅之舊契每產價百元收紙價壹元其光復後新契已稅者不收紙價酌定正限三個月餘限兩個月逾期呈驗者分別加徵嚴罰經已電奉財政部核准照辦並通飭遵照在案今據古田縣業戶陸元賜於清光緒廿年十月日典受陸元規建屯田式畝坐落古田縣萬丹溪裡馬墘地方東至西至北至坐向橫丈尺直丈尺中證胡振仁原價銀兩中銀叁拾元原契未稅遵章依限呈驗應納紙價壹元業已如數收訖合填契單粘連原契印給收執管業須至契單者右給業戶陸元賜准此中華民國貳年十一月日給驗字第貳萬一千一百九十九號</t>
  </si>
  <si>
    <t xml:space="preserve">31735066266382_002</t>
  </si>
  <si>
    <t xml:space="preserve">光緒拾肆年</t>
  </si>
  <si>
    <r>
      <rPr>
        <sz val="10"/>
        <rFont val="Noto Sans CJK SC"/>
        <family val="2"/>
      </rPr>
      <t xml:space="preserve">價銀叁拾陸兩</t>
    </r>
    <r>
      <rPr>
        <sz val="10"/>
        <rFont val="Arial"/>
        <family val="0"/>
        <charset val="1"/>
      </rPr>
      <t xml:space="preserve">; </t>
    </r>
    <r>
      <rPr>
        <sz val="10"/>
        <rFont val="Noto Sans CJK SC"/>
        <family val="2"/>
      </rPr>
      <t xml:space="preserve">錢捌百叁拾文</t>
    </r>
  </si>
  <si>
    <t xml:space="preserve">嵩川溪裡</t>
  </si>
  <si>
    <t xml:space="preserve">俗叫萬礮建屯</t>
  </si>
  <si>
    <t xml:space="preserve">胡振仁</t>
  </si>
  <si>
    <t xml:space="preserve">劉利輝</t>
  </si>
  <si>
    <r>
      <rPr>
        <sz val="10"/>
        <rFont val="Noto Sans CJK SC"/>
        <family val="2"/>
      </rPr>
      <t xml:space="preserve">胞叔國華</t>
    </r>
    <r>
      <rPr>
        <sz val="10"/>
        <rFont val="Arial"/>
        <family val="0"/>
        <charset val="1"/>
      </rPr>
      <t xml:space="preserve">; </t>
    </r>
    <r>
      <rPr>
        <sz val="10"/>
        <rFont val="Noto Sans CJK SC"/>
        <family val="2"/>
      </rPr>
      <t xml:space="preserve">胞叔國器</t>
    </r>
  </si>
  <si>
    <t xml:space="preserve">今領交關上項典契價銀叁拾陸兩紋廣正</t>
  </si>
  <si>
    <t xml:space="preserve">立典契陸元規于上年間父手遺置有建屯田壺號坐址嵩川溪裡地方土名俗叫萬礮建屯田登融正歷年收租營業無異今因無銀應用自情愿抽出式融遂托中向在家裡堂兄元賜兄弟邊入頭受典營業全中三面言議時得價銀叁拾陸兩紋廣正其銀立契即日是親收足訖無少分厘其田自典之後隨契即退與堂兄前去收租營業且規不敢霸阻異言妄生枝節等情中間緩受清楚並無抑勒俾算情由倘有未歷不明典卦外人財物是出頭抵當不涉堂兄之事其錢糧連年照融頂納三十都陸元規戶後至大造之年推入堂兄規內歸戶完納其年限言約五冬滿足外任從規办典契價銀贖回每兩折錢捌百叁拾文算且賜亦不得攔留兩家允愿各無反悔今欲有憑立典契書紙為照繳隨畫契叁紙共肆紙原契與別項相連難以折繳向後取出不健行用再照今領交關上項典契價銀叁拾陸兩紋廣正外中用肇資銀共伍錢紋廣正再照光緒拾肆年十一月日黃契陸元規胡在見胞叔國華丕知見胞叔國器丕中人胡振仁謹代筆劉利輝謹</t>
  </si>
  <si>
    <t xml:space="preserve">31735066266390_001</t>
  </si>
  <si>
    <t xml:space="preserve">31735066266390</t>
  </si>
  <si>
    <t xml:space="preserve">連江</t>
  </si>
  <si>
    <t xml:space="preserve">福建省連江縣</t>
  </si>
  <si>
    <t xml:space="preserve">陳朝朋</t>
  </si>
  <si>
    <t xml:space="preserve">Box 2, Folder 102</t>
  </si>
  <si>
    <t xml:space="preserve">連澗管竹</t>
  </si>
  <si>
    <t xml:space="preserve">陳端率議定價銀</t>
  </si>
  <si>
    <r>
      <rPr>
        <sz val="10"/>
        <rFont val="Noto Sans CJK SC"/>
        <family val="2"/>
      </rPr>
      <t xml:space="preserve">福建國稅廳籌備處 </t>
    </r>
    <r>
      <rPr>
        <sz val="10"/>
        <rFont val="Arial"/>
        <family val="0"/>
        <charset val="1"/>
      </rPr>
      <t xml:space="preserve">| </t>
    </r>
    <r>
      <rPr>
        <sz val="10"/>
        <rFont val="Noto Sans CJK SC"/>
        <family val="2"/>
      </rPr>
      <t xml:space="preserve">契 單</t>
    </r>
  </si>
  <si>
    <t xml:space="preserve">稅字第壹千於陸號</t>
  </si>
  <si>
    <t xml:space="preserve">https://digital.library.pitt.edu/islandora/object/pitt:31735066266390</t>
  </si>
  <si>
    <t xml:space="preserve">福建國稅廳籌備處為給發契單事案奉財政部電開稅契法不經國會議決以前自應暫照前清章程辦理匿報及短報者如何懲罰偏僻鄉野如何進行以期普及均應悉心籌畫積極進行既經定期實行以後如執有契據之人隱匿不報逾期之後不給有民國新契者遇訴訟不足為據一併函知司法機關認真辦理等因奉此當以前清稅率過重不易徵收而罰則既輕又未嘗實行致多匿稅短稅之弊茲擬輕稅重罰方法賣契照產價徵稅百分之典契照產價徵稅百分之如逾定期不稅一經查出或被告發罰繳產價八成分別充公充賞其短價投稅者亦照所短之數罰繳一成或照契價收買入官以示懲儆經已電奉財政部核准照辦並通飭遵照在案今據日由受陳閔保田坐落連澗管竹地方東至南至西至北至小向橫丈尺直丈尺邀同中證陳端率議定價銀拾元依限投稅應納稅銀拾元五角業已如數收訖合填契單粘連原契印給收執管業須至契單者右給業戶陳朝朋准此排契單中華民國廿年八月日給稅字第壹千於陸號書書書書書</t>
  </si>
  <si>
    <t xml:space="preserve">31735066266408_001</t>
  </si>
  <si>
    <t xml:space="preserve">31735066266408</t>
  </si>
  <si>
    <t xml:space="preserve">陳行典</t>
  </si>
  <si>
    <t xml:space="preserve">Box 1, Folder 27</t>
  </si>
  <si>
    <r>
      <rPr>
        <sz val="10"/>
        <rFont val="Noto Sans CJK SC"/>
        <family val="2"/>
      </rPr>
      <t xml:space="preserve">道光二十八年</t>
    </r>
    <r>
      <rPr>
        <sz val="10"/>
        <rFont val="Arial"/>
        <family val="0"/>
        <charset val="1"/>
      </rPr>
      <t xml:space="preserve">; </t>
    </r>
    <r>
      <rPr>
        <sz val="10"/>
        <rFont val="Noto Sans CJK SC"/>
        <family val="2"/>
      </rPr>
      <t xml:space="preserve">道光拾玖年</t>
    </r>
  </si>
  <si>
    <r>
      <rPr>
        <sz val="10"/>
        <rFont val="Noto Sans CJK SC"/>
        <family val="2"/>
      </rPr>
      <t xml:space="preserve">道光二十八年分 </t>
    </r>
    <r>
      <rPr>
        <sz val="10"/>
        <rFont val="Arial"/>
        <family val="0"/>
        <charset val="1"/>
      </rPr>
      <t xml:space="preserve">| </t>
    </r>
    <r>
      <rPr>
        <sz val="10"/>
        <rFont val="Noto Sans CJK SC"/>
        <family val="2"/>
      </rPr>
      <t xml:space="preserve">正堂徐查禁鴉片派保門牌</t>
    </r>
  </si>
  <si>
    <t xml:space="preserve">https://digital.library.pitt.edu/islandora/object/pitt:31735066266408</t>
  </si>
  <si>
    <t xml:space="preserve">道光二十八年分正堂徐查禁鴉片派保門牌閩清縣十七都圖家長陳行勇年六十八歲以耕田為業子立崇十陳五燦等孫邦棟邦煜邦燦孫元具家第姪立訓孫邦儀孫天佑附居保聯族正陳孝朗副黨正余邦幹副黃金波現奉新例除通夷興販開銷者分別開禁斬梟絞決外若謹止吸食以道光拾玖年陸月初二奉到部文之日起予限壹年陸個月限滿不知悔改無論何項人等一概擬絞監候其壹年陸個月限內犯案者杖壹百流貳千里不能供出販賣之人加壹等杖壹百流貳千伍百里如有事未發而自首者照犯罪自首律准其免罪並飭知照如遇遷移將此牌携交遷居處所保正稟請編戶照填換給</t>
  </si>
  <si>
    <t xml:space="preserve">31735066266416_001</t>
  </si>
  <si>
    <t xml:space="preserve">31735066266416</t>
  </si>
  <si>
    <t xml:space="preserve">陳必清</t>
  </si>
  <si>
    <t xml:space="preserve">陳必泉</t>
  </si>
  <si>
    <t xml:space="preserve">Box 2, Folder 68</t>
  </si>
  <si>
    <t xml:space="preserve">https://digital.library.pitt.edu/islandora/object/pitt:31735066266416</t>
  </si>
  <si>
    <r>
      <rPr>
        <sz val="10"/>
        <rFont val="Noto Sans CJK SC"/>
        <family val="2"/>
      </rPr>
      <t xml:space="preserve">契尾福建督憲朱常毅</t>
    </r>
    <r>
      <rPr>
        <sz val="10"/>
        <rFont val="Arial"/>
        <family val="0"/>
        <charset val="1"/>
      </rPr>
      <t xml:space="preserve">...</t>
    </r>
    <r>
      <rPr>
        <sz val="10"/>
        <rFont val="Noto Sans CJK SC"/>
        <family val="2"/>
      </rPr>
      <t xml:space="preserve">福建督憲朱常毅</t>
    </r>
    <r>
      <rPr>
        <sz val="10"/>
        <rFont val="Arial"/>
        <family val="0"/>
        <charset val="1"/>
      </rPr>
      <t xml:space="preserve">...</t>
    </r>
    <r>
      <rPr>
        <sz val="10"/>
        <rFont val="Noto Sans CJK SC"/>
        <family val="2"/>
      </rPr>
      <t xml:space="preserve">諭旨</t>
    </r>
    <r>
      <rPr>
        <sz val="10"/>
        <rFont val="Arial"/>
        <family val="0"/>
        <charset val="1"/>
      </rPr>
      <t xml:space="preserve">...</t>
    </r>
    <r>
      <rPr>
        <sz val="10"/>
        <rFont val="Noto Sans CJK SC"/>
        <family val="2"/>
      </rPr>
      <t xml:space="preserve">欽此</t>
    </r>
    <r>
      <rPr>
        <sz val="10"/>
        <rFont val="Arial"/>
        <family val="0"/>
        <charset val="1"/>
      </rPr>
      <t xml:space="preserve">...</t>
    </r>
    <r>
      <rPr>
        <sz val="10"/>
        <rFont val="Noto Sans CJK SC"/>
        <family val="2"/>
      </rPr>
      <t xml:space="preserve">臣等查</t>
    </r>
    <r>
      <rPr>
        <sz val="10"/>
        <rFont val="Arial"/>
        <family val="0"/>
        <charset val="1"/>
      </rPr>
      <t xml:space="preserve">...</t>
    </r>
    <r>
      <rPr>
        <sz val="10"/>
        <rFont val="Noto Sans CJK SC"/>
        <family val="2"/>
      </rPr>
      <t xml:space="preserve">俞允後</t>
    </r>
    <r>
      <rPr>
        <sz val="10"/>
        <rFont val="Arial"/>
        <family val="0"/>
        <charset val="1"/>
      </rPr>
      <t xml:space="preserve">...</t>
    </r>
    <r>
      <rPr>
        <sz val="10"/>
        <rFont val="Noto Sans CJK SC"/>
        <family val="2"/>
      </rPr>
      <t xml:space="preserve">陳必清屋</t>
    </r>
    <r>
      <rPr>
        <sz val="10"/>
        <rFont val="Arial"/>
        <family val="0"/>
        <charset val="1"/>
      </rPr>
      <t xml:space="preserve">...</t>
    </r>
    <r>
      <rPr>
        <sz val="10"/>
        <rFont val="Noto Sans CJK SC"/>
        <family val="2"/>
      </rPr>
      <t xml:space="preserve">光緒拾肆年拾壹月光緒拾肆年拾壹月光緒拾肆年拾壹月</t>
    </r>
  </si>
  <si>
    <t xml:space="preserve">31735066266424_001</t>
  </si>
  <si>
    <t xml:space="preserve">31735066266424</t>
  </si>
  <si>
    <t xml:space="preserve">1873</t>
  </si>
  <si>
    <t xml:space="preserve">陳</t>
  </si>
  <si>
    <t xml:space="preserve">Box 2, Folder 53</t>
  </si>
  <si>
    <t xml:space="preserve">https://digital.library.pitt.edu/islandora/object/pitt:31735066266424</t>
  </si>
  <si>
    <t xml:space="preserve">尾契福建等處布政使司為遵上諭奏請嚴辦契尾等因一摺本年十二月二十二日奉旨欽此查福建等處布政使司為遵上諭奏請嚴辦契尾等因一摺本年十二月二十二日奉旨欽此</t>
  </si>
  <si>
    <t xml:space="preserve">31735066266432_001</t>
  </si>
  <si>
    <t xml:space="preserve">31735066266432</t>
  </si>
  <si>
    <t xml:space="preserve">1946</t>
  </si>
  <si>
    <t xml:space="preserve">黃克動</t>
  </si>
  <si>
    <t xml:space="preserve">Box 3, Folder 170</t>
  </si>
  <si>
    <r>
      <rPr>
        <sz val="10"/>
        <rFont val="Noto Sans CJK SC"/>
        <family val="2"/>
      </rPr>
      <t xml:space="preserve">鄉鎮辦事處 </t>
    </r>
    <r>
      <rPr>
        <sz val="10"/>
        <rFont val="Arial"/>
        <family val="0"/>
        <charset val="1"/>
      </rPr>
      <t xml:space="preserve">| </t>
    </r>
    <r>
      <rPr>
        <sz val="10"/>
        <rFont val="Noto Sans CJK SC"/>
        <family val="2"/>
      </rPr>
      <t xml:space="preserve">鄉鎮辦事處 </t>
    </r>
    <r>
      <rPr>
        <sz val="10"/>
        <rFont val="Arial"/>
        <family val="0"/>
        <charset val="1"/>
      </rPr>
      <t xml:space="preserve">| </t>
    </r>
    <r>
      <rPr>
        <sz val="10"/>
        <rFont val="Noto Sans CJK SC"/>
        <family val="2"/>
      </rPr>
      <t xml:space="preserve">字第 </t>
    </r>
    <r>
      <rPr>
        <sz val="10"/>
        <rFont val="Arial"/>
        <family val="0"/>
        <charset val="1"/>
      </rPr>
      <t xml:space="preserve">| 1239 | </t>
    </r>
    <r>
      <rPr>
        <sz val="10"/>
        <rFont val="Noto Sans CJK SC"/>
        <family val="2"/>
      </rPr>
      <t xml:space="preserve">號 </t>
    </r>
    <r>
      <rPr>
        <sz val="10"/>
        <rFont val="Arial"/>
        <family val="0"/>
        <charset val="1"/>
      </rPr>
      <t xml:space="preserve">| </t>
    </r>
    <r>
      <rPr>
        <sz val="10"/>
        <rFont val="Noto Sans CJK SC"/>
        <family val="2"/>
      </rPr>
      <t xml:space="preserve">字第 </t>
    </r>
    <r>
      <rPr>
        <sz val="10"/>
        <rFont val="Arial"/>
        <family val="0"/>
        <charset val="1"/>
      </rPr>
      <t xml:space="preserve">| </t>
    </r>
    <r>
      <rPr>
        <sz val="10"/>
        <rFont val="Noto Sans CJK SC"/>
        <family val="2"/>
      </rPr>
      <t xml:space="preserve">號 </t>
    </r>
    <r>
      <rPr>
        <sz val="10"/>
        <rFont val="Arial"/>
        <family val="0"/>
        <charset val="1"/>
      </rPr>
      <t xml:space="preserve">| </t>
    </r>
    <r>
      <rPr>
        <sz val="10"/>
        <rFont val="Noto Sans CJK SC"/>
        <family val="2"/>
      </rPr>
      <t xml:space="preserve">森林 </t>
    </r>
    <r>
      <rPr>
        <sz val="10"/>
        <rFont val="Arial"/>
        <family val="0"/>
        <charset val="1"/>
      </rPr>
      <t xml:space="preserve">| </t>
    </r>
    <r>
      <rPr>
        <sz val="10"/>
        <rFont val="Noto Sans CJK SC"/>
        <family val="2"/>
      </rPr>
      <t xml:space="preserve">森林 </t>
    </r>
    <r>
      <rPr>
        <sz val="10"/>
        <rFont val="Arial"/>
        <family val="0"/>
        <charset val="1"/>
      </rPr>
      <t xml:space="preserve">| </t>
    </r>
    <r>
      <rPr>
        <sz val="10"/>
        <rFont val="Noto Sans CJK SC"/>
        <family val="2"/>
      </rPr>
      <t xml:space="preserve">處理管食糧賦田 </t>
    </r>
    <r>
      <rPr>
        <sz val="10"/>
        <rFont val="Arial"/>
        <family val="0"/>
        <charset val="1"/>
      </rPr>
      <t xml:space="preserve">| </t>
    </r>
    <r>
      <rPr>
        <sz val="10"/>
        <rFont val="Noto Sans CJK SC"/>
        <family val="2"/>
      </rPr>
      <t xml:space="preserve">處理管食糧賦田 </t>
    </r>
    <r>
      <rPr>
        <sz val="10"/>
        <rFont val="Arial"/>
        <family val="0"/>
        <charset val="1"/>
      </rPr>
      <t xml:space="preserve">| </t>
    </r>
    <r>
      <rPr>
        <sz val="10"/>
        <rFont val="Noto Sans CJK SC"/>
        <family val="2"/>
      </rPr>
      <t xml:space="preserve">據收 </t>
    </r>
    <r>
      <rPr>
        <sz val="10"/>
        <rFont val="Arial"/>
        <family val="0"/>
        <charset val="1"/>
      </rPr>
      <t xml:space="preserve">| </t>
    </r>
    <r>
      <rPr>
        <sz val="10"/>
        <rFont val="Noto Sans CJK SC"/>
        <family val="2"/>
      </rPr>
      <t xml:space="preserve">證憑賦田納抵</t>
    </r>
  </si>
  <si>
    <r>
      <rPr>
        <sz val="10"/>
        <rFont val="Noto Sans CJK SC"/>
        <family val="2"/>
      </rPr>
      <t xml:space="preserve">字第 </t>
    </r>
    <r>
      <rPr>
        <sz val="10"/>
        <rFont val="Arial"/>
        <family val="0"/>
        <charset val="1"/>
      </rPr>
      <t xml:space="preserve">1239 </t>
    </r>
    <r>
      <rPr>
        <sz val="10"/>
        <rFont val="Noto Sans CJK SC"/>
        <family val="2"/>
      </rPr>
      <t xml:space="preserve">號</t>
    </r>
  </si>
  <si>
    <t xml:space="preserve">https://digital.library.pitt.edu/islandora/object/pitt:31735066266432</t>
  </si>
  <si>
    <r>
      <rPr>
        <sz val="10"/>
        <rFont val="Noto Sans CJK SC"/>
        <family val="2"/>
      </rPr>
      <t xml:space="preserve">鄉鎮辦事處鄉鎮辦事處字第</t>
    </r>
    <r>
      <rPr>
        <sz val="10"/>
        <rFont val="Arial"/>
        <family val="0"/>
        <charset val="1"/>
      </rPr>
      <t xml:space="preserve">1239</t>
    </r>
    <r>
      <rPr>
        <sz val="10"/>
        <rFont val="Noto Sans CJK SC"/>
        <family val="2"/>
      </rPr>
      <t xml:space="preserve">號字第號森林森林處理管食糧賦田處理管食糧賦田期上年六十三征併期下年五十三食糧借征賦隨度年五十三據收食糧借征及賦田收征谷積年度五十三募帶營證憑賦田納抵</t>
    </r>
  </si>
  <si>
    <t xml:space="preserve">31735066266440_001</t>
  </si>
  <si>
    <t xml:space="preserve">31735066266440</t>
  </si>
  <si>
    <t xml:space="preserve">1827/1850</t>
  </si>
  <si>
    <t xml:space="preserve">連城</t>
  </si>
  <si>
    <t xml:space="preserve">福建省連城縣</t>
  </si>
  <si>
    <t xml:space="preserve">慎方</t>
  </si>
  <si>
    <t xml:space="preserve">Box 4, Folder 212</t>
  </si>
  <si>
    <t xml:space="preserve">https://digital.library.pitt.edu/islandora/object/pitt:31735066266440</t>
  </si>
  <si>
    <r>
      <rPr>
        <sz val="10"/>
        <rFont val="Noto Sans CJK SC"/>
        <family val="2"/>
      </rPr>
      <t xml:space="preserve">勅福建等處承宣布政使司</t>
    </r>
    <r>
      <rPr>
        <sz val="10"/>
        <rFont val="Arial"/>
        <family val="0"/>
        <charset val="1"/>
      </rPr>
      <t xml:space="preserve">...</t>
    </r>
    <r>
      <rPr>
        <sz val="10"/>
        <rFont val="Noto Sans CJK SC"/>
        <family val="2"/>
      </rPr>
      <t xml:space="preserve">旨欽此欽此相應抄錄原案并頒就格式行文福建撫鈐遵辦理可也前制單一紙格式一張內開</t>
    </r>
    <r>
      <rPr>
        <sz val="10"/>
        <rFont val="Arial"/>
        <family val="0"/>
        <charset val="1"/>
      </rPr>
      <t xml:space="preserve">...</t>
    </r>
  </si>
  <si>
    <t xml:space="preserve">31735066266457_001</t>
  </si>
  <si>
    <t xml:space="preserve">31735066266457</t>
  </si>
  <si>
    <t xml:space="preserve">1841</t>
  </si>
  <si>
    <r>
      <rPr>
        <sz val="10"/>
        <rFont val="Noto Sans CJK SC"/>
        <family val="2"/>
      </rPr>
      <t xml:space="preserve">林忠 </t>
    </r>
    <r>
      <rPr>
        <sz val="10"/>
        <rFont val="Arial"/>
        <family val="0"/>
        <charset val="1"/>
      </rPr>
      <t xml:space="preserve">| </t>
    </r>
    <r>
      <rPr>
        <sz val="10"/>
        <rFont val="Noto Sans CJK SC"/>
        <family val="2"/>
      </rPr>
      <t xml:space="preserve">林榮</t>
    </r>
  </si>
  <si>
    <t xml:space="preserve">賴榮松</t>
  </si>
  <si>
    <t xml:space="preserve">Box 1, Folder 29</t>
  </si>
  <si>
    <t xml:space="preserve">立當季字</t>
  </si>
  <si>
    <t xml:space="preserve">道光貳拾壹年</t>
  </si>
  <si>
    <t xml:space="preserve">林忠榮</t>
  </si>
  <si>
    <t xml:space="preserve">佛銀</t>
  </si>
  <si>
    <t xml:space="preserve">見人賴祥福鑒</t>
  </si>
  <si>
    <t xml:space="preserve">https://digital.library.pitt.edu/islandora/object/pitt:31735066266457</t>
  </si>
  <si>
    <t xml:space="preserve">立當季字人林忠榮兄弟今因吉用自情愿將到自已續買賴紹福名下關帝季式大股前來在于賴榮松先生手內當過佛銀陸大圓正共重收當日三向言定每員每月行息式分算其銀的限對期之日併本息一足兌還不敢欠少分厘如違任憑銀主將季起取改名飲酒分承有當人不得異言阻當等情今欵有憑立當季為照一紙當日付買季契二紙在場見人賴祥福鑒道光貳拾壹年辛丑二月十六日立當季字人林忠榮賴榮字</t>
  </si>
  <si>
    <t xml:space="preserve">31735066266465_001</t>
  </si>
  <si>
    <t xml:space="preserve">31735066266465</t>
  </si>
  <si>
    <t xml:space="preserve">謝</t>
  </si>
  <si>
    <t xml:space="preserve">Box 4, Folder 213</t>
  </si>
  <si>
    <t xml:space="preserve">嘉慶二年</t>
  </si>
  <si>
    <t xml:space="preserve">吳秉鑑</t>
  </si>
  <si>
    <r>
      <rPr>
        <sz val="10"/>
        <rFont val="Noto Sans CJK SC"/>
        <family val="2"/>
      </rPr>
      <t xml:space="preserve">價錢叁拾貳千文</t>
    </r>
    <r>
      <rPr>
        <sz val="10"/>
        <rFont val="Arial"/>
        <family val="0"/>
        <charset val="1"/>
      </rPr>
      <t xml:space="preserve">; </t>
    </r>
    <r>
      <rPr>
        <sz val="10"/>
        <rFont val="Noto Sans CJK SC"/>
        <family val="2"/>
      </rPr>
      <t xml:space="preserve">錢叁拾千文</t>
    </r>
    <r>
      <rPr>
        <sz val="10"/>
        <rFont val="Arial"/>
        <family val="0"/>
        <charset val="1"/>
      </rPr>
      <t xml:space="preserve">; </t>
    </r>
    <r>
      <rPr>
        <sz val="10"/>
        <rFont val="Noto Sans CJK SC"/>
        <family val="2"/>
      </rPr>
      <t xml:space="preserve">錢貳千文</t>
    </r>
  </si>
  <si>
    <t xml:space="preserve">閩邑錦江鋪灰爐頭</t>
  </si>
  <si>
    <t xml:space="preserve">母王氏</t>
  </si>
  <si>
    <t xml:space="preserve">https://digital.library.pitt.edu/islandora/object/pitt:31735066266465</t>
  </si>
  <si>
    <t xml:space="preserve">立轉典契吳秉鑑全母王氏胞弟秉鈞於嘉慶二年間承父在日用價錢叁拾貳千文典得鄭家厝屋壹櫚五柱坐產閩邑錦江鋪灰爐頭地方六至俱載在原契內明白今因乏用托中引到謝慶轉典出原典契面錢叁拾千文外貼修理錢貳千文共成叁拾貳千文其錢即日收足其屋即聽從謝家前去掌業收租所有原主年限契載已滿倘來取贖謝家不得執留若未贖回鑑展限制年俟限滿之日聽鑑照契面錢文贖回謝家不得別生枝節倘有風水不虞聽從謝家照式起蓋再限三年以酬土木之需此屋係父之遺物業與房分伯叔兄弟侄無干秉曾重張典掛他人財物如有未歷不明等情系鑑出頭抵當不涉謝家之事兩相應各無反悔今欲有憑立轉典契壹紙併原典契壹紙共貳紙統付為憑如有過限投稅錢文若干登贖屋之日起認還不得言說標以爲憑</t>
  </si>
  <si>
    <t xml:space="preserve">31735066266473_001</t>
  </si>
  <si>
    <t xml:space="preserve">31735066266473</t>
  </si>
  <si>
    <t xml:space="preserve">1868/1916</t>
  </si>
  <si>
    <t xml:space="preserve">林邦端</t>
  </si>
  <si>
    <r>
      <rPr>
        <sz val="10"/>
        <rFont val="Noto Sans CJK SC"/>
        <family val="2"/>
      </rPr>
      <t xml:space="preserve">程利欲 </t>
    </r>
    <r>
      <rPr>
        <sz val="10"/>
        <rFont val="Arial"/>
        <family val="0"/>
        <charset val="1"/>
      </rPr>
      <t xml:space="preserve">| </t>
    </r>
    <r>
      <rPr>
        <sz val="10"/>
        <rFont val="Noto Sans CJK SC"/>
        <family val="2"/>
      </rPr>
      <t xml:space="preserve">程利霖</t>
    </r>
  </si>
  <si>
    <t xml:space="preserve">Box 1, Folder 44</t>
  </si>
  <si>
    <t xml:space="preserve">同治柒年</t>
  </si>
  <si>
    <t xml:space="preserve">程利啟</t>
  </si>
  <si>
    <r>
      <rPr>
        <sz val="10"/>
        <rFont val="Noto Sans CJK SC"/>
        <family val="2"/>
      </rPr>
      <t xml:space="preserve">價銀伍拾陸兩正</t>
    </r>
    <r>
      <rPr>
        <sz val="10"/>
        <rFont val="Arial"/>
        <family val="0"/>
        <charset val="1"/>
      </rPr>
      <t xml:space="preserve">; </t>
    </r>
    <r>
      <rPr>
        <sz val="10"/>
        <rFont val="Noto Sans CJK SC"/>
        <family val="2"/>
      </rPr>
      <t xml:space="preserve">銀折銅錢捌百伍拾文</t>
    </r>
  </si>
  <si>
    <t xml:space="preserve">三十五都</t>
  </si>
  <si>
    <t xml:space="preserve">和尚灣樓裡壠</t>
  </si>
  <si>
    <t xml:space="preserve">堂弟邦勳</t>
  </si>
  <si>
    <t xml:space="preserve">族侄巨盛</t>
  </si>
  <si>
    <t xml:space="preserve">肥侄巨桂</t>
  </si>
  <si>
    <t xml:space="preserve">https://digital.library.pitt.edu/islandora/object/pitt:31735066266473</t>
  </si>
  <si>
    <t xml:space="preserve">立典契林邦端自己闔分份下原祖手置買斷得黃家有根面全屯田委辦坐產三十五都土名和尚灣樓裡壠地方丈計田捌分零又買斷得有根面全屋田伍分零共四壠地方上下墩共田委辦分份零歷掌耕作完課無異今因乏用托中將此上下墩根面全之田典與程利啟處為業三面言議典出價銀伍拾陸兩正紋廣其銀即日收足其上下墩之田由從銀主前去翻犁耕作召佃收租了納糧色其糧色立在世伍都林可理名下不時听款照縣例科派過甲入戶面約伍年為限事至限滿之日听端備價照契面銀兩每兩銀折銅錢捌百伍拾文算依期取贖款不得執番此上下墩田係是端自己闔分份下物業與房內伯叔兄弟侄一概無干並未曾重典他人財物如有來歷不明等情係端出頭承當不涉啟之事兩相允應各勿反悔今款有憑立典契委辦併繳黃有美賣斷契委辦又林欽密退還字委辦又林崇和賣斷契委辦又林可翹典畫斷契伍份共成玖份付執為照知契母王氏同治柒年拾玖月日立典契林邦端在見肥侄巨桂中見堂弟邦勳代字族侄巨盛大龍</t>
  </si>
  <si>
    <t xml:space="preserve">31735066266473_002</t>
  </si>
  <si>
    <t xml:space="preserve">立畫新契</t>
  </si>
  <si>
    <r>
      <rPr>
        <sz val="10"/>
        <rFont val="Noto Sans CJK SC"/>
        <family val="2"/>
      </rPr>
      <t xml:space="preserve">同治柒年</t>
    </r>
    <r>
      <rPr>
        <sz val="10"/>
        <rFont val="Arial"/>
        <family val="0"/>
        <charset val="1"/>
      </rPr>
      <t xml:space="preserve">; </t>
    </r>
    <r>
      <rPr>
        <sz val="10"/>
        <rFont val="Noto Sans CJK SC"/>
        <family val="2"/>
      </rPr>
      <t xml:space="preserve">同治拾玖年</t>
    </r>
  </si>
  <si>
    <t xml:space="preserve">程</t>
  </si>
  <si>
    <t xml:space="preserve">叁拾伍都</t>
  </si>
  <si>
    <t xml:space="preserve">呼尚灣棲裡籠廖四墘</t>
  </si>
  <si>
    <t xml:space="preserve">族侄興梅</t>
  </si>
  <si>
    <t xml:space="preserve">胞侄巨桂</t>
  </si>
  <si>
    <t xml:space="preserve">世王氏</t>
  </si>
  <si>
    <t xml:space="preserve">立畫新契林邦端自己閱分份下原祖買新得黃家根面全瓦田教號坐產叁拾伍都土名呼尚灣棲裡籠廖四墘地方于同治柒年閏己典與程處為業其地畝畝教糧色銀兩名表歷情由俱載在原典契內明白今因無錢乏用自願托中將此畝畝叁分零之田畫新興程利霖啟處永遠為業三面言議畫新出滿價錢式什文正其錢即日隨契收足其田听程仍舊掌管其田邊田墘亦听程開掘成田諸凡造作听從之便自畫新之後價足心愿永新萬籐向後端之子孫弟侄永不得言畫言贖並不敢別生枝節之理永為己業兩家允愿若勿反悔今啟有憑立畫新契書紙付執永遠為照知契世王氏同治拾玖年拾玖月日立畫新契林邦端在見胞侄巨桂巨蘭中人族侄興梅永遠為業自筆</t>
  </si>
  <si>
    <t xml:space="preserve">31735066266473_003</t>
  </si>
  <si>
    <r>
      <rPr>
        <sz val="10"/>
        <rFont val="Noto Sans CJK SC"/>
        <family val="2"/>
      </rPr>
      <t xml:space="preserve">同治十二年</t>
    </r>
    <r>
      <rPr>
        <sz val="10"/>
        <rFont val="Arial"/>
        <family val="0"/>
        <charset val="1"/>
      </rPr>
      <t xml:space="preserve">; </t>
    </r>
    <r>
      <rPr>
        <sz val="10"/>
        <rFont val="Noto Sans CJK SC"/>
        <family val="2"/>
      </rPr>
      <t xml:space="preserve">中華民國 五年</t>
    </r>
  </si>
  <si>
    <t xml:space="preserve">價銀肆拾玖元</t>
  </si>
  <si>
    <t xml:space="preserve">閩侯縣呼尚灣</t>
  </si>
  <si>
    <t xml:space="preserve">林興梅議定價銀肆</t>
  </si>
  <si>
    <t xml:space="preserve">程利</t>
  </si>
  <si>
    <t xml:space="preserve">稅字第一萬一千一百九號</t>
  </si>
  <si>
    <t xml:space="preserve">閩省稅務局福建財政廳為賣斷契單給發契單事案查接管國稅廳籌備處卷內奉財政部飭開契稅條例於一月十一日經大總統公布並由本部批照本條例第十一條之規定訂定契稅條例施行細則於一月二十九日以部令公布在案查契稅條例第一條第二項前項契約用紙由財政部定式頒行等語除契稅條例第二條所規定之特別印花由部製備另行頒發外隨飭發去契稅條例暨契稅條例施行細則並契紙及各種收據清冊格式應即照式先行製備該處長遵照辦理可也等因奉此查契稅條例施行細則第二十條本條例公布後各徵稅官署未奉到部頒契紙特別印花出示曉諭以前所有田房稅契應仍照舊章辦理等語今據閩侯縣業戶程利敬於同治十二年十二月日買受邦端田地壹畝叁份坐落閩侯縣呼尚灣地方東至西至北至坐向橫丈尺直丈業已尺邊同中證林興梅議定價銀肆拾玖元依限投稅應納稅銀貳元如數收訖合填契單粘連原契印給收執管業須至契單者右給業戶程利敬准此中華民國五年十二月十五註冊李昭驗藥爐日給稅字第一萬一千一百九號周美兌字周美兌字周美兌字周美兌字</t>
  </si>
  <si>
    <t xml:space="preserve">31735066266481_001</t>
  </si>
  <si>
    <t xml:space="preserve">31735066266481</t>
  </si>
  <si>
    <t xml:space="preserve">Box 3, Folder 168</t>
  </si>
  <si>
    <t xml:space="preserve">中華民國  年</t>
  </si>
  <si>
    <t xml:space="preserve">https://digital.library.pitt.edu/islandora/object/pitt:31735066266481</t>
  </si>
  <si>
    <r>
      <rPr>
        <sz val="10"/>
        <rFont val="Arial"/>
        <family val="0"/>
        <charset val="1"/>
      </rPr>
      <t xml:space="preserve">000648</t>
    </r>
    <r>
      <rPr>
        <sz val="10"/>
        <rFont val="Noto Sans CJK SC"/>
        <family val="2"/>
      </rPr>
      <t xml:space="preserve">鄉鎮辦事處號鄉鎮辦事處號字第字第處理管食糧賦田森林處理管食糧賦田森林期上年五十三征併期下年四十三食糧借征賦隨度年四十三據收食糧借徵及賦田收征穀積度年四十三募帶豐證憑賦田納抵中華民國年月日代理人業戶總額本年應納賦額田目徵實帶徵及級公糧帶公糧谷標準農基及縣級林及件姓名住址姓名住址伍保甲伍保甲伍保伍保伍保伍保伍保伍保伍保伍保伍保伍保伍保伍保業戶姓名住址借抵注意事項伍保甲伍保甲抵賦後由稽征員將本證收回彙送主管機關核對抵額田實收部份農基蕩折法幣部份實應繳實關應減應計合積征征伍保伍保伍保伍保伍保伍保伍保伍保伍保伍保伍保伍保伍保伍保伍保伍保伍保伍保伍保伍保伍保伍保伍保鄉鎮辦事處主任鄉鎮辦事處主任鄉鎮辦事處主任伍保伍保伍保執收戶業結款後種收於聯此騰字</t>
    </r>
    <r>
      <rPr>
        <sz val="10"/>
        <rFont val="Arial"/>
        <family val="0"/>
        <charset val="1"/>
      </rPr>
      <t xml:space="preserve">041404</t>
    </r>
    <r>
      <rPr>
        <sz val="10"/>
        <rFont val="Noto Sans CJK SC"/>
        <family val="2"/>
      </rPr>
      <t xml:space="preserve">執收主業給執據收同路聯此騰字</t>
    </r>
    <r>
      <rPr>
        <sz val="10"/>
        <rFont val="Arial"/>
        <family val="0"/>
        <charset val="1"/>
      </rPr>
      <t xml:space="preserve">041404</t>
    </r>
  </si>
  <si>
    <t xml:space="preserve">31735066266499_001</t>
  </si>
  <si>
    <t xml:space="preserve">31735066266499</t>
  </si>
  <si>
    <t xml:space="preserve">Box 4, Folder 171</t>
  </si>
  <si>
    <r>
      <rPr>
        <sz val="10"/>
        <rFont val="Noto Sans CJK SC"/>
        <family val="2"/>
      </rPr>
      <t xml:space="preserve">鄉鎮辦事處 </t>
    </r>
    <r>
      <rPr>
        <sz val="10"/>
        <rFont val="Arial"/>
        <family val="0"/>
        <charset val="1"/>
      </rPr>
      <t xml:space="preserve">| </t>
    </r>
    <r>
      <rPr>
        <sz val="10"/>
        <rFont val="Noto Sans CJK SC"/>
        <family val="2"/>
      </rPr>
      <t xml:space="preserve">字第</t>
    </r>
  </si>
  <si>
    <t xml:space="preserve">https://digital.library.pitt.edu/islandora/object/pitt:31735066266499</t>
  </si>
  <si>
    <r>
      <rPr>
        <sz val="10"/>
        <rFont val="Noto Sans CJK SC"/>
        <family val="2"/>
      </rPr>
      <t xml:space="preserve">鄉鎮辦事處字第</t>
    </r>
    <r>
      <rPr>
        <sz val="10"/>
        <rFont val="Arial"/>
        <family val="0"/>
        <charset val="1"/>
      </rPr>
      <t xml:space="preserve">1279</t>
    </r>
    <r>
      <rPr>
        <sz val="10"/>
        <rFont val="Noto Sans CJK SC"/>
        <family val="2"/>
      </rPr>
      <t xml:space="preserve">處理管食糧賦田期上年六十三征併期下年五十三單知通谷積度年五十三征帶質食糧借征及賦田收征號牌第號項事意注田賦原飲代戶地地額額總總人姓姓姓一本年田賦定於月清逾限一個月完納者照定章處分</t>
    </r>
    <r>
      <rPr>
        <sz val="10"/>
        <rFont val="Arial"/>
        <family val="0"/>
        <charset val="1"/>
      </rPr>
      <t xml:space="preserve">(</t>
    </r>
    <r>
      <rPr>
        <sz val="10"/>
        <rFont val="Noto Sans CJK SC"/>
        <family val="2"/>
      </rPr>
      <t xml:space="preserve">二</t>
    </r>
    <r>
      <rPr>
        <sz val="10"/>
        <rFont val="Arial"/>
        <family val="0"/>
        <charset val="1"/>
      </rPr>
      <t xml:space="preserve">)</t>
    </r>
    <r>
      <rPr>
        <sz val="10"/>
        <rFont val="Noto Sans CJK SC"/>
        <family val="2"/>
      </rPr>
      <t xml:space="preserve">本通知單為完納之根田田田田田田黃生黃生黃生黃生黃生黃生二據業戶應受保單不取分文如有數字應改情事業戶應於納稅前田田田田田田黃生黃生黃生黃生黃生黃生三據業戶應受保單不取分文如有數字應改情事業戶應於納稅前田田田田田田黃生黃生黃生黃生黃生黃生四據業戶應受保單不取分文如有數字應改情事業戶應於納稅前田田田田田田黃生黃生黃生黃生黃生黃生份法幣折征湯集省縣公糧征實部應加實收田實實實應繳數萬萬萬萬萬萬石石石石石石萬千千千千千千斗斗斗斗斗斗百百百百百百百升升升升升升十十十十十十十合合合合合合元元元元元元元兩兩兩兩兩兩證憑繳稅收証作即後納繳戶據戶糧發數月半前証開於聯此致字</t>
    </r>
    <r>
      <rPr>
        <sz val="10"/>
        <rFont val="Arial"/>
        <family val="0"/>
        <charset val="1"/>
      </rPr>
      <t xml:space="preserve">017293</t>
    </r>
  </si>
  <si>
    <t xml:space="preserve">31735066266507_001</t>
  </si>
  <si>
    <t xml:space="preserve">31735066266507</t>
  </si>
  <si>
    <t xml:space="preserve">黃森官等</t>
  </si>
  <si>
    <t xml:space="preserve">Box 4, Folder 172</t>
  </si>
  <si>
    <t xml:space="preserve">處理管食糧賦田</t>
  </si>
  <si>
    <t xml:space="preserve">https://digital.library.pitt.edu/islandora/object/pitt:31735066266507</t>
  </si>
  <si>
    <r>
      <rPr>
        <sz val="10"/>
        <rFont val="Noto Sans CJK SC"/>
        <family val="2"/>
      </rPr>
      <t xml:space="preserve">字第</t>
    </r>
    <r>
      <rPr>
        <sz val="10"/>
        <rFont val="Arial"/>
        <family val="0"/>
        <charset val="1"/>
      </rPr>
      <t xml:space="preserve">87A</t>
    </r>
    <r>
      <rPr>
        <sz val="10"/>
        <rFont val="Noto Sans CJK SC"/>
        <family val="2"/>
      </rPr>
      <t xml:space="preserve">鄉鎮辦事處號處理管食糧賦田期上年六十三征併期下年五十三單知通谷積度年五十三征帶暨食糧借征及賦田收征號牌第號業戶姓名住址代理人住址姓名住址田畝分總額原應納額本年應免半數後實應征賦額田畝目一及實地田畝目二及實地田畝目三及實地田畝目四及實地田畝目五及實地田畝目六及實地田畝目七及實地田畝目八及實地田畝目九及實地田畝目十及實地田畝目十一及實地田畝目十二及實地田畝目十三及實地田畝目十四及實地田畝目十五及實地田畝目十六及實地田畝目十七及實地田畝目十八及實地田畝目十九及實地田畝目二十及實地田田田田征實征借谷公糧積谷合量計折重應加應征罰谷實應繳數份部物實收征田折征湯基法幣罰款實應繳數部份實量斤兩元元元元元元元元元元元元元元元元元元元元此揭於前半年月數發糧戶發戶後即作征收機關證數字</t>
    </r>
    <r>
      <rPr>
        <sz val="10"/>
        <rFont val="Arial"/>
        <family val="0"/>
        <charset val="1"/>
      </rPr>
      <t xml:space="preserve">016928</t>
    </r>
  </si>
  <si>
    <t xml:space="preserve">31735066266515_001</t>
  </si>
  <si>
    <t xml:space="preserve">31735066266515</t>
  </si>
  <si>
    <t xml:space="preserve">1839</t>
  </si>
  <si>
    <t xml:space="preserve">葉國佑</t>
  </si>
  <si>
    <t xml:space="preserve">紳</t>
  </si>
  <si>
    <t xml:space="preserve">Box 1, Folder 25</t>
  </si>
  <si>
    <t xml:space="preserve">道光拾玖年</t>
  </si>
  <si>
    <r>
      <rPr>
        <sz val="10"/>
        <rFont val="Noto Sans CJK SC"/>
        <family val="2"/>
      </rPr>
      <t xml:space="preserve">價銀陸拾伍兩</t>
    </r>
    <r>
      <rPr>
        <sz val="10"/>
        <rFont val="Arial"/>
        <family val="0"/>
        <charset val="1"/>
      </rPr>
      <t xml:space="preserve">; </t>
    </r>
    <r>
      <rPr>
        <sz val="10"/>
        <rFont val="Noto Sans CJK SC"/>
        <family val="2"/>
      </rPr>
      <t xml:space="preserve">錢捌百文正</t>
    </r>
  </si>
  <si>
    <t xml:space="preserve">九都九保太平洋</t>
  </si>
  <si>
    <t xml:space="preserve">俗叫裡洋中假該</t>
  </si>
  <si>
    <t xml:space="preserve">周昌烈</t>
  </si>
  <si>
    <t xml:space="preserve">胞兄國佐</t>
  </si>
  <si>
    <t xml:space="preserve">https://digital.library.pitt.edu/islandora/object/pitt:31735066266515</t>
  </si>
  <si>
    <t xml:space="preserve">立典契葉國佑閩分已分有福老田壹號坐址九都九保太平洋地方土名俗叫裡洋中假該田肆畝貳分鄉正年收租早穀陸石小秤足歷管完課收租無異今因無銀應用自情愿遂托中引在十八都飯洋村蘓處大紳遷入頭承典為業三面言議時值田價銀陸拾伍兩紋廣正其銀親收足訖無掛分厘其田自典之後隨契即退與紳前去收租官業且佑不敢阻當中間現銀交閱清白並無勦等情由亦無重張典掛外人財物倘有來歷互異係佑出抵不涉紳之事其錢糧逐年頂納九都葉步增福老貳錢捌分伍厘正俟大造之年推入蘓戶歸一完納至有力之日約限伍年滿足外任佑倘辦田價銀每兩折錢捌百捌拾父科契贖回倘原主取贖不論年限紳不得攬留兩允無悔今欲有憑親立典契壹紙併繳原契壹紙畫契壹紙借字壹紙共成肆紙統付為憑外有中用錢捌百文正今領上項交閱田價銀陸拾伍兩紋廣整道光拾玖年十壹月日立典契葉國佑贊在見胞兄國佐贊全見胞姪世枝贊世桃贊典契中人周昌烈啟</t>
  </si>
  <si>
    <t xml:space="preserve">31735066266523_001</t>
  </si>
  <si>
    <t xml:space="preserve">31735066266523</t>
  </si>
  <si>
    <t xml:space="preserve">1802</t>
  </si>
  <si>
    <r>
      <rPr>
        <sz val="10"/>
        <rFont val="Noto Sans CJK SC"/>
        <family val="2"/>
      </rPr>
      <t xml:space="preserve">邱有本 </t>
    </r>
    <r>
      <rPr>
        <sz val="10"/>
        <rFont val="Arial"/>
        <family val="0"/>
        <charset val="1"/>
      </rPr>
      <t xml:space="preserve">| </t>
    </r>
    <r>
      <rPr>
        <sz val="10"/>
        <rFont val="Noto Sans CJK SC"/>
        <family val="2"/>
      </rPr>
      <t xml:space="preserve">邱有炳 </t>
    </r>
    <r>
      <rPr>
        <sz val="10"/>
        <rFont val="Arial"/>
        <family val="0"/>
        <charset val="1"/>
      </rPr>
      <t xml:space="preserve">| </t>
    </r>
    <r>
      <rPr>
        <sz val="10"/>
        <rFont val="Noto Sans CJK SC"/>
        <family val="2"/>
      </rPr>
      <t xml:space="preserve">邱傳學</t>
    </r>
  </si>
  <si>
    <t xml:space="preserve">Box 1, Folder 12</t>
  </si>
  <si>
    <t xml:space="preserve">立畫契</t>
  </si>
  <si>
    <t xml:space="preserve">嘉慶 柒 年</t>
  </si>
  <si>
    <t xml:space="preserve">邱有本</t>
  </si>
  <si>
    <t xml:space="preserve">傳</t>
  </si>
  <si>
    <t xml:space="preserve">價銀貳拾貳兩正</t>
  </si>
  <si>
    <t xml:space="preserve">閩清十七都半嶺橋頭裡炉</t>
  </si>
  <si>
    <t xml:space="preserve">南倉下洋下分对面</t>
  </si>
  <si>
    <t xml:space="preserve">弟有漢</t>
  </si>
  <si>
    <t xml:space="preserve">https://digital.library.pitt.edu/islandora/object/pitt:31735066266523</t>
  </si>
  <si>
    <t xml:space="preserve">立畫契邱有本全弟有炳侄傳學承嗣祖手置有民田數號坐產閩清十七都半嶺橋頭裡炉地方土名南倉下洋下分对面山等處于乾隆年間經嗣祖妣手典與傳處為業其租額銀兩錢文俱載典湊畫各契內分明今因造壅嗣祖妣吉用托中向在傳處畫出價銀貳拾貳兩正紋廣其銀隨契交訖其田聽傳照舊收租管業面約年限伍年俟限滿之年聽邱備價照各契面取贖傳不得執留今欲有憑立畫契壹紙為照嘉慶柒年貳月日立畫契邱有本鑒全弟有炳鑒侄傳學鑒中見弟有漢鑒</t>
  </si>
  <si>
    <t xml:space="preserve">31735066266531_001</t>
  </si>
  <si>
    <t xml:space="preserve">31735066266531</t>
  </si>
  <si>
    <t xml:space="preserve">余德光</t>
  </si>
  <si>
    <t xml:space="preserve">林聖魁</t>
  </si>
  <si>
    <t xml:space="preserve">Box 2, Folder 98</t>
  </si>
  <si>
    <r>
      <rPr>
        <sz val="10"/>
        <rFont val="Noto Sans CJK SC"/>
        <family val="2"/>
      </rPr>
      <t xml:space="preserve">乾隆三十一年</t>
    </r>
    <r>
      <rPr>
        <sz val="10"/>
        <rFont val="Arial"/>
        <family val="0"/>
        <charset val="1"/>
      </rPr>
      <t xml:space="preserve">; </t>
    </r>
    <r>
      <rPr>
        <sz val="10"/>
        <rFont val="Noto Sans CJK SC"/>
        <family val="2"/>
      </rPr>
      <t xml:space="preserve">中華民國 貳 年</t>
    </r>
  </si>
  <si>
    <r>
      <rPr>
        <sz val="10"/>
        <rFont val="Noto Sans CJK SC"/>
        <family val="2"/>
      </rPr>
      <t xml:space="preserve">價銀壹柒千伍百兩</t>
    </r>
    <r>
      <rPr>
        <sz val="10"/>
        <rFont val="Arial"/>
        <family val="0"/>
        <charset val="1"/>
      </rPr>
      <t xml:space="preserve">; </t>
    </r>
    <r>
      <rPr>
        <sz val="10"/>
        <rFont val="Noto Sans CJK SC"/>
        <family val="2"/>
      </rPr>
      <t xml:space="preserve">銀壹拾柒元</t>
    </r>
  </si>
  <si>
    <t xml:space="preserve">閩清縣七都去名牛欄</t>
  </si>
  <si>
    <r>
      <rPr>
        <sz val="10"/>
        <rFont val="Noto Sans CJK SC"/>
        <family val="2"/>
      </rPr>
      <t xml:space="preserve">斷 賣 契 單 </t>
    </r>
    <r>
      <rPr>
        <sz val="10"/>
        <rFont val="Arial"/>
        <family val="0"/>
        <charset val="1"/>
      </rPr>
      <t xml:space="preserve">| </t>
    </r>
    <r>
      <rPr>
        <sz val="10"/>
        <rFont val="Noto Sans CJK SC"/>
        <family val="2"/>
      </rPr>
      <t xml:space="preserve">福建國稅廳籌備處</t>
    </r>
  </si>
  <si>
    <t xml:space="preserve">驗字第のの八號</t>
  </si>
  <si>
    <t xml:space="preserve">https://digital.library.pitt.edu/islandora/object/pitt:31735066266531</t>
  </si>
  <si>
    <t xml:space="preserve">斷賣契單福建國稅廳籌備處給發契單事業奉財政部電行劃一契紙章程內開本章程施行以前成立之不動產舊契無論已稅契未稅契均應一律限期呈驗逾限不呈驗者於訴訟時不能作為憑據一併函知司法機關認真辦理以為匿驗者戒等因奉此當經擬定分別徵收方法已稅之舊契再收紙價壹元未稅之舊契每產價百元收紙價壹元其光復後新契已稅者不收紙價的定止限三個月餘限兩個月逾期呈驗者分別加徵嚴罰經已電奉財政部核准照辦並通飭遵照在案今據閩清縣業戶林聖魁於清乾隆三十一年六月日買受俞德光四受種式於行坐落閩清縣七都去名牛欄地方東至西至坐向橫大尺直大尺中證范尔声原價銀壹柒千伍百兩申銀壹拾柒元原契未稅遵章依限呈驗應納紙價壹元業已如數收訖合填契單粘連原契印給收執管業須至契單者右給業戶林聖魁准此中華民國貳年十一月日給驗字第のの八號命字第三年十一月光緒三十一年十一月</t>
  </si>
  <si>
    <t xml:space="preserve">31735066266549_001</t>
  </si>
  <si>
    <t xml:space="preserve">31735066266549</t>
  </si>
  <si>
    <t xml:space="preserve">1927/1928</t>
  </si>
  <si>
    <t xml:space="preserve">文鳳</t>
  </si>
  <si>
    <t xml:space="preserve">Box 3, Folder 131</t>
  </si>
  <si>
    <r>
      <rPr>
        <sz val="10"/>
        <rFont val="Noto Sans CJK SC"/>
        <family val="2"/>
      </rPr>
      <t xml:space="preserve">民國拾伍年</t>
    </r>
    <r>
      <rPr>
        <sz val="10"/>
        <rFont val="Arial"/>
        <family val="0"/>
        <charset val="1"/>
      </rPr>
      <t xml:space="preserve">; </t>
    </r>
    <r>
      <rPr>
        <sz val="10"/>
        <rFont val="Noto Sans CJK SC"/>
        <family val="2"/>
      </rPr>
      <t xml:space="preserve">中華民國十六年</t>
    </r>
  </si>
  <si>
    <t xml:space="preserve">價壹百玖拾捌元</t>
  </si>
  <si>
    <r>
      <rPr>
        <sz val="10"/>
        <rFont val="Noto Sans CJK SC"/>
        <family val="2"/>
      </rPr>
      <t xml:space="preserve">典 </t>
    </r>
    <r>
      <rPr>
        <sz val="10"/>
        <rFont val="Arial"/>
        <family val="0"/>
        <charset val="1"/>
      </rPr>
      <t xml:space="preserve">| </t>
    </r>
    <r>
      <rPr>
        <sz val="10"/>
        <rFont val="Noto Sans CJK SC"/>
        <family val="2"/>
      </rPr>
      <t xml:space="preserve">契 </t>
    </r>
    <r>
      <rPr>
        <sz val="10"/>
        <rFont val="Arial"/>
        <family val="0"/>
        <charset val="1"/>
      </rPr>
      <t xml:space="preserve">| </t>
    </r>
    <r>
      <rPr>
        <sz val="10"/>
        <rFont val="Noto Sans CJK SC"/>
        <family val="2"/>
      </rPr>
      <t xml:space="preserve">例則摘要</t>
    </r>
  </si>
  <si>
    <t xml:space="preserve">https://digital.library.pitt.edu/islandora/object/pitt:31735066266549</t>
  </si>
  <si>
    <t xml:space="preserve">昭隆棧林明祥手典契承典人姓名文鳳不動產種類民田價壹百玖拾捌元應納稅額捌元柒角伍占捌分原契幾張立契年月日民國拾伍年十月例則摘要一不動產之買主或承典人須於契紙成立後六個月以內赴該管徵收官署投稅一訂立不動產買契或典契時須由賣主或出典人赴該管徵收官署填具申請書請領契紙繳納契紙費大洋五角前項之契紙費五角由賣主與買主或出典人與承典人分擔一納契紙費之賣主或出典人請領契紙後已逾兩月其契約尚未成立者原領契紙失其効力但因有障礙致契約不能成立時得於限內赴徵收官署申明事由酌予寬限一原領契紙因遺失及其他事由須補領或更換時仍依第四條第一項之規定繳納契紙費一不動產之買主或承典人逾契約成立後六個月之期限不依本條例繳納契稅者除納定稅之稅額外並處以鰥稅額之十倍罰金一繳納契稅時應稅額若除另換契紙改正契約繳納稅額外並處以左列之罰金一匿報契價十分之二以上未滿十分之四者短納稅額之二倍一匿報契價十分之三以上未滿十分之五者短納稅額之八倍一匿報契價十分之五以上者短納稅額之十六倍或由徵稅官署依所報契價買之一契約成立後六個月之納稅期間限於遵領官契紙者適用之其私紙所書之契約若事後不換寫契紙以逾期限一賣主或出典人以私紙訂立契約者得由徵稅官署處以五元以上五十元以下之罰金一逾限未稅之契訴訟時無憑證之效力中華民國十六年五月出典人朝官面積肆斗東至南至西至北至四至中華民國十六年五月出典人朝官為</t>
  </si>
  <si>
    <t xml:space="preserve">31735066266549_002</t>
  </si>
  <si>
    <t xml:space="preserve">立之不動產契</t>
  </si>
  <si>
    <t xml:space="preserve">價壹百拾捌元</t>
  </si>
  <si>
    <t xml:space="preserve">四王原契已載明白遵章呈驗應納紙價</t>
  </si>
  <si>
    <r>
      <rPr>
        <sz val="10"/>
        <rFont val="Noto Sans CJK SC"/>
        <family val="2"/>
      </rPr>
      <t xml:space="preserve">福建財政廳 </t>
    </r>
    <r>
      <rPr>
        <sz val="10"/>
        <rFont val="Arial"/>
        <family val="0"/>
        <charset val="1"/>
      </rPr>
      <t xml:space="preserve">| </t>
    </r>
    <r>
      <rPr>
        <sz val="10"/>
        <rFont val="Noto Sans CJK SC"/>
        <family val="2"/>
      </rPr>
      <t xml:space="preserve">驗稅契證</t>
    </r>
  </si>
  <si>
    <t xml:space="preserve">久鳳</t>
  </si>
  <si>
    <t xml:space="preserve">縣署署署署福建財政廳為給發驗稅契證事奉國民政府財政部訓令頒發驗稅契證行條例及各省驗契章程凡在此次開辦驗契以前成立之不動產契無論已稅未稅均應一律限期呈驗換發新契紙倘逾限不呈驗遇有訴訟能作為憑證口徑入告發或官廳查出者並加以處罰業由財政部咨財政部通飭遵辦以為匿驗者戒等因奉此當經擬具徵收方法電奉財政部核准照辦並已訂定本省驗契補充辦法分別通令布告遵照在案茲據業戶久鳳已稅契壹紙產價壹百拾捌元坐落四王原契已載明白遵章呈驗應納紙價壹角伍角註冊費壹角附加教育費貳角業已如數收訖除註冊外合填驗稅契證粘連契印給收執管業須至契證者驗稅契證右給業戶久鳳准此十年查訖中華民國十七年二月日給新字第號縣新字號號產價壹百拾捌元文文</t>
  </si>
  <si>
    <t xml:space="preserve">31735066266556_001</t>
  </si>
  <si>
    <t xml:space="preserve">31735066266556</t>
  </si>
  <si>
    <t xml:space="preserve">1840/1937</t>
  </si>
  <si>
    <t xml:space="preserve">劉孝良</t>
  </si>
  <si>
    <t xml:space="preserve">林高滿</t>
  </si>
  <si>
    <t xml:space="preserve">Box 1, Folder 28</t>
  </si>
  <si>
    <t xml:space="preserve">立分賣山契</t>
  </si>
  <si>
    <t xml:space="preserve">道光貳十年</t>
  </si>
  <si>
    <t xml:space="preserve">價伐壹拾壹仟伍百文正</t>
  </si>
  <si>
    <t xml:space="preserve">十四都重坑</t>
  </si>
  <si>
    <t xml:space="preserve">桔模塘</t>
  </si>
  <si>
    <r>
      <rPr>
        <sz val="10"/>
        <rFont val="Noto Sans CJK SC"/>
        <family val="2"/>
      </rPr>
      <t xml:space="preserve">厝屋</t>
    </r>
    <r>
      <rPr>
        <sz val="10"/>
        <rFont val="Arial"/>
        <family val="0"/>
        <charset val="1"/>
      </rPr>
      <t xml:space="preserve">; </t>
    </r>
    <r>
      <rPr>
        <sz val="10"/>
        <rFont val="Noto Sans CJK SC"/>
        <family val="2"/>
      </rPr>
      <t xml:space="preserve">地基</t>
    </r>
    <r>
      <rPr>
        <sz val="10"/>
        <rFont val="Arial"/>
        <family val="0"/>
        <charset val="1"/>
      </rPr>
      <t xml:space="preserve">; </t>
    </r>
    <r>
      <rPr>
        <sz val="10"/>
        <rFont val="Noto Sans CJK SC"/>
        <family val="2"/>
      </rPr>
      <t xml:space="preserve">山場</t>
    </r>
  </si>
  <si>
    <t xml:space="preserve">中朱明貴</t>
  </si>
  <si>
    <t xml:space="preserve">宗兄佑忠</t>
  </si>
  <si>
    <t xml:space="preserve">https://digital.library.pitt.edu/islandora/object/pitt:31735066266556</t>
  </si>
  <si>
    <t xml:space="preserve">立分賣山契劉孝良全弟孝清承祖遺手置有稅山所坐址十四都重坑地方土名桔模塘等處上至頂下至田左至聖煥失路直上右至胡家墓為中宮直上內抽出黃甜竹林東所仔界址上至松模林頭近路為界下至浮坑仔左至山溝右至紹通田頭直上四至明白還良番麓取筭至賣稅山上名深田址界上下左右水流竄俱是又賣土名庄前坡厝屋牽引左迤等延係中宮直上上至椽桁碗下至地基地併及右近國坪臺半上下餘地亦听開掘栽種今因要伐應用自愿托中將此厝屋山場松杉什木筭竹桐茶賣中林高滿處為業三面言議賣出價伐壹拾壹仟伍百文正其伐即日交足其兩号山場任听林家番麓松杉什木竹筭桐茶等項亦听開掘栽種什菓子粒等件林家不敢異言其厝听滿擇日入宅住居永遠通行分納厝租伐壹百文又分山租伐壹百文俟至十月交还林家不敢欠少如是欠少听刘家另召別掌林家不敢異言若無欠少永居住居受掌山因或有吉地还林家發批林家不敢藉批厝佔之理自分賣之後林家允愿永不敢生端枝節之事但此厝山係良弔清承祖遺手置物掌厝別房無干並未重張典當他人財物倘有來歷不明係林家出頭抵當不涉林之事今欲有憑立分賣山契壹紙其原批未繳是清存執為照道光貳十年八月日賣山契劉孝良全弟孝清在見宗兄佑忠大進益代字中朱明貴</t>
  </si>
  <si>
    <t xml:space="preserve">31735066266556_002</t>
  </si>
  <si>
    <t xml:space="preserve">中華民國 貳拾陸年</t>
  </si>
  <si>
    <t xml:space="preserve">價拾貳圓</t>
  </si>
  <si>
    <t xml:space="preserve">重坑額面積一所四至東至南至西至北</t>
  </si>
  <si>
    <r>
      <rPr>
        <sz val="10"/>
        <rFont val="Noto Sans CJK SC"/>
        <family val="2"/>
      </rPr>
      <t xml:space="preserve">賣契紙 </t>
    </r>
    <r>
      <rPr>
        <sz val="10"/>
        <rFont val="Arial"/>
        <family val="0"/>
        <charset val="1"/>
      </rPr>
      <t xml:space="preserve">| </t>
    </r>
    <r>
      <rPr>
        <sz val="10"/>
        <rFont val="Noto Sans CJK SC"/>
        <family val="2"/>
      </rPr>
      <t xml:space="preserve">章程摘要</t>
    </r>
  </si>
  <si>
    <r>
      <rPr>
        <sz val="10"/>
        <rFont val="Noto Sans CJK SC"/>
        <family val="2"/>
      </rPr>
      <t xml:space="preserve">福建省政府財政廳</t>
    </r>
    <r>
      <rPr>
        <sz val="10"/>
        <rFont val="Arial"/>
        <family val="0"/>
        <charset val="1"/>
      </rPr>
      <t xml:space="preserve">; </t>
    </r>
    <r>
      <rPr>
        <sz val="10"/>
        <rFont val="Noto Sans CJK SC"/>
        <family val="2"/>
      </rPr>
      <t xml:space="preserve">政司或縣政府</t>
    </r>
  </si>
  <si>
    <r>
      <rPr>
        <sz val="10"/>
        <rFont val="Noto Sans CJK SC"/>
        <family val="2"/>
      </rPr>
      <t xml:space="preserve">賣契紙福建省政府財政廳頒發閩清縣字第號賣契紙買受人林高滿</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啟分啟分釐不動產種類稅山則坐落重坑額面積一所四至東至南至西至北至上手原契屋式賣價拾貳圓應納稅銀肆角捌分立契年月通廿年八月日中證人姓名朱明貴</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出賣人姓名劉孝良</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右給業主林高滿收執中華民國貳拾陸年貳拾柒日印給章程摘要一、賣契稅率，照賣價徵收百分之四。一、是項契紙，於發售時，每張徵收契紙費五角，俟換成立，應即依限納稅，再行加蓋徵稅官署印信，無徵稅官署蓋印者，作未稅論。</t>
    </r>
    <r>
      <rPr>
        <sz val="10"/>
        <rFont val="Arial"/>
        <family val="0"/>
        <charset val="1"/>
      </rPr>
      <t xml:space="preserve">(</t>
    </r>
    <r>
      <rPr>
        <sz val="10"/>
        <rFont val="Noto Sans CJK SC"/>
        <family val="2"/>
      </rPr>
      <t xml:space="preserve">徵稅官署係布政司或縣政府</t>
    </r>
    <r>
      <rPr>
        <sz val="10"/>
        <rFont val="Arial"/>
        <family val="0"/>
        <charset val="1"/>
      </rPr>
      <t xml:space="preserve">)</t>
    </r>
    <r>
      <rPr>
        <sz val="10"/>
        <rFont val="Noto Sans CJK SC"/>
        <family val="2"/>
      </rPr>
      <t xml:space="preserve">一、每一官契紙祇限填載一產業。一、先典後賣者，得以原納典契稅額，割抵賣契稅。一、官署地方法團及其他公益法人，而得不動產產權，得免納契稅，惟官契紙仍須購用，印契營業，但以收益為目的者，不得免稅。一、是契自書立契據之日起，以三個月內為納稅期，逾期不稅，除責令依率納稅外，每逾限一月，應應納稅額，遞增十分之一罰金，至一倍為止。一、前項處罰期限，業主因有特別故障，請求展免者，由徵稅官署，查明實情，呈請財政廳核准。一、短報產價者，除責令改正價目，補繳短納稅額外，並處以左列之罰金。</t>
    </r>
    <r>
      <rPr>
        <sz val="10"/>
        <rFont val="Arial"/>
        <family val="0"/>
        <charset val="1"/>
      </rPr>
      <t xml:space="preserve">(</t>
    </r>
    <r>
      <rPr>
        <sz val="10"/>
        <rFont val="Noto Sans CJK SC"/>
        <family val="2"/>
      </rPr>
      <t xml:space="preserve">一</t>
    </r>
    <r>
      <rPr>
        <sz val="10"/>
        <rFont val="Arial"/>
        <family val="0"/>
        <charset val="1"/>
      </rPr>
      <t xml:space="preserve">)</t>
    </r>
    <r>
      <rPr>
        <sz val="10"/>
        <rFont val="Noto Sans CJK SC"/>
        <family val="2"/>
      </rPr>
      <t xml:space="preserve">短報產價十分之一以上者，照短納稅額處以十分之二罰金。</t>
    </r>
    <r>
      <rPr>
        <sz val="10"/>
        <rFont val="Arial"/>
        <family val="0"/>
        <charset val="1"/>
      </rPr>
      <t xml:space="preserve">(</t>
    </r>
    <r>
      <rPr>
        <sz val="10"/>
        <rFont val="Noto Sans CJK SC"/>
        <family val="2"/>
      </rPr>
      <t xml:space="preserve">二</t>
    </r>
    <r>
      <rPr>
        <sz val="10"/>
        <rFont val="Arial"/>
        <family val="0"/>
        <charset val="1"/>
      </rPr>
      <t xml:space="preserve">)</t>
    </r>
    <r>
      <rPr>
        <sz val="10"/>
        <rFont val="Noto Sans CJK SC"/>
        <family val="2"/>
      </rPr>
      <t xml:space="preserve">短報產價十分之二以上者，照短納稅額處以十分之四罰金。</t>
    </r>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短報產價十分之三以上者，照短納稅額處以十分之六罰金。</t>
    </r>
    <r>
      <rPr>
        <sz val="10"/>
        <rFont val="Arial"/>
        <family val="0"/>
        <charset val="1"/>
      </rPr>
      <t xml:space="preserve">(</t>
    </r>
    <r>
      <rPr>
        <sz val="10"/>
        <rFont val="Noto Sans CJK SC"/>
        <family val="2"/>
      </rPr>
      <t xml:space="preserve">四</t>
    </r>
    <r>
      <rPr>
        <sz val="10"/>
        <rFont val="Arial"/>
        <family val="0"/>
        <charset val="1"/>
      </rPr>
      <t xml:space="preserve">)</t>
    </r>
    <r>
      <rPr>
        <sz val="10"/>
        <rFont val="Noto Sans CJK SC"/>
        <family val="2"/>
      </rPr>
      <t xml:space="preserve">短報產價十分之五以上者，照短納稅額處以十分之八罰金。一、是項契紙如因遺失或作廢及其他事故須補領者，除照繳契紙費，准其補領契紙外，但因遺失而補領者，每張應另處六倍契紙費之罰金</t>
    </r>
    <r>
      <rPr>
        <sz val="10"/>
        <rFont val="Arial"/>
        <family val="0"/>
        <charset val="1"/>
      </rPr>
      <t xml:space="preserve">(</t>
    </r>
    <r>
      <rPr>
        <sz val="10"/>
        <rFont val="Noto Sans CJK SC"/>
        <family val="2"/>
      </rPr>
      <t xml:space="preserve">三元</t>
    </r>
    <r>
      <rPr>
        <sz val="10"/>
        <rFont val="Arial"/>
        <family val="0"/>
        <charset val="1"/>
      </rPr>
      <t xml:space="preserve">)</t>
    </r>
    <r>
      <rPr>
        <sz val="10"/>
        <rFont val="Noto Sans CJK SC"/>
        <family val="2"/>
      </rPr>
      <t xml:space="preserve">，如係填寫錯誤其他事故作廢，有原契紙繳銷而補領者，每張應另處二倍契紙費之罰金</t>
    </r>
    <r>
      <rPr>
        <sz val="10"/>
        <rFont val="Arial"/>
        <family val="0"/>
        <charset val="1"/>
      </rPr>
      <t xml:space="preserve">(</t>
    </r>
    <r>
      <rPr>
        <sz val="10"/>
        <rFont val="Noto Sans CJK SC"/>
        <family val="2"/>
      </rPr>
      <t xml:space="preserve">二元</t>
    </r>
    <r>
      <rPr>
        <sz val="10"/>
        <rFont val="Arial"/>
        <family val="0"/>
        <charset val="1"/>
      </rPr>
      <t xml:space="preserve">)</t>
    </r>
    <r>
      <rPr>
        <sz val="10"/>
        <rFont val="Noto Sans CJK SC"/>
        <family val="2"/>
      </rPr>
      <t xml:space="preserve">於補領契紙時繳納。此印給業主收執</t>
    </r>
  </si>
  <si>
    <t xml:space="preserve">31735066266564_001</t>
  </si>
  <si>
    <t xml:space="preserve">31735066266564</t>
  </si>
  <si>
    <t xml:space="preserve">1934/1940</t>
  </si>
  <si>
    <t xml:space="preserve">黃懷周</t>
  </si>
  <si>
    <t xml:space="preserve">邵李氏</t>
  </si>
  <si>
    <t xml:space="preserve">Box 3, Folder 151</t>
  </si>
  <si>
    <t xml:space="preserve">立胎押字</t>
  </si>
  <si>
    <t xml:space="preserve">嘉慶九年</t>
  </si>
  <si>
    <t xml:space="preserve">價銀大洋八佰肆拾元正</t>
  </si>
  <si>
    <r>
      <rPr>
        <sz val="10"/>
        <rFont val="Noto Sans CJK SC"/>
        <family val="2"/>
      </rPr>
      <t xml:space="preserve">大洋</t>
    </r>
    <r>
      <rPr>
        <sz val="10"/>
        <rFont val="Arial"/>
        <family val="0"/>
        <charset val="1"/>
      </rPr>
      <t xml:space="preserve">; </t>
    </r>
    <r>
      <rPr>
        <sz val="10"/>
        <rFont val="Noto Sans CJK SC"/>
        <family val="2"/>
      </rPr>
      <t xml:space="preserve">銀元</t>
    </r>
  </si>
  <si>
    <t xml:space="preserve">鄭慶安</t>
  </si>
  <si>
    <t xml:space="preserve">曾瑞圖</t>
  </si>
  <si>
    <t xml:space="preserve">弟希周</t>
  </si>
  <si>
    <t xml:space="preserve">母陳氏</t>
  </si>
  <si>
    <t xml:space="preserve">壹</t>
  </si>
  <si>
    <t xml:space="preserve">https://digital.library.pitt.edu/islandora/object/pitt:31735066266564</t>
  </si>
  <si>
    <r>
      <rPr>
        <sz val="10"/>
        <rFont val="Noto Sans CJK SC"/>
        <family val="2"/>
      </rPr>
      <t xml:space="preserve">立胎押字黃懷周承祖遺下原於嘉慶九年九月間用價銀典得鄰祥霖厝屋四柱叁堵後廚房一堵天井水井此屋坐北朝南座落閩侯邑安民舖地方公安局現編門牌第十四號屋內門窓戶牆連切俱全前至官街後至薩家牆左至黃家屋右至黃家屋上至樣瓦瓦上天下至礫石地基地六至俱載黃廷潛典契內明白今因要用將此厝屋全座托牛胎押與邵李氏靈為業三面言議本日得訖胎押得屋價銀大洋八佰肆拾元正其大洋懷即日親手收妥其屋業即所見邵家管業收租面約每月每元行息壹分六厘計共按月大洋拾元零捌占已該屋現已未租先扣壹個月租金大洋拾元零捌占已俟後此屋租出將租務積成立文與邵家收租抵息如不敷或有餘兌摺兩家面算明白面約期訂壹年為限限滿之日所憑懷照憑胎押契面銀元取贖如傳租少欠俟贖契之日起算還胎押主不得展期換字倘有風水不虞無論屆期未屆期懷即備價贖回不得以空地作為抵押如未贖回其邵家本息仍在懷立即自行起蓋完竣之日仍交邵家照舊管業收租如不取贖亦不起蓋所憑邵家照式起蓋土木石工料應用若干其本照算其息照加贖契之日另照土木石工料單內如數認還逾限壹年違章投稅所需稅耗若干贖契之日亦照數認還至于官派鄉派各項項清理等項暨懷之事與胎押主邵家無干但此屋係懷承祖遺下物業與別房親疎伯叔兄弟姪等無干亦未曾重張典當他人財物以及未歷不明各等情如有此情懷出頭承當不涉胎押主之事兩相允愿各死反悔今欲有憑立胎押字畫紙併繳鄰祥霖典契壹紙自專壹紙契單壹紙照證壹紙共成伍紙統付執為據如限期未滿懷如欲取贖所憑贖回標此台后瓦庚擔保本息即期支中華民國廿叁年十一月廿伍號立胎押字黃懷周在見弟希周知字母陳氏中友鄭慶安代筆曾瑞圖大者祥</t>
    </r>
    <r>
      <rPr>
        <sz val="10"/>
        <rFont val="Arial"/>
        <family val="0"/>
        <charset val="1"/>
      </rPr>
      <t xml:space="preserve">245211786181</t>
    </r>
  </si>
  <si>
    <t xml:space="preserve">31735066266564_002</t>
  </si>
  <si>
    <r>
      <rPr>
        <sz val="10"/>
        <rFont val="Noto Sans CJK SC"/>
        <family val="2"/>
      </rPr>
      <t xml:space="preserve">典 契 紙 </t>
    </r>
    <r>
      <rPr>
        <sz val="10"/>
        <rFont val="Arial"/>
        <family val="0"/>
        <charset val="1"/>
      </rPr>
      <t xml:space="preserve">| </t>
    </r>
    <r>
      <rPr>
        <sz val="10"/>
        <rFont val="Noto Sans CJK SC"/>
        <family val="2"/>
      </rPr>
      <t xml:space="preserve">章程摘要</t>
    </r>
  </si>
  <si>
    <r>
      <rPr>
        <sz val="10"/>
        <rFont val="Noto Sans CJK SC"/>
        <family val="2"/>
      </rPr>
      <t xml:space="preserve">福建省政府財政廳</t>
    </r>
    <r>
      <rPr>
        <sz val="10"/>
        <rFont val="Arial"/>
        <family val="0"/>
        <charset val="1"/>
      </rPr>
      <t xml:space="preserve">; </t>
    </r>
    <r>
      <rPr>
        <sz val="10"/>
        <rFont val="Noto Sans CJK SC"/>
        <family val="2"/>
      </rPr>
      <t xml:space="preserve">政府或縣政府</t>
    </r>
  </si>
  <si>
    <r>
      <rPr>
        <sz val="10"/>
        <rFont val="Noto Sans CJK SC"/>
        <family val="2"/>
      </rPr>
      <t xml:space="preserve">州縣地字第</t>
    </r>
    <r>
      <rPr>
        <sz val="10"/>
        <rFont val="Arial"/>
        <family val="0"/>
        <charset val="1"/>
      </rPr>
      <t xml:space="preserve">30</t>
    </r>
    <r>
      <rPr>
        <sz val="10"/>
        <rFont val="Noto Sans CJK SC"/>
        <family val="2"/>
      </rPr>
      <t xml:space="preserve">號</t>
    </r>
  </si>
  <si>
    <r>
      <rPr>
        <sz val="10"/>
        <rFont val="Arial"/>
        <family val="0"/>
        <charset val="1"/>
      </rPr>
      <t xml:space="preserve">291034</t>
    </r>
    <r>
      <rPr>
        <sz val="10"/>
        <rFont val="Noto Sans CJK SC"/>
        <family val="2"/>
      </rPr>
      <t xml:space="preserve">典契紙福建省政府財政廳頒發福州縣地字第</t>
    </r>
    <r>
      <rPr>
        <sz val="10"/>
        <rFont val="Arial"/>
        <family val="0"/>
        <charset val="1"/>
      </rPr>
      <t xml:space="preserve">30</t>
    </r>
    <r>
      <rPr>
        <sz val="10"/>
        <rFont val="Noto Sans CJK SC"/>
        <family val="2"/>
      </rPr>
      <t xml:space="preserve">號典契紙承典人姓名邱孝氏</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畝分畝分釐產種類厝賦則其他落女氏巷南門外積厝至東至巷尾南至巷尾西至巷尾北至巷尾四上手原契式四柱厝尾應納稅銀式元肆角七出典人姓名黃協周</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中證人姓名郭慶安</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立契年月日廿三年六月廿九日通限外每月加收十分之五罰金二角右給承典人邱孝氏收執中華民國十九年廿月九日章程摘要一、典契稅率，照曲價徵收百分之二。一、是項典契於發售時，每張徵收契紙費五角，俟契據成立，應即依限稅，再行加蓋徵稅官署印信，無徵稅官署蓋印者，作未稅論。發稅官署係由政府或縣政府。一、每一官契紙祇限填載一座業。一、先曲後賣者，得以原納曲契稅額，劃抵賣契稅。一、官署地方法團及其他公益法人，所得不動產產權時，得免納契稅，惟官契紙仍須用印，印契管業，但以收益為目的者，不得免稅。一、是契自書立契據之日起，以三個月內為納稅期限，逾期不稅，以責令依率納稅外，每逾期一月，應應納稅額，遞增十分之一罰金，至一倍為止。一、前項處罰期限，業主因有特別故障，請求展免者，得由徵稅官查明實情，呈請財政廳核准。一、是項契紙如因遺失，或作廢及其他事故須補領者，應向原領聯署主任辦公處，或原領機關報告，除繳契紙費，准其補領契紙外，但因遺失而補領者，每張應另處六倍契紙費之罰金</t>
    </r>
    <r>
      <rPr>
        <sz val="10"/>
        <rFont val="Arial"/>
        <family val="0"/>
        <charset val="1"/>
      </rPr>
      <t xml:space="preserve">(</t>
    </r>
    <r>
      <rPr>
        <sz val="10"/>
        <rFont val="Noto Sans CJK SC"/>
        <family val="2"/>
      </rPr>
      <t xml:space="preserve">三元</t>
    </r>
    <r>
      <rPr>
        <sz val="10"/>
        <rFont val="Arial"/>
        <family val="0"/>
        <charset val="1"/>
      </rPr>
      <t xml:space="preserve">)</t>
    </r>
    <r>
      <rPr>
        <sz val="10"/>
        <rFont val="Noto Sans CJK SC"/>
        <family val="2"/>
      </rPr>
      <t xml:space="preserve">，如係填寫錯誤或他事故作廢者，原契紙銷而補領者，每張應另處二倍契紙費之罰金</t>
    </r>
    <r>
      <rPr>
        <sz val="10"/>
        <rFont val="Arial"/>
        <family val="0"/>
        <charset val="1"/>
      </rPr>
      <t xml:space="preserve">(</t>
    </r>
    <r>
      <rPr>
        <sz val="10"/>
        <rFont val="Noto Sans CJK SC"/>
        <family val="2"/>
      </rPr>
      <t xml:space="preserve">二元</t>
    </r>
    <r>
      <rPr>
        <sz val="10"/>
        <rFont val="Arial"/>
        <family val="0"/>
        <charset val="1"/>
      </rPr>
      <t xml:space="preserve">)</t>
    </r>
    <r>
      <rPr>
        <sz val="10"/>
        <rFont val="Noto Sans CJK SC"/>
        <family val="2"/>
      </rPr>
      <t xml:space="preserve">，於補領契紙時繳納。且聯印給承典人收執印給</t>
    </r>
  </si>
  <si>
    <t xml:space="preserve">31735066266572_001</t>
  </si>
  <si>
    <t xml:space="preserve">31735066266572</t>
  </si>
  <si>
    <t xml:space="preserve">葉宜全保票人</t>
  </si>
  <si>
    <t xml:space="preserve">Box 1, Folder 22</t>
  </si>
  <si>
    <t xml:space="preserve">吳青山</t>
  </si>
  <si>
    <t xml:space="preserve">https://digital.library.pitt.edu/islandora/object/pitt:31735066266572</t>
  </si>
  <si>
    <t xml:space="preserve">憑票支旧欠租米壹石壹斗正期至乙未年八月廿日送倉交納不敢欠少逾期乃是欠少逾期每斗每月加利米叁合等係保票代賠無訛此之道光改年二月日之票陳國保票葉宜金執代字吳青山德憑票支旧欠租米壹石零玖外正期至乙未年拾二月二十日送倉交納不敢欠少逾期乃是欠少逾期每斗每月加利米叁合等係保票代賠無訛此之道光改年二月日之票陳國保票葉宜金執代字吳青山德憑票支旧欠租米壹石伍斗貳外叁合叁勺正期至丙申年十二月二十日送倉交納不敢欠少逾期乃是欠少逾期每斗每月加利米叁合等係保票代賠無訛此之道光改年二月日之票陳國保票葉宜金執代字吳青山德</t>
  </si>
  <si>
    <t xml:space="preserve">31735066266580_001</t>
  </si>
  <si>
    <t xml:space="preserve">31735066266580</t>
  </si>
  <si>
    <t xml:space="preserve">Box 1, Folder 21</t>
  </si>
  <si>
    <t xml:space="preserve">https://digital.library.pitt.edu/islandora/object/pitt:31735066266580</t>
  </si>
  <si>
    <t xml:space="preserve">憑票支回欠租米壹石壹斗正期至辛卯年八月初十日送倉交納不敢欠少過期乃是欠少過期每斗每月加利米叁合等係保票代賠無訛此乃道光改年二月日立票陳國遠保票葉宜金鈐代字吳青山謹憑票支回欠租米壹石零玖斗正期至辛卯年十二月二十日送倉交納不敢欠少過期乃是欠少過期每斗每月加利米叁合等係保票代賠無訛此乃道光改年二月日立票陳國遠保票葉宜金鈐代字吳青山謹</t>
  </si>
  <si>
    <t xml:space="preserve">31735066266598_001</t>
  </si>
  <si>
    <t xml:space="preserve">31735066266598</t>
  </si>
  <si>
    <t xml:space="preserve">福建省上竹林</t>
  </si>
  <si>
    <t xml:space="preserve">林明尊</t>
  </si>
  <si>
    <t xml:space="preserve">陳功存</t>
  </si>
  <si>
    <t xml:space="preserve">Box 3, Folder 169</t>
  </si>
  <si>
    <t xml:space="preserve">立斷契</t>
  </si>
  <si>
    <t xml:space="preserve">民國十四年</t>
  </si>
  <si>
    <t xml:space="preserve">林明專</t>
  </si>
  <si>
    <t xml:space="preserve">乙竹林</t>
  </si>
  <si>
    <r>
      <rPr>
        <sz val="10"/>
        <rFont val="Noto Sans CJK SC"/>
        <family val="2"/>
      </rPr>
      <t xml:space="preserve">根面全田</t>
    </r>
    <r>
      <rPr>
        <sz val="10"/>
        <rFont val="Arial"/>
        <family val="0"/>
        <charset val="1"/>
      </rPr>
      <t xml:space="preserve">; </t>
    </r>
    <r>
      <rPr>
        <sz val="10"/>
        <rFont val="Noto Sans CJK SC"/>
        <family val="2"/>
      </rPr>
      <t xml:space="preserve">墳</t>
    </r>
    <r>
      <rPr>
        <sz val="10"/>
        <rFont val="Arial"/>
        <family val="0"/>
        <charset val="1"/>
      </rPr>
      <t xml:space="preserve">; </t>
    </r>
    <r>
      <rPr>
        <sz val="10"/>
        <rFont val="Noto Sans CJK SC"/>
        <family val="2"/>
      </rPr>
      <t xml:space="preserve">田根</t>
    </r>
  </si>
  <si>
    <t xml:space="preserve">曾係係聖札</t>
  </si>
  <si>
    <t xml:space="preserve">中見曾係</t>
  </si>
  <si>
    <t xml:space="preserve">https://digital.library.pitt.edu/islandora/object/pitt:31735066266598</t>
  </si>
  <si>
    <t xml:space="preserve">立斷契林明專承祖遺下有根面全田乙方坐地十都墓墳地方土名乙竹林等處面積乙畝陸分正等則已等其田賦稅照縣例完納其報所買主過割入戶今因要用托中將此根面全田送斷於八部陳功存處永遠業三面言議斷立田根係鐵國帶香仔陸伯允正其帶即日交足其田即听陳離佃永遠耕作若業力報其田林不得言斥言贖之理兩相喜允各各異言亦不得生端生留之理此田係是祖遺物業與別云干並未曾重法他人以及未歷係林云抵不清陳之事今欲有憑之斷契乙帝亦遂付執為昭由証不明或字標昭民國十四年十月日之斷契林明尊代字中見曾係係聖札七與</t>
  </si>
  <si>
    <t xml:space="preserve">31735066266606_001</t>
  </si>
  <si>
    <t xml:space="preserve">31735066266606</t>
  </si>
  <si>
    <t xml:space="preserve">福建省清源縣</t>
  </si>
  <si>
    <t xml:space="preserve">道楷</t>
  </si>
  <si>
    <t xml:space="preserve">咸宜</t>
  </si>
  <si>
    <t xml:space="preserve">Box 3, Folder 135</t>
  </si>
  <si>
    <t xml:space="preserve">中華民國拾柒年</t>
  </si>
  <si>
    <t xml:space="preserve">價後壹拾壹仟伍百文正</t>
  </si>
  <si>
    <t xml:space="preserve">https://digital.library.pitt.edu/islandora/object/pitt:31735066266606</t>
  </si>
  <si>
    <t xml:space="preserve">立送卦古叔道楷合侄傳手父手置有面租壹號中私本卿地方土名利換恒守受種冬酌正年載田租米冬才壹可伍合正內抽出租米七斗五合正合受苗米柒合伍自正掛立陳貴興之下合送与侄咸宜為建築廚房三面言說即日得記價後壹拾壹仟伍百文正其錢隨手交足其他中付係隨便擇吉建築其粮亦所過割入戶但夫租係救承父手置物業與引與于主先未曾重典他人以及未楚不楚之傳叔出抵不得侄之事兩相喜久各異翻異今欲有說立送卦牛壹紙付執永莫為明中華民國拾柒年一月日立送卦古叔道楷合侄德宜善宜尊宜禮宜公見族長友談代子中唐文到</t>
  </si>
  <si>
    <t xml:space="preserve">31735066266614_001</t>
  </si>
  <si>
    <t xml:space="preserve">31735066266614</t>
  </si>
  <si>
    <t xml:space="preserve">昌宜</t>
  </si>
  <si>
    <t xml:space="preserve">Box 3, Folder 133</t>
  </si>
  <si>
    <t xml:space="preserve">弟咸宜</t>
  </si>
  <si>
    <t xml:space="preserve">價錢貳拾千文正</t>
  </si>
  <si>
    <t xml:space="preserve">https://digital.library.pitt.edu/islandora/object/pitt:31735066266614</t>
  </si>
  <si>
    <t xml:space="preserve">立送封子元昌宜令弟侄等承祖手置有民田根臺號坐落本鄉地方者梨樹垣等處受種今酌正年載田租米谷斗壹斗伍合正幼主田主仁房車內抽出存分壹截壹拾兩正應分租米壹斗伍合正今送與弟咸宜處建築廚房三面議定田價錢貳拾千文正其錢隨手交足其地即付弟隨便建築其所分之租弟自行理納但牛田係承祖物業與別要干主未嘗重掛他人以及未歷不備等情兄出抵不備弟之事兩相善久各無異言今欲有憑立送封子元紙付執永遠為照內添註受種貳牛再照中華民國拾柒年正月立送封子元昌宜全弟傳宜麟乾宜全侄冬存益公見族長友謨麟代子平盧文釗大吉昌</t>
  </si>
  <si>
    <t xml:space="preserve">31735066266622_001</t>
  </si>
  <si>
    <t xml:space="preserve">31735066266622</t>
  </si>
  <si>
    <t xml:space="preserve">Box 3, Folder 157</t>
  </si>
  <si>
    <t xml:space="preserve">立盡根斷賣契</t>
  </si>
  <si>
    <t xml:space="preserve">陳欽隆清</t>
  </si>
  <si>
    <r>
      <rPr>
        <sz val="10"/>
        <rFont val="Noto Sans CJK SC"/>
        <family val="2"/>
      </rPr>
      <t xml:space="preserve">洋番陸拾圓正</t>
    </r>
    <r>
      <rPr>
        <sz val="10"/>
        <rFont val="Arial"/>
        <family val="0"/>
        <charset val="1"/>
      </rPr>
      <t xml:space="preserve">; </t>
    </r>
    <r>
      <rPr>
        <sz val="10"/>
        <rFont val="Noto Sans CJK SC"/>
        <family val="2"/>
      </rPr>
      <t xml:space="preserve">價大洋陸拾員正</t>
    </r>
  </si>
  <si>
    <t xml:space="preserve">坐在長坵落經能幹丈過</t>
  </si>
  <si>
    <t xml:space="preserve">陳仁山</t>
  </si>
  <si>
    <t xml:space="preserve">https://digital.library.pitt.edu/islandora/object/pitt:31735066266622</t>
  </si>
  <si>
    <t xml:space="preserve">立盡根斷賣契並找價人陳欽隆有祖父遺下民園一段計地伍分土名坐在長坵落經能幹丈過其字號載在官册東至陳園西至莊園南至桃園北至陳園四至分曉今因缺用自願託中引就盡根斷賣與從弟欽瑞處為三面高議時值實價盡根找價共賣出大洋番陸拾圓正其銀即日全中當面交足此民園即听銀主管掌耕作自便賣主不得阻執生情言說此園係是祖父遺下物業與別房份親疎兄弟伯叔侄諸人一概無干在先亦不曾重張典掛他人財物及交加不明等事如有此色俱是賣主出頭支當不涉銀主之事自賣過後並無前賤後貴亦無取找取贖幸逢大造其条串合就囑冬户下納粮起除割過收入壽參圖柒冬陳源盛户下納粮當差永遠為己業此係两家情愿各無反悔今欲有憑特立盡根斷賣契壹紙為據存照銀主自筆此契不用本日全中當面賣交盡根斷賣契並找價賣斷內應產價大洋陸拾員正足託民國丙子念拾伍年二月日立盡根斷賣契人陳欽隆清見契人母親黃氏中見人陳菊花弟吳紅經二百五十保長陳義祥由添二二字存照大清代筆人陳仁山</t>
  </si>
  <si>
    <t xml:space="preserve">31735066266630_001</t>
  </si>
  <si>
    <t xml:space="preserve">31735066266630</t>
  </si>
  <si>
    <t xml:space="preserve">1941</t>
  </si>
  <si>
    <t xml:space="preserve">陳老鳳</t>
  </si>
  <si>
    <t xml:space="preserve">陳玉書</t>
  </si>
  <si>
    <t xml:space="preserve">Box 3, Folder 163</t>
  </si>
  <si>
    <t xml:space="preserve">中華民國叁拾年</t>
  </si>
  <si>
    <t xml:space="preserve">陳老鳳正</t>
  </si>
  <si>
    <t xml:space="preserve">陳紅鯉</t>
  </si>
  <si>
    <t xml:space="preserve">姚光珠</t>
  </si>
  <si>
    <t xml:space="preserve">https://digital.library.pitt.edu/islandora/object/pitt:31735066266630</t>
  </si>
  <si>
    <t xml:space="preserve">立盡根斷賣契人陳老鳳有祖父遺下分過份下民房室間上連天空樣瓦下連磚石戶櫺俱全坐在本厝右向埕頭間落東至業主厝西至陳梅花厝南至埕北至陳文珍厝又室間坐在本厝下倒照大門迤落東至埕西至牛欄地南至陳菊花厝北至大門再室間在倒照左迤落東至埕西至業主牛欄地南至陳厝北至陳菊花厝又牛欄地室片在大門外落四至分曉俱各週知今因別用托中引執盡根賣與陳玉書處三面商議時值實價盡根賣出國幣法伯員正其國幣即日同中當面交足將此厝即聽銀主般入安置收理任從自便賣主不得阻執生情言說此厝係祖父遺下物業與別房份從兄弟伯叔侄諸一概無干在先亦不曾重張典掛及交加不明他人財物等事如有此色具是賣主出頭不涉銀主之事自賣之後亦無取找取贖亦無前賤後貴等情自賣過後內並無片石寸草寸木在內不得言說生情此係兩愿各無反悔今欲有憑特立盡根契壹紙存照古契失落無存後內添註為業二字又添人字再析日尋去不得行用並找價壹紙再析再改俱字為本日突收盡根契內國幣法伯員正中見陳紅鯉口中華民國叁拾年二月日立盡根斷契人陳老鳳正財丁發發代筆人姚光珠</t>
  </si>
  <si>
    <t xml:space="preserve">31735066266648_001</t>
  </si>
  <si>
    <t xml:space="preserve">31735066266648</t>
  </si>
  <si>
    <t xml:space="preserve">1879</t>
  </si>
  <si>
    <t xml:space="preserve">康宗瑞</t>
  </si>
  <si>
    <t xml:space="preserve">陳連孫</t>
  </si>
  <si>
    <t xml:space="preserve">Box 2, Folder 56</t>
  </si>
  <si>
    <t xml:space="preserve">康宗瑞清</t>
  </si>
  <si>
    <t xml:space="preserve">銀念拾壹兩</t>
  </si>
  <si>
    <t xml:space="preserve">莊光耀</t>
  </si>
  <si>
    <t xml:space="preserve">https://digital.library.pitt.edu/islandora/object/pitt:31735066266648</t>
  </si>
  <si>
    <t xml:space="preserve">立畫根斷賣契人康宗瑞有自己手置民園重段計額柴分正土名坐在庵後巷徑能幹黃選甫大雲字字號載在官所東西南北四至通知今因缺用自願托中孔就賣與陳連孫處為業三面商議特值實價畫根賣出九五成色銀念拾兩廣戰正足其銀即令中支足將此圖即所銀主當業耕作收利賣主不得生情此圖係是自置物業與別房份兄弟伯叔侄諸人全干在先亦不曾重張典掛他人財物及父加不明等事如有此色與是賣主支當不涉銀主之事自賣過後亦無前賤後貴亦無取我取贖之嫌大造其糧米合就圖冬序除割過收入戶下的報當差永為己業此係兩愿各無反悔今教有憑立畫根契壹紙存燒本日實收交閱契內銀念拾壹兩廣戰正足訖中見人莊世空光緒己卯伍年貳月日立畫根契人康宗瑞清代筆人莊光耀</t>
  </si>
  <si>
    <t xml:space="preserve">31735066266655_001</t>
  </si>
  <si>
    <t xml:space="preserve">31735066266655</t>
  </si>
  <si>
    <t xml:space="preserve">欽源</t>
  </si>
  <si>
    <t xml:space="preserve">Box 3, Folder 147</t>
  </si>
  <si>
    <t xml:space="preserve">銀大龍番厘佰柒拾員正</t>
  </si>
  <si>
    <t xml:space="preserve">陳仁芳</t>
  </si>
  <si>
    <t xml:space="preserve">母親劉氏</t>
  </si>
  <si>
    <t xml:space="preserve">https://digital.library.pitt.edu/islandora/object/pitt:31735066266655</t>
  </si>
  <si>
    <t xml:space="preserve">立畫根斷賣契人宗弟欽源有祖父遺下手置民園庫段計額以分正經能幹丈零其字號土名坐在板頂岑坦洛載官切東至莊園仔西至連園南至莊田北至莊墓其四至分曉今因別置自愿托中引就立畫根斷賣契宗兄欽瑞等為業三面商議時值定便畫根並找價新賣出洋銀大龍番厘佰柒拾員正計每元柒錢式分伍厘重其銀即日全中當面交足本民園抗聽銀主管掌耕作修利自便賣主不得阻攔生情言說此園的係是祖父遺下物業安脆從兄弟伯叔侄及別房份內親疎諸人一切無干在先亦不曾並無重張與林人人財物及交加不明等事如有色俱是賣自出支當不涉銀主之事今賣立契畫根畫根斷賣主過後並無泥土泥石支草在內亦無以前賤居賣及無取找取贖言說幸逢大造其茶奉合就為冬下起係如通收入壽參兩柴冬下納糧當差永為己業此乃係是兩家情愿各無反悔今欲有鑒立畫根找價新賣契奉為據存本日寅人交畫根賣契內出大龍番厘佰柒拾元全中足說民國念陸年歲次壬申式月日畫根找價新賣契人欽源全收銀母親劉氏中見人陳細妹八情菊花墨吳紅理連收白代筆人陳仁芳</t>
  </si>
  <si>
    <t xml:space="preserve">31735066266663_001</t>
  </si>
  <si>
    <t xml:space="preserve">31735066266663</t>
  </si>
  <si>
    <t xml:space="preserve">Box 3, Folder 158</t>
  </si>
  <si>
    <r>
      <rPr>
        <sz val="10"/>
        <rFont val="Noto Sans CJK SC"/>
        <family val="2"/>
      </rPr>
      <t xml:space="preserve">幣大洋壹佰壹拾伍員正</t>
    </r>
    <r>
      <rPr>
        <sz val="10"/>
        <rFont val="Arial"/>
        <family val="0"/>
        <charset val="1"/>
      </rPr>
      <t xml:space="preserve">; </t>
    </r>
    <r>
      <rPr>
        <sz val="10"/>
        <rFont val="Noto Sans CJK SC"/>
        <family val="2"/>
      </rPr>
      <t xml:space="preserve">價國幣大洋壹佰壹拾伍員</t>
    </r>
  </si>
  <si>
    <t xml:space="preserve">https://digital.library.pitt.edu/islandora/object/pitt:31735066266663</t>
  </si>
  <si>
    <t xml:space="preserve">立盡根斷賣契並找價陳人欽隆有祖父遺下民田壹段計地陸分土名坐在莊厝前坑落經能幹丈過其字號載在官所東至姚田埔西至路莊墓南至陳田北至莊祭田四至分曉今因缺用自願托中引就盡根賣與從弟欽瑞處為三面商議時值實價盡根並找價共賣出國幣大洋壹佰壹拾伍員正其銀即日全中當面交足本民田即听銀主曾掌耕作修利自便賣主不得阻執生情言說此民田係是祖父遺下物業與別房份親疎兄弟伯叔侄諸人一概無干在先亦不曾重張典掛他人財物及交加不明等事如有此色俱是賣主出頭支當不涉銀主之事自賣過後亦無前賤後貴亦無取找取贖幸逢大造其糸串合就畱冬戶下起緊割過收入壽參畱染冬陳源盛戶下納糧當差永遠為己業此係兩家情愿各無反悔今欲有憑特立盡根斷契壹紙為據存燬內添人一字存燬本日全中當面實買交盡根斷賣契並找價賣斷內應產價國幣大洋壹佰壹拾伍員足託民國丙子念伍年二月日立盡根賣契人陳欽隆清見契人母親黃氏中見人陳菊花吳紅經葉新加坡賣主自筆人陳欽隆清書</t>
  </si>
  <si>
    <t xml:space="preserve">31735066266671_001</t>
  </si>
  <si>
    <t xml:space="preserve">31735066266671</t>
  </si>
  <si>
    <t xml:space="preserve">Box 3, Folder 156</t>
  </si>
  <si>
    <r>
      <rPr>
        <sz val="10"/>
        <rFont val="Noto Sans CJK SC"/>
        <family val="2"/>
      </rPr>
      <t xml:space="preserve">洋番壹佰壹拾伍員正</t>
    </r>
    <r>
      <rPr>
        <sz val="10"/>
        <rFont val="Arial"/>
        <family val="0"/>
        <charset val="1"/>
      </rPr>
      <t xml:space="preserve">; </t>
    </r>
    <r>
      <rPr>
        <sz val="10"/>
        <rFont val="Noto Sans CJK SC"/>
        <family val="2"/>
      </rPr>
      <t xml:space="preserve">價大洋番壹佰壹拾伍元正</t>
    </r>
  </si>
  <si>
    <t xml:space="preserve">https://digital.library.pitt.edu/islandora/object/pitt:31735066266671</t>
  </si>
  <si>
    <t xml:space="preserve">立盡根斷賣契並找價人陳欽隆有祖父遺下民田壹段計地陸分五名坐在莊厝前坑落經能幹丈過其子號載在官册東至姚田埔西至路莊墓南至陳田北至莊祭田四至分曉今因缺用自願托中引就盡根賣與從弟欽瑞處為三面商議時值實價盡根並找價共賣出大洋番壹佰壹拾伍員正其銀即日全中當面交足本民田即听銀主掌管耕作修利自便賣主不得阻執生情言說此民田係是祖父遺下物業與別房份親疎兄弟伯叔侄諸人一概無干在先亦不曾重張典掛他人財物及交加不明等事如有此色俱是賣主出頭支當不涉銀主之事自賣過後亦無前賤後貴亦無取找贖幸逢大造其条串合就冬下起除割過收入壽參畧柒冬陳源盛名下納粮當差永遠為己業此係兩家情愿各無反悔今欲有憑特立盡根斷契壹紙為據存照內添取一字存照本日全中當面實交盡根斷賣契並找價賣斷內應產價大洋番壹佰壹拾伍元正足託民國丙子念伍年二月日立盡根斷賣契人陳欽隆清見契人母親黃氏中見人陳菊花吳紅經二百五十二保長陳義祥加銀主自筆此契不用代筆人陳仁山</t>
  </si>
  <si>
    <t xml:space="preserve">31735066266689_001</t>
  </si>
  <si>
    <t xml:space="preserve">31735066266689</t>
  </si>
  <si>
    <t xml:space="preserve">1926</t>
  </si>
  <si>
    <t xml:space="preserve">朝官</t>
  </si>
  <si>
    <t xml:space="preserve">Box 3, Folder 126</t>
  </si>
  <si>
    <t xml:space="preserve">立寄佃契</t>
  </si>
  <si>
    <t xml:space="preserve">中華民國拾伍年</t>
  </si>
  <si>
    <t xml:space="preserve">弟朝官</t>
  </si>
  <si>
    <t xml:space="preserve">兄文鳳</t>
  </si>
  <si>
    <t xml:space="preserve">價先番壹百玖拾捌員正</t>
  </si>
  <si>
    <r>
      <rPr>
        <sz val="10"/>
        <rFont val="Noto Sans CJK SC"/>
        <family val="2"/>
      </rPr>
      <t xml:space="preserve">先番</t>
    </r>
    <r>
      <rPr>
        <sz val="10"/>
        <rFont val="Arial"/>
        <family val="0"/>
        <charset val="1"/>
      </rPr>
      <t xml:space="preserve">; </t>
    </r>
    <r>
      <rPr>
        <sz val="10"/>
        <rFont val="Noto Sans CJK SC"/>
        <family val="2"/>
      </rPr>
      <t xml:space="preserve">錢文</t>
    </r>
  </si>
  <si>
    <t xml:space="preserve">七都牛欄墩</t>
  </si>
  <si>
    <t xml:space="preserve">尼姑墜併大墩</t>
  </si>
  <si>
    <t xml:space="preserve">黃家仙鑒</t>
  </si>
  <si>
    <t xml:space="preserve">馬傳梅</t>
  </si>
  <si>
    <t xml:space="preserve">叔仁立</t>
  </si>
  <si>
    <t xml:space="preserve">https://digital.library.pitt.edu/islandora/object/pitt:31735066266689</t>
  </si>
  <si>
    <t xml:space="preserve">立寄佃契弟朝官公弟等承祖遺下閩分有民田根式號坐產七都牛欄墩地方土名尼姑墜併大墩等處受種肆拾捌正年載租未貳石叁斗伍升正納在黃處今因要用自愿托中寄與兄文鳳處為業三面言議即日得訖田根價先番壹百玖拾捌員正其銀隨契交足其田听兄離佃耕作納租費業但此田係弟祖遺物業與別無干以及承盤不以係弟出抵不涉兄之事面約年限伍年為限俟至限滿之日听弟備價照契面錢文對期取贖少未贖照日費業今欲有憑立寄佃契書弟為憑內註此字畫字樣為中華民國拾伍年十一月日立寄佃契弟朝官知契母黃氏全弟義金義仙德在見叔仁立中人黃家仙鑒執筆馬傳梅大印墩地方</t>
  </si>
  <si>
    <t xml:space="preserve">31735066266697_001</t>
  </si>
  <si>
    <t xml:space="preserve">31735066266697</t>
  </si>
  <si>
    <t xml:space="preserve">黃丁荃</t>
  </si>
  <si>
    <t xml:space="preserve">黃花蘭租客</t>
  </si>
  <si>
    <t xml:space="preserve">Box 3, Folder 130</t>
  </si>
  <si>
    <t xml:space="preserve">民國十六年</t>
  </si>
  <si>
    <t xml:space="preserve">牙本年份</t>
  </si>
  <si>
    <t xml:space="preserve">https://digital.library.pitt.edu/islandora/object/pitt:31735066266697</t>
  </si>
  <si>
    <t xml:space="preserve">今收黃茂三應納土名牙本年份山租錢七元收票完足字民國十六年拾壹月日五收字丁登公</t>
  </si>
  <si>
    <t xml:space="preserve">31735066266705_001</t>
  </si>
  <si>
    <t xml:space="preserve">31735066266705</t>
  </si>
  <si>
    <t xml:space="preserve">1805/1808</t>
  </si>
  <si>
    <t xml:space="preserve">陳國龍</t>
  </si>
  <si>
    <t xml:space="preserve">Box 1, Folder 15</t>
  </si>
  <si>
    <t xml:space="preserve">嘉慶拾貳年</t>
  </si>
  <si>
    <t xml:space="preserve">https://digital.library.pitt.edu/islandora/object/pitt:31735066266705</t>
  </si>
  <si>
    <t xml:space="preserve">嘉慶拾貳年八月廿六日入仁標租米法斗正黃陸貫字</t>
  </si>
  <si>
    <t xml:space="preserve">31735066266705_002</t>
  </si>
  <si>
    <t xml:space="preserve">嘉慶拾年</t>
  </si>
  <si>
    <t xml:space="preserve">嘉慶拾年拾月十七日入國遠代國龍招乘肆牛肆外正黃隆貴字鶴嘉慶拾年十月十五日入仁標代執惠以朱書平外正黃隆貴字鶴</t>
  </si>
  <si>
    <t xml:space="preserve">31735066266705_003</t>
  </si>
  <si>
    <t xml:space="preserve">嘉慶拾叁年</t>
  </si>
  <si>
    <t xml:space="preserve">嘉慶拾叁年十月十五日入陳國遠代國光租米肆斗肆升正黃隆貴嘉慶拾叁年十月十五日入仁標代執惠租米壹斗肆升正黃隆貴</t>
  </si>
  <si>
    <t xml:space="preserve">31735066266713_001</t>
  </si>
  <si>
    <t xml:space="preserve">31735066266713</t>
  </si>
  <si>
    <t xml:space="preserve">黃乞容</t>
  </si>
  <si>
    <t xml:space="preserve">Box 3, Folder 136</t>
  </si>
  <si>
    <t xml:space="preserve">局永春縣知事</t>
  </si>
  <si>
    <t xml:space="preserve">https://digital.library.pitt.edu/islandora/object/pitt:31735066266713</t>
  </si>
  <si>
    <r>
      <rPr>
        <sz val="10"/>
        <rFont val="Noto Sans CJK SC"/>
        <family val="2"/>
      </rPr>
      <t xml:space="preserve">實于</t>
    </r>
    <r>
      <rPr>
        <sz val="10"/>
        <rFont val="Arial"/>
        <family val="0"/>
        <charset val="1"/>
      </rPr>
      <t xml:space="preserve">...</t>
    </r>
    <r>
      <rPr>
        <sz val="10"/>
        <rFont val="Noto Sans CJK SC"/>
        <family val="2"/>
      </rPr>
      <t xml:space="preserve">合局永春縣知事黃</t>
    </r>
    <r>
      <rPr>
        <sz val="10"/>
        <rFont val="Arial"/>
        <family val="0"/>
        <charset val="1"/>
      </rPr>
      <t xml:space="preserve">...</t>
    </r>
    <r>
      <rPr>
        <sz val="10"/>
        <rFont val="Noto Sans CJK SC"/>
        <family val="2"/>
      </rPr>
      <t xml:space="preserve">民</t>
    </r>
    <r>
      <rPr>
        <sz val="10"/>
        <rFont val="Arial"/>
        <family val="0"/>
        <charset val="1"/>
      </rPr>
      <t xml:space="preserve">...</t>
    </r>
    <r>
      <rPr>
        <sz val="10"/>
        <rFont val="Noto Sans CJK SC"/>
        <family val="2"/>
      </rPr>
      <t xml:space="preserve">拾陸</t>
    </r>
    <r>
      <rPr>
        <sz val="10"/>
        <rFont val="Arial"/>
        <family val="0"/>
        <charset val="1"/>
      </rPr>
      <t xml:space="preserve">...</t>
    </r>
    <r>
      <rPr>
        <sz val="10"/>
        <rFont val="Noto Sans CJK SC"/>
        <family val="2"/>
      </rPr>
      <t xml:space="preserve">民</t>
    </r>
    <r>
      <rPr>
        <sz val="10"/>
        <rFont val="Arial"/>
        <family val="0"/>
        <charset val="1"/>
      </rPr>
      <t xml:space="preserve">...</t>
    </r>
    <r>
      <rPr>
        <sz val="10"/>
        <rFont val="Noto Sans CJK SC"/>
        <family val="2"/>
      </rPr>
      <t xml:space="preserve">拾柒</t>
    </r>
    <r>
      <rPr>
        <sz val="10"/>
        <rFont val="Arial"/>
        <family val="0"/>
        <charset val="1"/>
      </rPr>
      <t xml:space="preserve">.........</t>
    </r>
    <r>
      <rPr>
        <sz val="10"/>
        <rFont val="Noto Sans CJK SC"/>
        <family val="2"/>
      </rPr>
      <t xml:space="preserve">黃之容</t>
    </r>
    <r>
      <rPr>
        <sz val="10"/>
        <rFont val="Arial"/>
        <family val="0"/>
        <charset val="1"/>
      </rPr>
      <t xml:space="preserve">......</t>
    </r>
    <r>
      <rPr>
        <sz val="10"/>
        <rFont val="Noto Sans CJK SC"/>
        <family val="2"/>
      </rPr>
      <t xml:space="preserve">實</t>
    </r>
    <r>
      <rPr>
        <sz val="10"/>
        <rFont val="Arial"/>
        <family val="0"/>
        <charset val="1"/>
      </rPr>
      <t xml:space="preserve">...</t>
    </r>
    <r>
      <rPr>
        <sz val="10"/>
        <rFont val="Noto Sans CJK SC"/>
        <family val="2"/>
      </rPr>
      <t xml:space="preserve">五百〇八</t>
    </r>
    <r>
      <rPr>
        <sz val="10"/>
        <rFont val="Arial"/>
        <family val="0"/>
        <charset val="1"/>
      </rPr>
      <t xml:space="preserve">...</t>
    </r>
    <r>
      <rPr>
        <sz val="10"/>
        <rFont val="Noto Sans CJK SC"/>
        <family val="2"/>
      </rPr>
      <t xml:space="preserve">納</t>
    </r>
    <r>
      <rPr>
        <sz val="10"/>
        <rFont val="Arial"/>
        <family val="0"/>
        <charset val="1"/>
      </rPr>
      <t xml:space="preserve">...</t>
    </r>
    <r>
      <rPr>
        <sz val="10"/>
        <rFont val="Noto Sans CJK SC"/>
        <family val="2"/>
      </rPr>
      <t xml:space="preserve">各</t>
    </r>
    <r>
      <rPr>
        <sz val="10"/>
        <rFont val="Arial"/>
        <family val="0"/>
        <charset val="1"/>
      </rPr>
      <t xml:space="preserve">...</t>
    </r>
    <r>
      <rPr>
        <sz val="10"/>
        <rFont val="Noto Sans CJK SC"/>
        <family val="2"/>
      </rPr>
      <t xml:space="preserve">式</t>
    </r>
    <r>
      <rPr>
        <sz val="10"/>
        <rFont val="Arial"/>
        <family val="0"/>
        <charset val="1"/>
      </rPr>
      <t xml:space="preserve">...</t>
    </r>
    <r>
      <rPr>
        <sz val="10"/>
        <rFont val="Noto Sans CJK SC"/>
        <family val="2"/>
      </rPr>
      <t xml:space="preserve">又</t>
    </r>
    <r>
      <rPr>
        <sz val="10"/>
        <rFont val="Arial"/>
        <family val="0"/>
        <charset val="1"/>
      </rPr>
      <t xml:space="preserve">...</t>
    </r>
    <r>
      <rPr>
        <sz val="10"/>
        <rFont val="Noto Sans CJK SC"/>
        <family val="2"/>
      </rPr>
      <t xml:space="preserve">附</t>
    </r>
    <r>
      <rPr>
        <sz val="10"/>
        <rFont val="Arial"/>
        <family val="0"/>
        <charset val="1"/>
      </rPr>
      <t xml:space="preserve">...</t>
    </r>
    <r>
      <rPr>
        <sz val="10"/>
        <rFont val="Noto Sans CJK SC"/>
        <family val="2"/>
      </rPr>
      <t xml:space="preserve">記</t>
    </r>
    <r>
      <rPr>
        <sz val="10"/>
        <rFont val="Arial"/>
        <family val="0"/>
        <charset val="1"/>
      </rPr>
      <t xml:space="preserve">...</t>
    </r>
    <r>
      <rPr>
        <sz val="10"/>
        <rFont val="Noto Sans CJK SC"/>
        <family val="2"/>
      </rPr>
      <t xml:space="preserve">費</t>
    </r>
    <r>
      <rPr>
        <sz val="10"/>
        <rFont val="Arial"/>
        <family val="0"/>
        <charset val="1"/>
      </rPr>
      <t xml:space="preserve">...</t>
    </r>
    <r>
      <rPr>
        <sz val="10"/>
        <rFont val="Noto Sans CJK SC"/>
        <family val="2"/>
      </rPr>
      <t xml:space="preserve">每</t>
    </r>
    <r>
      <rPr>
        <sz val="10"/>
        <rFont val="Arial"/>
        <family val="0"/>
        <charset val="1"/>
      </rPr>
      <t xml:space="preserve">...</t>
    </r>
    <r>
      <rPr>
        <sz val="10"/>
        <rFont val="Noto Sans CJK SC"/>
        <family val="2"/>
      </rPr>
      <t xml:space="preserve">另</t>
    </r>
    <r>
      <rPr>
        <sz val="10"/>
        <rFont val="Arial"/>
        <family val="0"/>
        <charset val="1"/>
      </rPr>
      <t xml:space="preserve">...</t>
    </r>
    <r>
      <rPr>
        <sz val="10"/>
        <rFont val="Noto Sans CJK SC"/>
        <family val="2"/>
      </rPr>
      <t xml:space="preserve">武</t>
    </r>
    <r>
      <rPr>
        <sz val="10"/>
        <rFont val="Arial"/>
        <family val="0"/>
        <charset val="1"/>
      </rPr>
      <t xml:space="preserve">...</t>
    </r>
  </si>
  <si>
    <t xml:space="preserve">31735066266721_001</t>
  </si>
  <si>
    <t xml:space="preserve">31735066266721</t>
  </si>
  <si>
    <t xml:space="preserve">Box 3, Folder 143</t>
  </si>
  <si>
    <t xml:space="preserve">https://digital.library.pitt.edu/islandora/object/pitt:31735066266721</t>
  </si>
  <si>
    <r>
      <rPr>
        <sz val="10"/>
        <rFont val="Noto Sans CJK SC"/>
        <family val="2"/>
      </rPr>
      <t xml:space="preserve">執照大</t>
    </r>
    <r>
      <rPr>
        <sz val="10"/>
        <rFont val="Arial"/>
        <family val="0"/>
        <charset val="1"/>
      </rPr>
      <t xml:space="preserve">.........</t>
    </r>
    <r>
      <rPr>
        <sz val="10"/>
        <rFont val="Noto Sans CJK SC"/>
        <family val="2"/>
      </rPr>
      <t xml:space="preserve">拾黃乞容式分拾厘〇毛</t>
    </r>
    <r>
      <rPr>
        <sz val="10"/>
        <rFont val="Arial"/>
        <family val="0"/>
        <charset val="1"/>
      </rPr>
      <t xml:space="preserve">............</t>
    </r>
  </si>
  <si>
    <t xml:space="preserve">31735066266739_001</t>
  </si>
  <si>
    <t xml:space="preserve">31735066266739</t>
  </si>
  <si>
    <t xml:space="preserve">沈齊</t>
  </si>
  <si>
    <t xml:space="preserve">Box 2, Folder 83</t>
  </si>
  <si>
    <t xml:space="preserve">光緒貳拾捌年</t>
  </si>
  <si>
    <t xml:space="preserve">照執照服</t>
  </si>
  <si>
    <t xml:space="preserve">https://digital.library.pitt.edu/islandora/object/pitt:31735066266739</t>
  </si>
  <si>
    <r>
      <rPr>
        <sz val="10"/>
        <rFont val="Noto Sans CJK SC"/>
        <family val="2"/>
      </rPr>
      <t xml:space="preserve">照執照服欽加同知銜本任永安縣調署僉管縣正堂葉都黃李清的沈衣月光緒貳拾捌年分玖令給執照光緒貳拾捌年縣意伍伍伍雨子魚百九城鄉設稅</t>
    </r>
    <r>
      <rPr>
        <sz val="10"/>
        <rFont val="Arial"/>
        <family val="0"/>
        <charset val="1"/>
      </rPr>
      <t xml:space="preserve">...</t>
    </r>
    <r>
      <rPr>
        <sz val="10"/>
        <rFont val="Noto Sans CJK SC"/>
        <family val="2"/>
      </rPr>
      <t xml:space="preserve">多完重</t>
    </r>
    <r>
      <rPr>
        <sz val="10"/>
        <rFont val="Arial"/>
        <family val="0"/>
        <charset val="1"/>
      </rPr>
      <t xml:space="preserve">...</t>
    </r>
    <r>
      <rPr>
        <sz val="10"/>
        <rFont val="Noto Sans CJK SC"/>
        <family val="2"/>
      </rPr>
      <t xml:space="preserve">規戶粘</t>
    </r>
    <r>
      <rPr>
        <sz val="10"/>
        <rFont val="Arial"/>
        <family val="0"/>
        <charset val="1"/>
      </rPr>
      <t xml:space="preserve">...</t>
    </r>
    <r>
      <rPr>
        <sz val="10"/>
        <rFont val="Noto Sans CJK SC"/>
        <family val="2"/>
      </rPr>
      <t xml:space="preserve">退還銷</t>
    </r>
    <r>
      <rPr>
        <sz val="10"/>
        <rFont val="Arial"/>
        <family val="0"/>
        <charset val="1"/>
      </rPr>
      <t xml:space="preserve">...</t>
    </r>
    <r>
      <rPr>
        <sz val="10"/>
        <rFont val="Noto Sans CJK SC"/>
        <family val="2"/>
      </rPr>
      <t xml:space="preserve">換給以</t>
    </r>
    <r>
      <rPr>
        <sz val="10"/>
        <rFont val="Arial"/>
        <family val="0"/>
        <charset val="1"/>
      </rPr>
      <t xml:space="preserve">...</t>
    </r>
    <r>
      <rPr>
        <sz val="10"/>
        <rFont val="Noto Sans CJK SC"/>
        <family val="2"/>
      </rPr>
      <t xml:space="preserve">為徵</t>
    </r>
    <r>
      <rPr>
        <sz val="10"/>
        <rFont val="Arial"/>
        <family val="0"/>
        <charset val="1"/>
      </rPr>
      <t xml:space="preserve">...</t>
    </r>
    <r>
      <rPr>
        <sz val="10"/>
        <rFont val="Noto Sans CJK SC"/>
        <family val="2"/>
      </rPr>
      <t xml:space="preserve">銀</t>
    </r>
    <r>
      <rPr>
        <sz val="10"/>
        <rFont val="Arial"/>
        <family val="0"/>
        <charset val="1"/>
      </rPr>
      <t xml:space="preserve">...</t>
    </r>
  </si>
  <si>
    <t xml:space="preserve">31735066266747_001</t>
  </si>
  <si>
    <t xml:space="preserve">31735066266747</t>
  </si>
  <si>
    <t xml:space="preserve">Box 3, Folder 127</t>
  </si>
  <si>
    <t xml:space="preserve">https://digital.library.pitt.edu/islandora/object/pitt:31735066266747</t>
  </si>
  <si>
    <r>
      <rPr>
        <sz val="10"/>
        <rFont val="Noto Sans CJK SC"/>
        <family val="2"/>
      </rPr>
      <t xml:space="preserve">納戶執照作</t>
    </r>
    <r>
      <rPr>
        <sz val="10"/>
        <rFont val="Arial"/>
        <family val="0"/>
        <charset val="1"/>
      </rPr>
      <t xml:space="preserve">...</t>
    </r>
    <r>
      <rPr>
        <sz val="10"/>
        <rFont val="Noto Sans CJK SC"/>
        <family val="2"/>
      </rPr>
      <t xml:space="preserve">合同民國</t>
    </r>
    <r>
      <rPr>
        <sz val="10"/>
        <rFont val="Arial"/>
        <family val="0"/>
        <charset val="1"/>
      </rPr>
      <t xml:space="preserve">...</t>
    </r>
    <r>
      <rPr>
        <sz val="10"/>
        <rFont val="Noto Sans CJK SC"/>
        <family val="2"/>
      </rPr>
      <t xml:space="preserve">買民國</t>
    </r>
    <r>
      <rPr>
        <sz val="10"/>
        <rFont val="Arial"/>
        <family val="0"/>
        <charset val="1"/>
      </rPr>
      <t xml:space="preserve">...</t>
    </r>
    <r>
      <rPr>
        <sz val="10"/>
        <rFont val="Noto Sans CJK SC"/>
        <family val="2"/>
      </rPr>
      <t xml:space="preserve">拾</t>
    </r>
    <r>
      <rPr>
        <sz val="10"/>
        <rFont val="Arial"/>
        <family val="0"/>
        <charset val="1"/>
      </rPr>
      <t xml:space="preserve">...</t>
    </r>
    <r>
      <rPr>
        <sz val="10"/>
        <rFont val="Noto Sans CJK SC"/>
        <family val="2"/>
      </rPr>
      <t xml:space="preserve">號民國</t>
    </r>
    <r>
      <rPr>
        <sz val="10"/>
        <rFont val="Arial"/>
        <family val="0"/>
        <charset val="1"/>
      </rPr>
      <t xml:space="preserve">...</t>
    </r>
    <r>
      <rPr>
        <sz val="10"/>
        <rFont val="Noto Sans CJK SC"/>
        <family val="2"/>
      </rPr>
      <t xml:space="preserve">號民國</t>
    </r>
    <r>
      <rPr>
        <sz val="10"/>
        <rFont val="Arial"/>
        <family val="0"/>
        <charset val="1"/>
      </rPr>
      <t xml:space="preserve">...</t>
    </r>
    <r>
      <rPr>
        <sz val="10"/>
        <rFont val="Noto Sans CJK SC"/>
        <family val="2"/>
      </rPr>
      <t xml:space="preserve">號民國</t>
    </r>
    <r>
      <rPr>
        <sz val="10"/>
        <rFont val="Arial"/>
        <family val="0"/>
        <charset val="1"/>
      </rPr>
      <t xml:space="preserve">...</t>
    </r>
    <r>
      <rPr>
        <sz val="10"/>
        <rFont val="Noto Sans CJK SC"/>
        <family val="2"/>
      </rPr>
      <t xml:space="preserve">號</t>
    </r>
    <r>
      <rPr>
        <sz val="10"/>
        <rFont val="Arial"/>
        <family val="0"/>
        <charset val="1"/>
      </rPr>
      <t xml:space="preserve">...</t>
    </r>
    <r>
      <rPr>
        <sz val="10"/>
        <rFont val="Noto Sans CJK SC"/>
        <family val="2"/>
      </rPr>
      <t xml:space="preserve">崇</t>
    </r>
    <r>
      <rPr>
        <sz val="10"/>
        <rFont val="Arial"/>
        <family val="0"/>
        <charset val="1"/>
      </rPr>
      <t xml:space="preserve">...</t>
    </r>
    <r>
      <rPr>
        <sz val="10"/>
        <rFont val="Noto Sans CJK SC"/>
        <family val="2"/>
      </rPr>
      <t xml:space="preserve">華世</t>
    </r>
    <r>
      <rPr>
        <sz val="10"/>
        <rFont val="Arial"/>
        <family val="0"/>
        <charset val="1"/>
      </rPr>
      <t xml:space="preserve">...</t>
    </r>
    <r>
      <rPr>
        <sz val="10"/>
        <rFont val="Noto Sans CJK SC"/>
        <family val="2"/>
      </rPr>
      <t xml:space="preserve">內</t>
    </r>
    <r>
      <rPr>
        <sz val="10"/>
        <rFont val="Arial"/>
        <family val="0"/>
        <charset val="1"/>
      </rPr>
      <t xml:space="preserve">...</t>
    </r>
    <r>
      <rPr>
        <sz val="10"/>
        <rFont val="Noto Sans CJK SC"/>
        <family val="2"/>
      </rPr>
      <t xml:space="preserve">取</t>
    </r>
    <r>
      <rPr>
        <sz val="10"/>
        <rFont val="Arial"/>
        <family val="0"/>
        <charset val="1"/>
      </rPr>
      <t xml:space="preserve">...</t>
    </r>
  </si>
  <si>
    <t xml:space="preserve">31735066266754_001</t>
  </si>
  <si>
    <t xml:space="preserve">31735066266754</t>
  </si>
  <si>
    <t xml:space="preserve">1952</t>
  </si>
  <si>
    <r>
      <rPr>
        <sz val="10"/>
        <rFont val="Noto Sans CJK SC"/>
        <family val="2"/>
      </rPr>
      <t xml:space="preserve">林宗 </t>
    </r>
    <r>
      <rPr>
        <sz val="10"/>
        <rFont val="Arial"/>
        <family val="0"/>
        <charset val="1"/>
      </rPr>
      <t xml:space="preserve">| </t>
    </r>
    <r>
      <rPr>
        <sz val="10"/>
        <rFont val="Noto Sans CJK SC"/>
        <family val="2"/>
      </rPr>
      <t xml:space="preserve">吳淑珍 </t>
    </r>
    <r>
      <rPr>
        <sz val="10"/>
        <rFont val="Arial"/>
        <family val="0"/>
        <charset val="1"/>
      </rPr>
      <t xml:space="preserve">| </t>
    </r>
    <r>
      <rPr>
        <sz val="10"/>
        <rFont val="Noto Sans CJK SC"/>
        <family val="2"/>
      </rPr>
      <t xml:space="preserve">林涯 </t>
    </r>
    <r>
      <rPr>
        <sz val="10"/>
        <rFont val="Arial"/>
        <family val="0"/>
        <charset val="1"/>
      </rPr>
      <t xml:space="preserve">| </t>
    </r>
    <r>
      <rPr>
        <sz val="10"/>
        <rFont val="Noto Sans CJK SC"/>
        <family val="2"/>
      </rPr>
      <t xml:space="preserve">林貢</t>
    </r>
  </si>
  <si>
    <t xml:space="preserve">Box 4, Folder 196</t>
  </si>
  <si>
    <r>
      <rPr>
        <sz val="10"/>
        <rFont val="Noto Sans CJK SC"/>
        <family val="2"/>
      </rPr>
      <t xml:space="preserve">土地房產所有證 </t>
    </r>
    <r>
      <rPr>
        <sz val="10"/>
        <rFont val="Arial"/>
        <family val="0"/>
        <charset val="1"/>
      </rPr>
      <t xml:space="preserve">| </t>
    </r>
    <r>
      <rPr>
        <sz val="10"/>
        <rFont val="Noto Sans CJK SC"/>
        <family val="2"/>
      </rPr>
      <t xml:space="preserve">福建省晉江縣土地房產所有證 </t>
    </r>
    <r>
      <rPr>
        <sz val="10"/>
        <rFont val="Arial"/>
        <family val="0"/>
        <charset val="1"/>
      </rPr>
      <t xml:space="preserve">| </t>
    </r>
    <r>
      <rPr>
        <sz val="10"/>
        <rFont val="Noto Sans CJK SC"/>
        <family val="2"/>
      </rPr>
      <t xml:space="preserve">計開</t>
    </r>
  </si>
  <si>
    <r>
      <rPr>
        <sz val="10"/>
        <rFont val="Noto Sans CJK SC"/>
        <family val="2"/>
      </rPr>
      <t xml:space="preserve">晉字第 </t>
    </r>
    <r>
      <rPr>
        <sz val="10"/>
        <rFont val="Arial"/>
        <family val="0"/>
        <charset val="1"/>
      </rPr>
      <t xml:space="preserve">23023 </t>
    </r>
    <r>
      <rPr>
        <sz val="10"/>
        <rFont val="Noto Sans CJK SC"/>
        <family val="2"/>
      </rPr>
      <t xml:space="preserve">號</t>
    </r>
  </si>
  <si>
    <t xml:space="preserve">https://digital.library.pitt.edu/islandora/object/pitt:31735066266754</t>
  </si>
  <si>
    <r>
      <rPr>
        <sz val="10"/>
        <rFont val="Noto Sans CJK SC"/>
        <family val="2"/>
      </rPr>
      <t xml:space="preserve">土地房產所有證福建省晉江縣土地房產所有證晉字第</t>
    </r>
    <r>
      <rPr>
        <sz val="10"/>
        <rFont val="Arial"/>
        <family val="0"/>
        <charset val="1"/>
      </rPr>
      <t xml:space="preserve">23023</t>
    </r>
    <r>
      <rPr>
        <sz val="10"/>
        <rFont val="Noto Sans CJK SC"/>
        <family val="2"/>
      </rPr>
      <t xml:space="preserve">號依據中國人民政治協商會議共同綱領第二十七條「保護農民已得土地所有權」之規定確定土地改革第三十條「土地改革完成後由人民政府發給土地所有證」之規定確定本戶全家私人私有產業有耕種居住典賣轉讓贈與出租等完全自由任何人不得侵犯特此證本戶全家私人私有產業有耕種居住典賣轉讓贈與出租等完全自由任何人不得侵犯特此證本戶全家私人私有產業有耕種居住典賣轉讓贈與出租等完全自由任何人不得侵犯特此證晉江縣高雷計開</t>
    </r>
  </si>
  <si>
    <t xml:space="preserve">31735066266762_001</t>
  </si>
  <si>
    <t xml:space="preserve">31735066266762</t>
  </si>
  <si>
    <r>
      <rPr>
        <sz val="10"/>
        <rFont val="Noto Sans CJK SC"/>
        <family val="2"/>
      </rPr>
      <t xml:space="preserve">劉德桂 </t>
    </r>
    <r>
      <rPr>
        <sz val="10"/>
        <rFont val="Arial"/>
        <family val="0"/>
        <charset val="1"/>
      </rPr>
      <t xml:space="preserve">| </t>
    </r>
    <r>
      <rPr>
        <sz val="10"/>
        <rFont val="Noto Sans CJK SC"/>
        <family val="2"/>
      </rPr>
      <t xml:space="preserve">劉德輝 </t>
    </r>
    <r>
      <rPr>
        <sz val="10"/>
        <rFont val="Arial"/>
        <family val="0"/>
        <charset val="1"/>
      </rPr>
      <t xml:space="preserve">| </t>
    </r>
    <r>
      <rPr>
        <sz val="10"/>
        <rFont val="Noto Sans CJK SC"/>
        <family val="2"/>
      </rPr>
      <t xml:space="preserve">劉如慶 </t>
    </r>
    <r>
      <rPr>
        <sz val="10"/>
        <rFont val="Arial"/>
        <family val="0"/>
        <charset val="1"/>
      </rPr>
      <t xml:space="preserve">| </t>
    </r>
    <r>
      <rPr>
        <sz val="10"/>
        <rFont val="Noto Sans CJK SC"/>
        <family val="2"/>
      </rPr>
      <t xml:space="preserve">劉景星</t>
    </r>
  </si>
  <si>
    <t xml:space="preserve">Box 3, Folder 152</t>
  </si>
  <si>
    <t xml:space="preserve">建陽縣 不動產 賣立契用紙 製</t>
  </si>
  <si>
    <t xml:space="preserve">https://digital.library.pitt.edu/islandora/object/pitt:31735066266762</t>
  </si>
  <si>
    <t xml:space="preserve">建陽縣不動產賣立契用紙製立補新載明其田原有契据於咸豐年間因洪楊事變致失遵照建陽縣驗契辦法第二條之規定補立新契字為据計開</t>
  </si>
  <si>
    <t xml:space="preserve">31735066267414_001</t>
  </si>
  <si>
    <t xml:space="preserve">31735066267414</t>
  </si>
  <si>
    <t xml:space="preserve">1953</t>
  </si>
  <si>
    <t xml:space="preserve">四川省合川縣</t>
  </si>
  <si>
    <t xml:space="preserve">李銀山</t>
  </si>
  <si>
    <t xml:space="preserve">Box 4, Folder 202</t>
  </si>
  <si>
    <t xml:space="preserve">川東區合川縣土地房產所有證</t>
  </si>
  <si>
    <t xml:space="preserve">合地字第壹肆壹壹捌伍號</t>
  </si>
  <si>
    <t xml:space="preserve">https://digital.library.pitt.edu/islandora/object/pitt:31735066267414</t>
  </si>
  <si>
    <t xml:space="preserve">川東區合川縣土地房產所有證合地字第壹肆壹壹捌伍號第龍市區古城鄉鎮貳村居民李學銀中妻張心慈女李富珍農子李富倫女李富芝</t>
  </si>
  <si>
    <t xml:space="preserve">31735066267422_001</t>
  </si>
  <si>
    <t xml:space="preserve">31735066267422</t>
  </si>
  <si>
    <r>
      <rPr>
        <sz val="10"/>
        <rFont val="Noto Sans CJK SC"/>
        <family val="2"/>
      </rPr>
      <t xml:space="preserve">施性固 </t>
    </r>
    <r>
      <rPr>
        <sz val="10"/>
        <rFont val="Arial"/>
        <family val="0"/>
        <charset val="1"/>
      </rPr>
      <t xml:space="preserve">| </t>
    </r>
    <r>
      <rPr>
        <sz val="10"/>
        <rFont val="Noto Sans CJK SC"/>
        <family val="2"/>
      </rPr>
      <t xml:space="preserve">顏蒜 </t>
    </r>
    <r>
      <rPr>
        <sz val="10"/>
        <rFont val="Arial"/>
        <family val="0"/>
        <charset val="1"/>
      </rPr>
      <t xml:space="preserve">| </t>
    </r>
    <r>
      <rPr>
        <sz val="10"/>
        <rFont val="Noto Sans CJK SC"/>
        <family val="2"/>
      </rPr>
      <t xml:space="preserve">施能鎖 </t>
    </r>
    <r>
      <rPr>
        <sz val="10"/>
        <rFont val="Arial"/>
        <family val="0"/>
        <charset val="1"/>
      </rPr>
      <t xml:space="preserve">| </t>
    </r>
    <r>
      <rPr>
        <sz val="10"/>
        <rFont val="Noto Sans CJK SC"/>
        <family val="2"/>
      </rPr>
      <t xml:space="preserve">施松柏</t>
    </r>
  </si>
  <si>
    <t xml:space="preserve">Box 4, Folder 197</t>
  </si>
  <si>
    <r>
      <rPr>
        <sz val="10"/>
        <rFont val="Noto Sans CJK SC"/>
        <family val="2"/>
      </rPr>
      <t xml:space="preserve">土地房產所有權證 </t>
    </r>
    <r>
      <rPr>
        <sz val="10"/>
        <rFont val="Arial"/>
        <family val="0"/>
        <charset val="1"/>
      </rPr>
      <t xml:space="preserve">| </t>
    </r>
    <r>
      <rPr>
        <sz val="10"/>
        <rFont val="Noto Sans CJK SC"/>
        <family val="2"/>
      </rPr>
      <t xml:space="preserve">福建省晉江縣土地房產所有權證 </t>
    </r>
    <r>
      <rPr>
        <sz val="10"/>
        <rFont val="Arial"/>
        <family val="0"/>
        <charset val="1"/>
      </rPr>
      <t xml:space="preserve">| </t>
    </r>
    <r>
      <rPr>
        <sz val="10"/>
        <rFont val="Noto Sans CJK SC"/>
        <family val="2"/>
      </rPr>
      <t xml:space="preserve">計開</t>
    </r>
  </si>
  <si>
    <t xml:space="preserve">https://digital.library.pitt.edu/islandora/object/pitt:31735066267422</t>
  </si>
  <si>
    <r>
      <rPr>
        <sz val="10"/>
        <rFont val="Noto Sans CJK SC"/>
        <family val="2"/>
      </rPr>
      <t xml:space="preserve">土地房產所有權證福建省晉江縣土地房產所有權證本戶全家私有產業有耕種居住典賣轉讓贈與出租等完全自由任何人不得侵犯特給此證依據中國人民政治協商會議共同綱領第二十七條保護農民已得土地所有權暨中華人民共和國土地改革法第三十條土地改革完成後由人民政府發給土地所有權證之規定確定共計可耕地伍段</t>
    </r>
    <r>
      <rPr>
        <sz val="10"/>
        <rFont val="Arial"/>
        <family val="0"/>
        <charset val="1"/>
      </rPr>
      <t xml:space="preserve">(</t>
    </r>
    <r>
      <rPr>
        <sz val="10"/>
        <rFont val="Noto Sans CJK SC"/>
        <family val="2"/>
      </rPr>
      <t xml:space="preserve">丘</t>
    </r>
    <r>
      <rPr>
        <sz val="10"/>
        <rFont val="Arial"/>
        <family val="0"/>
        <charset val="1"/>
      </rPr>
      <t xml:space="preserve">)</t>
    </r>
    <r>
      <rPr>
        <sz val="10"/>
        <rFont val="Noto Sans CJK SC"/>
        <family val="2"/>
      </rPr>
      <t xml:space="preserve">肆畝捌分壹釐零毫零絲房產共計房屋壹間地基零段</t>
    </r>
    <r>
      <rPr>
        <sz val="10"/>
        <rFont val="Arial"/>
        <family val="0"/>
        <charset val="1"/>
      </rPr>
      <t xml:space="preserve">(</t>
    </r>
    <r>
      <rPr>
        <sz val="10"/>
        <rFont val="Noto Sans CJK SC"/>
        <family val="2"/>
      </rPr>
      <t xml:space="preserve">丘</t>
    </r>
    <r>
      <rPr>
        <sz val="10"/>
        <rFont val="Arial"/>
        <family val="0"/>
        <charset val="1"/>
      </rPr>
      <t xml:space="preserve">)</t>
    </r>
    <r>
      <rPr>
        <sz val="10"/>
        <rFont val="Noto Sans CJK SC"/>
        <family val="2"/>
      </rPr>
      <t xml:space="preserve">零畝零分零釐零毫均作為本戶全家私有產業有耕種居住典賣轉讓贈與出租等完全自由任何人不得侵犯特給此證計開</t>
    </r>
  </si>
  <si>
    <t xml:space="preserve">31735066267430_001</t>
  </si>
  <si>
    <t xml:space="preserve">31735066267430</t>
  </si>
  <si>
    <t xml:space="preserve">陳佃</t>
  </si>
  <si>
    <t xml:space="preserve">施至尚</t>
  </si>
  <si>
    <t xml:space="preserve">Box 4, Folder 203</t>
  </si>
  <si>
    <t xml:space="preserve">施至一</t>
  </si>
  <si>
    <t xml:space="preserve">紙契草折 分定公府政民人縣江晉省建福</t>
  </si>
  <si>
    <t xml:space="preserve">https://digital.library.pitt.edu/islandora/object/pitt:31735066267430</t>
  </si>
  <si>
    <r>
      <rPr>
        <sz val="10"/>
        <rFont val="Arial"/>
        <family val="0"/>
        <charset val="1"/>
      </rPr>
      <t xml:space="preserve">029315</t>
    </r>
    <r>
      <rPr>
        <sz val="10"/>
        <rFont val="Noto Sans CJK SC"/>
        <family val="2"/>
      </rPr>
      <t xml:space="preserve">紙契草折分定公府政民人縣江晉省建福契文原所有人承受人不動產種類座落四至土地面積屋式田地等級估價姓名住址姓名住址土地東西南北西東北南米分壹厘陳佃王商叶</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施至尚</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華峰鄉施至尚</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西面西面西面西面自界自界自界自界水溝北南東西谷拾叁第五正附記中證人施性樸</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代筆人施至一</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鄉長施至一</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農會主席施光來監証人一九五年月日立步守第</t>
    </r>
    <r>
      <rPr>
        <sz val="10"/>
        <rFont val="Arial"/>
        <family val="0"/>
        <charset val="1"/>
      </rPr>
      <t xml:space="preserve">...(Verticaltextontherightmargin)</t>
    </r>
  </si>
  <si>
    <t xml:space="preserve">31735066267430_002</t>
  </si>
  <si>
    <t xml:space="preserve">公元 一九五二年</t>
  </si>
  <si>
    <t xml:space="preserve">西面肥田產量面積〇畝米分厘〇毫上</t>
  </si>
  <si>
    <t xml:space="preserve">2222</t>
  </si>
  <si>
    <r>
      <rPr>
        <sz val="10"/>
        <rFont val="Arial"/>
        <family val="0"/>
        <charset val="1"/>
      </rPr>
      <t xml:space="preserve">2222</t>
    </r>
    <r>
      <rPr>
        <sz val="10"/>
        <rFont val="Noto Sans CJK SC"/>
        <family val="2"/>
      </rPr>
      <t xml:space="preserve">契紙折分福建省人民政府公定承受人姓名施金有簽名蓋章原所有人姓名陳佃簽名蓋章不動產種類農等級坐落西面肥田產量面積〇畝米分厘〇毫上手原契四至東至南至西至北至自色地水塘地石塘地水塘地立契日期八月屋式佔價式合合前監證人簽名蓋章施金有施光來印繳納稅額附記公元一九五二年八月十五日發給收執晉江縣人晉江縣縣長李慶</t>
    </r>
    <r>
      <rPr>
        <sz val="10"/>
        <rFont val="Arial"/>
        <family val="0"/>
        <charset val="1"/>
      </rPr>
      <t xml:space="preserve">(</t>
    </r>
    <r>
      <rPr>
        <sz val="10"/>
        <rFont val="Noto Sans CJK SC"/>
        <family val="2"/>
      </rPr>
      <t xml:space="preserve">此聯交申請所有權承受人存執</t>
    </r>
    <r>
      <rPr>
        <sz val="10"/>
        <rFont val="Arial"/>
        <family val="0"/>
        <charset val="1"/>
      </rPr>
      <t xml:space="preserve">)</t>
    </r>
  </si>
  <si>
    <t xml:space="preserve">31735066267430_003</t>
  </si>
  <si>
    <t xml:space="preserve">31735066267448_001</t>
  </si>
  <si>
    <t xml:space="preserve">31735066267448</t>
  </si>
  <si>
    <t xml:space="preserve">黃志林</t>
  </si>
  <si>
    <t xml:space="preserve">劉子珜</t>
  </si>
  <si>
    <t xml:space="preserve">Box 1, Folder 38</t>
  </si>
  <si>
    <t xml:space="preserve">立增我字</t>
  </si>
  <si>
    <t xml:space="preserve">同治貳年</t>
  </si>
  <si>
    <t xml:space="preserve">黃志林緣</t>
  </si>
  <si>
    <t xml:space="preserve">米數銀而前契大載明今因缺錢應用自</t>
  </si>
  <si>
    <t xml:space="preserve">田骨</t>
  </si>
  <si>
    <t xml:space="preserve">札洋銀壹錢正</t>
  </si>
  <si>
    <t xml:space="preserve">劉忠</t>
  </si>
  <si>
    <t xml:space="preserve">https://digital.library.pitt.edu/islandora/object/pitt:31735066267448</t>
  </si>
  <si>
    <t xml:space="preserve">立增我字人黃志林緣因自己手賣有田骨米坐落米數銀而前契大載明今因缺錢應用自己復托原中勸諭向買主劉子祥名下增我字洋銀叁兩正戒字之日壹併交足未久分厘自增我之後任憑買主前去收租營業賣者再無言增言我之理此係兩家甘允各無攸悔今欲有憑立增我字為照本日實收得增我字內洋銀叁兩正足憑外用中見札洋銀壹錢正同治貳年拾二月日立增我字人黃志林緣為中在見人券註有口劉貴年為代筆人劉忠為</t>
  </si>
  <si>
    <t xml:space="preserve">31735066267455_001</t>
  </si>
  <si>
    <t xml:space="preserve">31735066267455</t>
  </si>
  <si>
    <t xml:space="preserve">1951</t>
  </si>
  <si>
    <t xml:space="preserve">南安</t>
  </si>
  <si>
    <t xml:space="preserve">福建省南安縣</t>
  </si>
  <si>
    <t xml:space="preserve">王萃延</t>
  </si>
  <si>
    <t xml:space="preserve">Box 4, Folder 194</t>
  </si>
  <si>
    <r>
      <rPr>
        <sz val="10"/>
        <rFont val="Noto Sans CJK SC"/>
        <family val="2"/>
      </rPr>
      <t xml:space="preserve">土地房產有所證 </t>
    </r>
    <r>
      <rPr>
        <sz val="10"/>
        <rFont val="Arial"/>
        <family val="0"/>
        <charset val="1"/>
      </rPr>
      <t xml:space="preserve">| </t>
    </r>
    <r>
      <rPr>
        <sz val="10"/>
        <rFont val="Noto Sans CJK SC"/>
        <family val="2"/>
      </rPr>
      <t xml:space="preserve">福建省 南安縣土地房產所有證 </t>
    </r>
    <r>
      <rPr>
        <sz val="10"/>
        <rFont val="Arial"/>
        <family val="0"/>
        <charset val="1"/>
      </rPr>
      <t xml:space="preserve">| </t>
    </r>
    <r>
      <rPr>
        <sz val="10"/>
        <rFont val="Noto Sans CJK SC"/>
        <family val="2"/>
      </rPr>
      <t xml:space="preserve">計開</t>
    </r>
  </si>
  <si>
    <r>
      <rPr>
        <sz val="10"/>
        <rFont val="Noto Sans CJK SC"/>
        <family val="2"/>
      </rPr>
      <t xml:space="preserve">南字第 </t>
    </r>
    <r>
      <rPr>
        <sz val="10"/>
        <rFont val="Arial"/>
        <family val="0"/>
        <charset val="1"/>
      </rPr>
      <t xml:space="preserve">034062 </t>
    </r>
    <r>
      <rPr>
        <sz val="10"/>
        <rFont val="Noto Sans CJK SC"/>
        <family val="2"/>
      </rPr>
      <t xml:space="preserve">號</t>
    </r>
  </si>
  <si>
    <t xml:space="preserve">https://digital.library.pitt.edu/islandora/object/pitt:31735066267455</t>
  </si>
  <si>
    <r>
      <rPr>
        <sz val="10"/>
        <rFont val="Noto Sans CJK SC"/>
        <family val="2"/>
      </rPr>
      <t xml:space="preserve">土地房產有所證福建省南安縣土地房產所有證第拾壹區紫陽鄉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下房村居民王莘廷余王治上依據中國人民政治協商會議共同綱領第二十七條「保護農民已得土地所有權」暨中華人民共和國土地改革法第三十條「土地改革完成後由人民政府發給土地所有證」之規定確定本戶全家所有土地共計可耕地參拾段</t>
    </r>
    <r>
      <rPr>
        <sz val="10"/>
        <rFont val="Arial"/>
        <family val="0"/>
        <charset val="1"/>
      </rPr>
      <t xml:space="preserve">(</t>
    </r>
    <r>
      <rPr>
        <sz val="10"/>
        <rFont val="Noto Sans CJK SC"/>
        <family val="2"/>
      </rPr>
      <t xml:space="preserve">坵</t>
    </r>
    <r>
      <rPr>
        <sz val="10"/>
        <rFont val="Arial"/>
        <family val="0"/>
        <charset val="1"/>
      </rPr>
      <t xml:space="preserve">)</t>
    </r>
    <r>
      <rPr>
        <sz val="10"/>
        <rFont val="Noto Sans CJK SC"/>
        <family val="2"/>
      </rPr>
      <t xml:space="preserve">參拾畝參分參毫房產共計房屋玖間地基伍段</t>
    </r>
    <r>
      <rPr>
        <sz val="10"/>
        <rFont val="Arial"/>
        <family val="0"/>
        <charset val="1"/>
      </rPr>
      <t xml:space="preserve">(</t>
    </r>
    <r>
      <rPr>
        <sz val="10"/>
        <rFont val="Noto Sans CJK SC"/>
        <family val="2"/>
      </rPr>
      <t xml:space="preserve">坵</t>
    </r>
    <r>
      <rPr>
        <sz val="10"/>
        <rFont val="Arial"/>
        <family val="0"/>
        <charset val="1"/>
      </rPr>
      <t xml:space="preserve">)</t>
    </r>
    <r>
      <rPr>
        <sz val="10"/>
        <rFont val="Noto Sans CJK SC"/>
        <family val="2"/>
      </rPr>
      <t xml:space="preserve">參畝參分細釐參毫均作為本戶全家私有非耕地壹段</t>
    </r>
    <r>
      <rPr>
        <sz val="10"/>
        <rFont val="Arial"/>
        <family val="0"/>
        <charset val="1"/>
      </rPr>
      <t xml:space="preserve">(</t>
    </r>
    <r>
      <rPr>
        <sz val="10"/>
        <rFont val="Noto Sans CJK SC"/>
        <family val="2"/>
      </rPr>
      <t xml:space="preserve">坵</t>
    </r>
    <r>
      <rPr>
        <sz val="10"/>
        <rFont val="Arial"/>
        <family val="0"/>
        <charset val="1"/>
      </rPr>
      <t xml:space="preserve">)</t>
    </r>
    <r>
      <rPr>
        <sz val="10"/>
        <rFont val="Noto Sans CJK SC"/>
        <family val="2"/>
      </rPr>
      <t xml:space="preserve">壹畝壹分壹毫房產共計房屋玖間地基伍段</t>
    </r>
    <r>
      <rPr>
        <sz val="10"/>
        <rFont val="Arial"/>
        <family val="0"/>
        <charset val="1"/>
      </rPr>
      <t xml:space="preserve">(</t>
    </r>
    <r>
      <rPr>
        <sz val="10"/>
        <rFont val="Noto Sans CJK SC"/>
        <family val="2"/>
      </rPr>
      <t xml:space="preserve">坵</t>
    </r>
    <r>
      <rPr>
        <sz val="10"/>
        <rFont val="Arial"/>
        <family val="0"/>
        <charset val="1"/>
      </rPr>
      <t xml:space="preserve">)</t>
    </r>
    <r>
      <rPr>
        <sz val="10"/>
        <rFont val="Noto Sans CJK SC"/>
        <family val="2"/>
      </rPr>
      <t xml:space="preserve">參畝參分細釐參毫均作為本戶全家私有產業有耕種居住典賣轉讓贈與出租等完全自由任何人不得侵犯特給此證計開縣長馬鳴琴南字第</t>
    </r>
    <r>
      <rPr>
        <sz val="10"/>
        <rFont val="Arial"/>
        <family val="0"/>
        <charset val="1"/>
      </rPr>
      <t xml:space="preserve">034062</t>
    </r>
    <r>
      <rPr>
        <sz val="10"/>
        <rFont val="Noto Sans CJK SC"/>
        <family val="2"/>
      </rPr>
      <t xml:space="preserve">號座落種類地名原田地習慣單位數折市畝數四至長寬尺度附屬物備考村北農寮頂參參東王治商農王治林農南溪路唐何壹拾貳尺細拾貳尺村北農寮頂壹壹東下店農王治林農南非地農路壹何貳拾貳尺細拾貳尺村東農燉後參參東塘頭農王治林農北非地農路壹何貳拾貳尺細拾貳尺村東農燉後參參東塘頭農王治林農北非地農路壹何貳拾貳尺細拾貳尺村北農望溪門口參參東塘頭農王治林農北非地農路壹何貳拾貳尺細拾貳尺村北農望溪門口參參東塘頭農王治林農北非地農路壹何貳拾貳尺細拾貳尺村東農溪園參參東塘頭農王治林農北非地農路壹何貳拾貳尺細拾貳尺村北農後園參參東塘頭農王治林農北非地農路壹何貳拾貳尺細拾貳尺村北農後園參參東塘頭農王治林農北非地農路壹何貳拾貳尺細拾貳尺村北農後園參參東塘頭農王治林農北非地農路壹何貳拾貳尺細拾貳尺村北農溪尾下參參東塘頭農王治林農北非地農路壹何貳拾貳尺細拾貳尺座落種類間數參參東塘頭農王治林農北非地農路壹何貳拾貳尺細拾貳尺下塘某參參東塘頭農王治林農北非地農路壹何貳拾貳尺細拾貳尺一九五一年月日發</t>
    </r>
  </si>
  <si>
    <t xml:space="preserve">31735066267463_001</t>
  </si>
  <si>
    <t xml:space="preserve">31735066267463</t>
  </si>
  <si>
    <r>
      <rPr>
        <sz val="10"/>
        <rFont val="Noto Sans CJK SC"/>
        <family val="2"/>
      </rPr>
      <t xml:space="preserve">黃滑 </t>
    </r>
    <r>
      <rPr>
        <sz val="10"/>
        <rFont val="Arial"/>
        <family val="0"/>
        <charset val="1"/>
      </rPr>
      <t xml:space="preserve">| </t>
    </r>
    <r>
      <rPr>
        <sz val="10"/>
        <rFont val="Noto Sans CJK SC"/>
        <family val="2"/>
      </rPr>
      <t xml:space="preserve">黃嚕 </t>
    </r>
    <r>
      <rPr>
        <sz val="10"/>
        <rFont val="Arial"/>
        <family val="0"/>
        <charset val="1"/>
      </rPr>
      <t xml:space="preserve">| </t>
    </r>
    <r>
      <rPr>
        <sz val="10"/>
        <rFont val="Noto Sans CJK SC"/>
        <family val="2"/>
      </rPr>
      <t xml:space="preserve">黃世 </t>
    </r>
    <r>
      <rPr>
        <sz val="10"/>
        <rFont val="Arial"/>
        <family val="0"/>
        <charset val="1"/>
      </rPr>
      <t xml:space="preserve">| </t>
    </r>
    <r>
      <rPr>
        <sz val="10"/>
        <rFont val="Noto Sans CJK SC"/>
        <family val="2"/>
      </rPr>
      <t xml:space="preserve">連芳</t>
    </r>
  </si>
  <si>
    <t xml:space="preserve">Box 4, Folder 200</t>
  </si>
  <si>
    <r>
      <rPr>
        <sz val="10"/>
        <rFont val="Noto Sans CJK SC"/>
        <family val="2"/>
      </rPr>
      <t xml:space="preserve">土地房產有所證 </t>
    </r>
    <r>
      <rPr>
        <sz val="10"/>
        <rFont val="Arial"/>
        <family val="0"/>
        <charset val="1"/>
      </rPr>
      <t xml:space="preserve">| </t>
    </r>
    <r>
      <rPr>
        <sz val="10"/>
        <rFont val="Noto Sans CJK SC"/>
        <family val="2"/>
      </rPr>
      <t xml:space="preserve">福建省南安縣土地房產所有證</t>
    </r>
  </si>
  <si>
    <r>
      <rPr>
        <sz val="10"/>
        <rFont val="Noto Sans CJK SC"/>
        <family val="2"/>
      </rPr>
      <t xml:space="preserve">南字第 </t>
    </r>
    <r>
      <rPr>
        <sz val="10"/>
        <rFont val="Arial"/>
        <family val="0"/>
        <charset val="1"/>
      </rPr>
      <t xml:space="preserve">193162 </t>
    </r>
    <r>
      <rPr>
        <sz val="10"/>
        <rFont val="Noto Sans CJK SC"/>
        <family val="2"/>
      </rPr>
      <t xml:space="preserve">號</t>
    </r>
  </si>
  <si>
    <t xml:space="preserve">https://digital.library.pitt.edu/islandora/object/pitt:31735066267463</t>
  </si>
  <si>
    <r>
      <rPr>
        <sz val="10"/>
        <rFont val="Noto Sans CJK SC"/>
        <family val="2"/>
      </rPr>
      <t xml:space="preserve">土地房產有所證福建省南安縣土地房產所有證南字第</t>
    </r>
    <r>
      <rPr>
        <sz val="10"/>
        <rFont val="Arial"/>
        <family val="0"/>
        <charset val="1"/>
      </rPr>
      <t xml:space="preserve">193162</t>
    </r>
    <r>
      <rPr>
        <sz val="10"/>
        <rFont val="Noto Sans CJK SC"/>
        <family val="2"/>
      </rPr>
      <t xml:space="preserve">號本縣土地房產所有證，係根據中國人民政治協商會議共同綱領第十七條「保護農民已得土地所有權」之規定，暨中華人民共和國土地改革法第三十條「土地改革完成後，中央人民政府發給土地所有證」之規定，定於本年十一月一日起，凡本縣土地所有權人，均應向本縣土地房產所有證發給處，領取土地所有證。此證為土地所有權之憑證，其效力與土地所有權相同。凡土地所有權人，應於領取土地所有證後，向本縣土地房產所有證發給處，領取土地所有證。此證為土地所有權之憑證，其效力與土地所有權相同。凡土地所有權人，應於領取土地所有證後，向本縣土地房產所有證發給處，領取土地所有證。此證為土地所有權之憑證，其效力與土地所有權相同。</t>
    </r>
  </si>
  <si>
    <t xml:space="preserve">31735066267471_001</t>
  </si>
  <si>
    <t xml:space="preserve">31735066267471</t>
  </si>
  <si>
    <t xml:space="preserve">1813</t>
  </si>
  <si>
    <t xml:space="preserve">劉欽達違</t>
  </si>
  <si>
    <t xml:space="preserve">劉王建</t>
  </si>
  <si>
    <t xml:space="preserve">Box 1, Folder 18</t>
  </si>
  <si>
    <r>
      <rPr>
        <sz val="10"/>
        <rFont val="Noto Sans CJK SC"/>
        <family val="2"/>
      </rPr>
      <t xml:space="preserve">乾隆十五年</t>
    </r>
    <r>
      <rPr>
        <sz val="10"/>
        <rFont val="Arial"/>
        <family val="0"/>
        <charset val="1"/>
      </rPr>
      <t xml:space="preserve">; </t>
    </r>
    <r>
      <rPr>
        <sz val="10"/>
        <rFont val="Noto Sans CJK SC"/>
        <family val="2"/>
      </rPr>
      <t xml:space="preserve">嘉慶 十八年</t>
    </r>
    <r>
      <rPr>
        <sz val="10"/>
        <rFont val="Arial"/>
        <family val="0"/>
        <charset val="1"/>
      </rPr>
      <t xml:space="preserve">; </t>
    </r>
    <r>
      <rPr>
        <sz val="10"/>
        <rFont val="Noto Sans CJK SC"/>
        <family val="2"/>
      </rPr>
      <t xml:space="preserve">嘉慶十八年</t>
    </r>
  </si>
  <si>
    <r>
      <rPr>
        <sz val="10"/>
        <rFont val="Noto Sans CJK SC"/>
        <family val="2"/>
      </rPr>
      <t xml:space="preserve">建陽</t>
    </r>
    <r>
      <rPr>
        <sz val="10"/>
        <rFont val="Arial"/>
        <family val="0"/>
        <charset val="1"/>
      </rPr>
      <t xml:space="preserve">; </t>
    </r>
    <r>
      <rPr>
        <sz val="10"/>
        <rFont val="Noto Sans CJK SC"/>
        <family val="2"/>
      </rPr>
      <t xml:space="preserve">劉王建</t>
    </r>
  </si>
  <si>
    <t xml:space="preserve">https://digital.library.pitt.edu/islandora/object/pitt:31735066267471</t>
  </si>
  <si>
    <r>
      <rPr>
        <sz val="10"/>
        <rFont val="Noto Sans CJK SC"/>
        <family val="2"/>
      </rPr>
      <t xml:space="preserve">契尾福建等處承宣布政使司為遵旨議奏事乾隆十五年正月二十四日奉准戶部咨河南司案呈所有本部議覆河南布政使當明條奏實田產將契尾粘連用印存貯申送府州藩司查驗等因一摺于本年十二月十二日奏本日奉旨依議欽此相應抄錄原奏并頒發格式行文編繕巡撫欽遵辦理可也計粘單一紙格式一張內開該臣等查存該布政使當明條奏實田產將契尾粘連用印存貯申送府州藩司查驗等因一摺于本年十二月十二日奏本日奉俞允保命下之日臣部頒發格式通行布政使司等因查行司奉此計開案對王建劉銘遠田世藩用價契於任內新稅等項之內。持布字壹拾貳萬玖千玖百叁拾玖號右給建陽縣業戶劉王建准此嘉慶十八年八月日嘉慶十八年八月</t>
    </r>
    <r>
      <rPr>
        <sz val="10"/>
        <rFont val="Arial"/>
        <family val="0"/>
        <charset val="1"/>
      </rPr>
      <t xml:space="preserve">'.</t>
    </r>
  </si>
  <si>
    <t xml:space="preserve">31735066267489_001</t>
  </si>
  <si>
    <t xml:space="preserve">31735066267489</t>
  </si>
  <si>
    <t xml:space="preserve">1928/1935</t>
  </si>
  <si>
    <t xml:space="preserve">Box 3, Folder 132</t>
  </si>
  <si>
    <t xml:space="preserve">民國拾七年</t>
  </si>
  <si>
    <t xml:space="preserve">價銀大洋貳佰貳拾員正</t>
  </si>
  <si>
    <t xml:space="preserve">党後洋過墳</t>
  </si>
  <si>
    <r>
      <rPr>
        <sz val="10"/>
        <rFont val="Noto Sans CJK SC"/>
        <family val="2"/>
      </rPr>
      <t xml:space="preserve">根面全田</t>
    </r>
    <r>
      <rPr>
        <sz val="10"/>
        <rFont val="Arial"/>
        <family val="0"/>
        <charset val="1"/>
      </rPr>
      <t xml:space="preserve">; </t>
    </r>
    <r>
      <rPr>
        <sz val="10"/>
        <rFont val="Noto Sans CJK SC"/>
        <family val="2"/>
      </rPr>
      <t xml:space="preserve">墳</t>
    </r>
  </si>
  <si>
    <r>
      <rPr>
        <sz val="10"/>
        <rFont val="Noto Sans CJK SC"/>
        <family val="2"/>
      </rPr>
      <t xml:space="preserve">叔祖智順</t>
    </r>
    <r>
      <rPr>
        <sz val="10"/>
        <rFont val="Arial"/>
        <family val="0"/>
        <charset val="1"/>
      </rPr>
      <t xml:space="preserve">; </t>
    </r>
    <r>
      <rPr>
        <sz val="10"/>
        <rFont val="Noto Sans CJK SC"/>
        <family val="2"/>
      </rPr>
      <t xml:space="preserve">兄國翰</t>
    </r>
  </si>
  <si>
    <t xml:space="preserve">母劉氏</t>
  </si>
  <si>
    <t xml:space="preserve">https://digital.library.pitt.edu/islandora/object/pitt:31735066267489</t>
  </si>
  <si>
    <t xml:space="preserve">立賣斷根面全田契張國光係在五十三都角洋鄉住人自己承祖遺手置閭六下有課田數號坐產本地方土名柯嶺墘上下依年受種式拾納正又銀田壘號土名党後洋過墳等處年受種壘拾納正逾年納出面租陸拾納正今同要錢使甲自愿託中向到本房堂兄張國寶處經三面言議本日將此兩號之田賣斷出價銀大洋貳佰貳拾員正其銀即日隨契交足其田即所銀土起田耕作過甲入戶完課永遠受業不得翻言但此田係先承祖遺閭分物業市佰叔兄弟便無干並無重張典當他人若有來歷不明光自愿出首抵當自賣斷之後價足心愿永斷割藤而兄自悔恐口無憑立賣斷根面全田契壘帛付執永遠為照在見叔祖智順全見叔經清知契母劉氏民國拾七年正月吉日親立賣斷番全契張國光墓中人叔經枝在見兄國翰叔經波叔經波叔經波叔經波叔經波叔經波叔經波叔經波叔經波</t>
  </si>
  <si>
    <t xml:space="preserve">31735066267489_002</t>
  </si>
  <si>
    <r>
      <rPr>
        <sz val="10"/>
        <rFont val="Noto Sans CJK SC"/>
        <family val="2"/>
      </rPr>
      <t xml:space="preserve">民國七年</t>
    </r>
    <r>
      <rPr>
        <sz val="10"/>
        <rFont val="Arial"/>
        <family val="0"/>
        <charset val="1"/>
      </rPr>
      <t xml:space="preserve">; </t>
    </r>
    <r>
      <rPr>
        <sz val="10"/>
        <rFont val="Noto Sans CJK SC"/>
        <family val="2"/>
      </rPr>
      <t xml:space="preserve">中華民國 七年</t>
    </r>
  </si>
  <si>
    <t xml:space="preserve">價貳百貳拾元</t>
  </si>
  <si>
    <t xml:space="preserve">經枝</t>
  </si>
  <si>
    <r>
      <rPr>
        <sz val="10"/>
        <rFont val="Noto Sans CJK SC"/>
        <family val="2"/>
      </rPr>
      <t xml:space="preserve">賣 </t>
    </r>
    <r>
      <rPr>
        <sz val="10"/>
        <rFont val="Arial"/>
        <family val="0"/>
        <charset val="1"/>
      </rPr>
      <t xml:space="preserve">| </t>
    </r>
    <r>
      <rPr>
        <sz val="10"/>
        <rFont val="Noto Sans CJK SC"/>
        <family val="2"/>
      </rPr>
      <t xml:space="preserve">契 </t>
    </r>
    <r>
      <rPr>
        <sz val="10"/>
        <rFont val="Arial"/>
        <family val="0"/>
        <charset val="1"/>
      </rPr>
      <t xml:space="preserve">| </t>
    </r>
    <r>
      <rPr>
        <sz val="10"/>
        <rFont val="Noto Sans CJK SC"/>
        <family val="2"/>
      </rPr>
      <t xml:space="preserve">例 </t>
    </r>
    <r>
      <rPr>
        <sz val="10"/>
        <rFont val="Arial"/>
        <family val="0"/>
        <charset val="1"/>
      </rPr>
      <t xml:space="preserve">| </t>
    </r>
    <r>
      <rPr>
        <sz val="10"/>
        <rFont val="Noto Sans CJK SC"/>
        <family val="2"/>
      </rPr>
      <t xml:space="preserve">要</t>
    </r>
  </si>
  <si>
    <r>
      <rPr>
        <sz val="10"/>
        <rFont val="Noto Sans CJK SC"/>
        <family val="2"/>
      </rPr>
      <t xml:space="preserve">賣契稅契買主姓名張國寶不動產種類田賣價貳百貳拾元應納稅額壹拾叁元貳角原契幾張立契年月日民國七年三月例此係向人承租</t>
    </r>
    <r>
      <rPr>
        <sz val="10"/>
        <rFont val="Arial"/>
        <family val="0"/>
        <charset val="1"/>
      </rPr>
      <t xml:space="preserve">...</t>
    </r>
    <r>
      <rPr>
        <sz val="10"/>
        <rFont val="Noto Sans CJK SC"/>
        <family val="2"/>
      </rPr>
      <t xml:space="preserve">向章聲請派委查勘</t>
    </r>
    <r>
      <rPr>
        <sz val="10"/>
        <rFont val="Arial"/>
        <family val="0"/>
        <charset val="1"/>
      </rPr>
      <t xml:space="preserve">...</t>
    </r>
    <r>
      <rPr>
        <sz val="10"/>
        <rFont val="Noto Sans CJK SC"/>
        <family val="2"/>
      </rPr>
      <t xml:space="preserve">投稅者</t>
    </r>
    <r>
      <rPr>
        <sz val="10"/>
        <rFont val="Arial"/>
        <family val="0"/>
        <charset val="1"/>
      </rPr>
      <t xml:space="preserve">...</t>
    </r>
    <r>
      <rPr>
        <sz val="10"/>
        <rFont val="Noto Sans CJK SC"/>
        <family val="2"/>
      </rPr>
      <t xml:space="preserve">要中華民國七年九月廿日中人經枝賣主張國光稅契員蔡瑞物縣給坐面落五十三都積受種叁拾畝四至南至東至西至北至</t>
    </r>
  </si>
  <si>
    <t xml:space="preserve">31735066267497_001</t>
  </si>
  <si>
    <t xml:space="preserve">31735066267497</t>
  </si>
  <si>
    <t xml:space="preserve">東山</t>
  </si>
  <si>
    <t xml:space="preserve">福建省東山縣</t>
  </si>
  <si>
    <t xml:space="preserve">方圍九</t>
  </si>
  <si>
    <t xml:space="preserve">林武</t>
  </si>
  <si>
    <t xml:space="preserve">Box 4, Folder 204</t>
  </si>
  <si>
    <t xml:space="preserve">人民幣</t>
  </si>
  <si>
    <r>
      <rPr>
        <sz val="10"/>
        <rFont val="Noto Sans CJK SC"/>
        <family val="2"/>
      </rPr>
      <t xml:space="preserve">左東山縣城閭區第二街文公祠門牌</t>
    </r>
    <r>
      <rPr>
        <sz val="10"/>
        <rFont val="Arial"/>
        <family val="0"/>
        <charset val="1"/>
      </rPr>
      <t xml:space="preserve">1</t>
    </r>
  </si>
  <si>
    <t xml:space="preserve">介紹典與東山縣城</t>
  </si>
  <si>
    <t xml:space="preserve">朱占芳</t>
  </si>
  <si>
    <r>
      <rPr>
        <sz val="10"/>
        <rFont val="Arial"/>
        <family val="0"/>
        <charset val="1"/>
      </rPr>
      <t xml:space="preserve">1</t>
    </r>
    <r>
      <rPr>
        <sz val="10"/>
        <rFont val="Noto Sans CJK SC"/>
        <family val="2"/>
      </rPr>
      <t xml:space="preserve">號正字第</t>
    </r>
    <r>
      <rPr>
        <sz val="10"/>
        <rFont val="Arial"/>
        <family val="0"/>
        <charset val="1"/>
      </rPr>
      <t xml:space="preserve">4</t>
    </r>
    <r>
      <rPr>
        <sz val="10"/>
        <rFont val="Noto Sans CJK SC"/>
        <family val="2"/>
      </rPr>
      <t xml:space="preserve">段</t>
    </r>
    <r>
      <rPr>
        <sz val="10"/>
        <rFont val="Arial"/>
        <family val="0"/>
        <charset val="1"/>
      </rPr>
      <t xml:space="preserve">11</t>
    </r>
    <r>
      <rPr>
        <sz val="10"/>
        <rFont val="Noto Sans CJK SC"/>
        <family val="2"/>
      </rPr>
      <t xml:space="preserve">號</t>
    </r>
  </si>
  <si>
    <t xml:space="preserve">https://digital.library.pitt.edu/islandora/object/pitt:31735066267497</t>
  </si>
  <si>
    <r>
      <rPr>
        <sz val="10"/>
        <rFont val="Noto Sans CJK SC"/>
        <family val="2"/>
      </rPr>
      <t xml:space="preserve">立典契人東山縣城閭區第三街大堤下巷門牌</t>
    </r>
    <r>
      <rPr>
        <sz val="10"/>
        <rFont val="Arial"/>
        <family val="0"/>
        <charset val="1"/>
      </rPr>
      <t xml:space="preserve">6</t>
    </r>
    <r>
      <rPr>
        <sz val="10"/>
        <rFont val="Noto Sans CJK SC"/>
        <family val="2"/>
      </rPr>
      <t xml:space="preserve">號方圍九因乏項費用將自己土地坐落左東山縣城閭區第二街文公祠門牌</t>
    </r>
    <r>
      <rPr>
        <sz val="10"/>
        <rFont val="Arial"/>
        <family val="0"/>
        <charset val="1"/>
      </rPr>
      <t xml:space="preserve">11</t>
    </r>
    <r>
      <rPr>
        <sz val="10"/>
        <rFont val="Noto Sans CJK SC"/>
        <family val="2"/>
      </rPr>
      <t xml:space="preserve">號正字第</t>
    </r>
    <r>
      <rPr>
        <sz val="10"/>
        <rFont val="Arial"/>
        <family val="0"/>
        <charset val="1"/>
      </rPr>
      <t xml:space="preserve">4</t>
    </r>
    <r>
      <rPr>
        <sz val="10"/>
        <rFont val="Noto Sans CJK SC"/>
        <family val="2"/>
      </rPr>
      <t xml:space="preserve">段</t>
    </r>
    <r>
      <rPr>
        <sz val="10"/>
        <rFont val="Arial"/>
        <family val="0"/>
        <charset val="1"/>
      </rPr>
      <t xml:space="preserve">11</t>
    </r>
    <r>
      <rPr>
        <sz val="10"/>
        <rFont val="Noto Sans CJK SC"/>
        <family val="2"/>
      </rPr>
      <t xml:space="preserve">號地名房屋坐落面積畝數壹仟叁毫建築屋式樓頂前房壹間後房壹間樓下後房壹間計共叁間大廳天井水井門路公用東至高立厝共牆南至公路迤西至公巷迤北至山大石前四至明白為界一坊土木石器相連左內今由中人介紹典與東山縣城閭區第一街門牌</t>
    </r>
    <r>
      <rPr>
        <sz val="10"/>
        <rFont val="Arial"/>
        <family val="0"/>
        <charset val="1"/>
      </rPr>
      <t xml:space="preserve">11</t>
    </r>
    <r>
      <rPr>
        <sz val="10"/>
        <rFont val="Noto Sans CJK SC"/>
        <family val="2"/>
      </rPr>
      <t xml:space="preserve">號林武三面議明典價人民幣壹佰陸拾萬九該款即日同中親叔足訖其業隨交典主掌管使用該厝限至叁年終項便之日贖回文契大各不異言反悔口恐無憑特立典契壹紙為憑立典契人方圍九中証人方添喜監証人第二街長張崔代書人朱占芳公元壬戌伍叁年玖月壹日合同對正</t>
    </r>
    <r>
      <rPr>
        <sz val="10"/>
        <rFont val="Arial"/>
        <family val="0"/>
        <charset val="1"/>
      </rPr>
      <t xml:space="preserve">...</t>
    </r>
  </si>
  <si>
    <t xml:space="preserve">31735066267497_002</t>
  </si>
  <si>
    <t xml:space="preserve">公元一九五〇年</t>
  </si>
  <si>
    <t xml:space="preserve">約由</t>
  </si>
  <si>
    <t xml:space="preserve">第貳式街文公祠腳門牌四號面積畝分</t>
  </si>
  <si>
    <r>
      <rPr>
        <sz val="10"/>
        <rFont val="Noto Sans CJK SC"/>
        <family val="2"/>
      </rPr>
      <t xml:space="preserve">稅契暫行條例 </t>
    </r>
    <r>
      <rPr>
        <sz val="10"/>
        <rFont val="Arial"/>
        <family val="0"/>
        <charset val="1"/>
      </rPr>
      <t xml:space="preserve">| </t>
    </r>
    <r>
      <rPr>
        <sz val="10"/>
        <rFont val="Noto Sans CJK SC"/>
        <family val="2"/>
      </rPr>
      <t xml:space="preserve">福建省人民政府公定 典契紙</t>
    </r>
  </si>
  <si>
    <r>
      <rPr>
        <sz val="10"/>
        <rFont val="Noto Sans CJK SC"/>
        <family val="2"/>
      </rPr>
      <t xml:space="preserve">稅契暫行條例</t>
    </r>
    <r>
      <rPr>
        <sz val="10"/>
        <rFont val="Arial"/>
        <family val="0"/>
        <charset val="1"/>
      </rPr>
      <t xml:space="preserve">(</t>
    </r>
    <r>
      <rPr>
        <sz val="10"/>
        <rFont val="Noto Sans CJK SC"/>
        <family val="2"/>
      </rPr>
      <t xml:space="preserve">一九五〇年三月卅一日政務院第廿六次政務會議通過</t>
    </r>
    <r>
      <rPr>
        <sz val="10"/>
        <rFont val="Arial"/>
        <family val="0"/>
        <charset val="1"/>
      </rPr>
      <t xml:space="preserve">)</t>
    </r>
    <r>
      <rPr>
        <sz val="10"/>
        <rFont val="Noto Sans CJK SC"/>
        <family val="2"/>
      </rPr>
      <t xml:space="preserve">第一條為保護人民土地房屋所有權並便利其移轉轉動制定本條例。第二條凡本條例施行區域鄉村以完成土地改革地區為限城市全國通用。第三條凡土地房屋之買賣典當贈與或交換均應憑土地房屋所有證並由當事人雙方訂立契約由承受人依照本條例完納契稅。第四條契稅由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征收之。第五條契稅稅率之規定如下：一、買賣契稅按買價征收百分之六。二、典當契稅按典當價征收百分之三。三、贈與契稅按現值價格征收百分之六。第六條先典後買之買賣契稅得以原納契稅額劃抵買賣契稅款但以承典人與買主同屬一人者為限繼承承典人之直屬親屬及配偶以同屬一人論。第七條交換之土地房屋兩方價值相等者免征契稅不相等者其超過部份按買契稅率納稅。第八條各機關與人民相互間有土地房屋之買賣典當贈與或交換行為者均應先納契稅。第九條凡屬共有土地房屋如今析歸應將原契連同分析單據呈繳後換發新契契稅照原契稅額只收契工本費。第十條已稅契紙如有毀壞或遺失者得報請區村政府召集鄰鄰出具證明聲明補契不另徵稅只收契工本費。第十一條完納契稅應於契約成立後三個月內辦理之逾期繳納者除照補稅外每月加收稅額百分之二十不足一月者以一月計但加收稅額不得超過原價。第十二條置產價者除黃令另換契紙據實改報補繳納稅額外並按短納稅款處以二倍至五倍之罰金。第十三條實際買賣典當或交換而以承繼分析等名義立契意圖逃稅者或已進行田房買賣隱匿不報者除責令據實換契完納外並處以應納稅額六倍至十倍之罰金。第十四條偽造證據侵佔地產或以應沒收之敵逆房地產冒名補契投稅者除沒收已交稅款外並送請人民法院處理。第十五條本條例施行細則由各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人民政府根據實際情況自行制定並報中央人民政府財政部備案。第十六條本條例自公佈之日施行。福建省人民政府公定典契紙承受人姓名林武不動產種類樓房坐落第貳式街文公祠腳門牌四號面積畝分厘毫四至屋式典價繳納稅額原所有人姓名方團九簽名蓋章等級正地段</t>
    </r>
    <r>
      <rPr>
        <sz val="10"/>
        <rFont val="Arial"/>
        <family val="0"/>
        <charset val="1"/>
      </rPr>
      <t xml:space="preserve">113</t>
    </r>
    <r>
      <rPr>
        <sz val="10"/>
        <rFont val="Noto Sans CJK SC"/>
        <family val="2"/>
      </rPr>
      <t xml:space="preserve">東至南至西至北至樓頂前房由間後房由間樓下後房由間億千百拾萬千百拾元千百拾萬千百十元立契日期公元一九五〇年九月廿日中證人簽名蓋章方添喜監證人簽名蓋章街長張附記限至參年終公元一九五〇年東山縣縣長作廢民國政府</t>
    </r>
    <r>
      <rPr>
        <sz val="10"/>
        <rFont val="Arial"/>
        <family val="0"/>
        <charset val="1"/>
      </rPr>
      <t xml:space="preserve">(</t>
    </r>
    <r>
      <rPr>
        <sz val="10"/>
        <rFont val="Noto Sans CJK SC"/>
        <family val="2"/>
      </rPr>
      <t xml:space="preserve">執存人受承權有所請申交聯此</t>
    </r>
    <r>
      <rPr>
        <sz val="10"/>
        <rFont val="Arial"/>
        <family val="0"/>
        <charset val="1"/>
      </rPr>
      <t xml:space="preserve">)</t>
    </r>
  </si>
  <si>
    <t xml:space="preserve">31735066267497_003</t>
  </si>
  <si>
    <t xml:space="preserve">繳款書</t>
  </si>
  <si>
    <r>
      <rPr>
        <sz val="10"/>
        <rFont val="Noto Sans CJK SC"/>
        <family val="2"/>
      </rPr>
      <t xml:space="preserve">字第 </t>
    </r>
    <r>
      <rPr>
        <sz val="10"/>
        <rFont val="Arial"/>
        <family val="0"/>
        <charset val="1"/>
      </rPr>
      <t xml:space="preserve">533 </t>
    </r>
    <r>
      <rPr>
        <sz val="10"/>
        <rFont val="Noto Sans CJK SC"/>
        <family val="2"/>
      </rPr>
      <t xml:space="preserve">號</t>
    </r>
  </si>
  <si>
    <r>
      <rPr>
        <sz val="10"/>
        <rFont val="Noto Sans CJK SC"/>
        <family val="2"/>
      </rPr>
      <t xml:space="preserve">繳款書第一聯收據字第</t>
    </r>
    <r>
      <rPr>
        <sz val="10"/>
        <rFont val="Arial"/>
        <family val="0"/>
        <charset val="1"/>
      </rPr>
      <t xml:space="preserve">533</t>
    </r>
    <r>
      <rPr>
        <sz val="10"/>
        <rFont val="Noto Sans CJK SC"/>
        <family val="2"/>
      </rPr>
      <t xml:space="preserve">號預算科目年月金額繳款人或單位收入機關或上關款項款項</t>
    </r>
    <r>
      <rPr>
        <sz val="10"/>
        <rFont val="Arial"/>
        <family val="0"/>
        <charset val="1"/>
      </rPr>
      <t xml:space="preserve">531148000</t>
    </r>
    <r>
      <rPr>
        <sz val="10"/>
        <rFont val="Noto Sans CJK SC"/>
        <family val="2"/>
      </rPr>
      <t xml:space="preserve">林武衡武合計本聯交款納人金額</t>
    </r>
    <r>
      <rPr>
        <sz val="10"/>
        <rFont val="Arial"/>
        <family val="0"/>
        <charset val="1"/>
      </rPr>
      <t xml:space="preserve">(</t>
    </r>
    <r>
      <rPr>
        <sz val="10"/>
        <rFont val="Noto Sans CJK SC"/>
        <family val="2"/>
      </rPr>
      <t xml:space="preserve">大寫</t>
    </r>
    <r>
      <rPr>
        <sz val="10"/>
        <rFont val="Arial"/>
        <family val="0"/>
        <charset val="1"/>
      </rPr>
      <t xml:space="preserve">)</t>
    </r>
    <r>
      <rPr>
        <sz val="10"/>
        <rFont val="Noto Sans CJK SC"/>
        <family val="2"/>
      </rPr>
      <t xml:space="preserve">肆萬捌仟正備註契券收入</t>
    </r>
    <r>
      <rPr>
        <sz val="10"/>
        <rFont val="Arial"/>
        <family val="0"/>
        <charset val="1"/>
      </rPr>
      <t xml:space="preserve">(</t>
    </r>
    <r>
      <rPr>
        <sz val="10"/>
        <rFont val="Noto Sans CJK SC"/>
        <family val="2"/>
      </rPr>
      <t xml:space="preserve">或填發</t>
    </r>
    <r>
      <rPr>
        <sz val="10"/>
        <rFont val="Arial"/>
        <family val="0"/>
        <charset val="1"/>
      </rPr>
      <t xml:space="preserve">)</t>
    </r>
    <r>
      <rPr>
        <sz val="10"/>
        <rFont val="Noto Sans CJK SC"/>
        <family val="2"/>
      </rPr>
      <t xml:space="preserve">機關負責人蓋章經手人蓋章填發日期一九五三年十一月廿日收款人負責人蓋章經手人蓋章</t>
    </r>
  </si>
  <si>
    <t xml:space="preserve">31735066267505_001</t>
  </si>
  <si>
    <t xml:space="preserve">31735066267505</t>
  </si>
  <si>
    <t xml:space="preserve">1954</t>
  </si>
  <si>
    <t xml:space="preserve">林清</t>
  </si>
  <si>
    <t xml:space="preserve">陳蕃薯</t>
  </si>
  <si>
    <t xml:space="preserve">Box 4, Folder 209</t>
  </si>
  <si>
    <r>
      <rPr>
        <sz val="10"/>
        <rFont val="Noto Sans CJK SC"/>
        <family val="2"/>
      </rPr>
      <t xml:space="preserve">公元一九五四年</t>
    </r>
    <r>
      <rPr>
        <sz val="10"/>
        <rFont val="Arial"/>
        <family val="0"/>
        <charset val="1"/>
      </rPr>
      <t xml:space="preserve">; </t>
    </r>
    <r>
      <rPr>
        <sz val="10"/>
        <rFont val="Noto Sans CJK SC"/>
        <family val="2"/>
      </rPr>
      <t xml:space="preserve">公元 一九六零年</t>
    </r>
  </si>
  <si>
    <t xml:space="preserve">價人民幣捌拾萬元</t>
  </si>
  <si>
    <r>
      <rPr>
        <sz val="10"/>
        <rFont val="Noto Sans CJK SC"/>
        <family val="2"/>
      </rPr>
      <t xml:space="preserve">土名三仙洞在第一街門牌</t>
    </r>
    <r>
      <rPr>
        <sz val="10"/>
        <rFont val="Arial"/>
        <family val="0"/>
        <charset val="1"/>
      </rPr>
      <t xml:space="preserve">6</t>
    </r>
    <r>
      <rPr>
        <sz val="10"/>
        <rFont val="Noto Sans CJK SC"/>
        <family val="2"/>
      </rPr>
      <t xml:space="preserve">號地名房</t>
    </r>
  </si>
  <si>
    <t xml:space="preserve">歐曉</t>
  </si>
  <si>
    <r>
      <rPr>
        <sz val="10"/>
        <rFont val="Noto Sans CJK SC"/>
        <family val="2"/>
      </rPr>
      <t xml:space="preserve">零毫正字第貳段地號</t>
    </r>
    <r>
      <rPr>
        <sz val="10"/>
        <rFont val="Arial"/>
        <family val="0"/>
        <charset val="1"/>
      </rPr>
      <t xml:space="preserve">3</t>
    </r>
    <r>
      <rPr>
        <sz val="10"/>
        <rFont val="Noto Sans CJK SC"/>
        <family val="2"/>
      </rPr>
      <t xml:space="preserve">號</t>
    </r>
  </si>
  <si>
    <t xml:space="preserve">https://digital.library.pitt.edu/islandora/object/pitt:31735066267505</t>
  </si>
  <si>
    <r>
      <rPr>
        <sz val="10"/>
        <rFont val="Noto Sans CJK SC"/>
        <family val="2"/>
      </rPr>
      <t xml:space="preserve">立典契人東山縣城關區第壹街門牌</t>
    </r>
    <r>
      <rPr>
        <sz val="10"/>
        <rFont val="Arial"/>
        <family val="0"/>
        <charset val="1"/>
      </rPr>
      <t xml:space="preserve">6</t>
    </r>
    <r>
      <rPr>
        <sz val="10"/>
        <rFont val="Noto Sans CJK SC"/>
        <family val="2"/>
      </rPr>
      <t xml:space="preserve">號林清因乏款費用將自己土地坐落土名三仙洞在第一街門牌</t>
    </r>
    <r>
      <rPr>
        <sz val="10"/>
        <rFont val="Arial"/>
        <family val="0"/>
        <charset val="1"/>
      </rPr>
      <t xml:space="preserve">6</t>
    </r>
    <r>
      <rPr>
        <sz val="10"/>
        <rFont val="Noto Sans CJK SC"/>
        <family val="2"/>
      </rPr>
      <t xml:space="preserve">號地名房屋壹座面積零畝零分米厘零毫正字第貳段地號</t>
    </r>
    <r>
      <rPr>
        <sz val="10"/>
        <rFont val="Arial"/>
        <family val="0"/>
        <charset val="1"/>
      </rPr>
      <t xml:space="preserve">3</t>
    </r>
    <r>
      <rPr>
        <sz val="10"/>
        <rFont val="Noto Sans CJK SC"/>
        <family val="2"/>
      </rPr>
      <t xml:space="preserve">號其建築屋式係平房內前座房壹間一廳壹間屏後房壹間精寮壹個天井壹塊計共叁間東至朱天賜等</t>
    </r>
    <r>
      <rPr>
        <sz val="10"/>
        <rFont val="Arial"/>
        <family val="0"/>
        <charset val="1"/>
      </rPr>
      <t xml:space="preserve">(</t>
    </r>
    <r>
      <rPr>
        <sz val="10"/>
        <rFont val="Noto Sans CJK SC"/>
        <family val="2"/>
      </rPr>
      <t xml:space="preserve">厝共牆南至路邊西至巷邊北至本家滴水四至明白為界</t>
    </r>
    <r>
      <rPr>
        <sz val="10"/>
        <rFont val="Arial"/>
        <family val="0"/>
        <charset val="1"/>
      </rPr>
      <t xml:space="preserve">(</t>
    </r>
    <r>
      <rPr>
        <sz val="10"/>
        <rFont val="Noto Sans CJK SC"/>
        <family val="2"/>
      </rPr>
      <t xml:space="preserve">一切土木石器相連者</t>
    </r>
    <r>
      <rPr>
        <sz val="10"/>
        <rFont val="Arial"/>
        <family val="0"/>
        <charset val="1"/>
      </rPr>
      <t xml:space="preserve">)</t>
    </r>
    <r>
      <rPr>
        <sz val="10"/>
        <rFont val="Noto Sans CJK SC"/>
        <family val="2"/>
      </rPr>
      <t xml:space="preserve">現由兩方親自協議典與本家陳蕃舊同志就頭永典兩面言議典價人民幣捌拾萬元整該費即日親收足訖其等隨交承受人擇便使用典期限至陸年終自公元一九五四年十二月二十五日起至公元一九六零年十二月二十五日期限屆滿最便之日贖回文契此係兩方同意各無異議因口恐無憑特立正典契壹紙付執存照此明典期在限如逾個月前後共陸年零貳個月合同公元一九五四年捌月立一九五四年十二月二十五日立典契林清監証人黃興親向不用中代書人歐曉</t>
    </r>
  </si>
  <si>
    <t xml:space="preserve">31735066267505_002</t>
  </si>
  <si>
    <t xml:space="preserve">公元一九五四年</t>
  </si>
  <si>
    <r>
      <rPr>
        <sz val="10"/>
        <rFont val="Noto Sans CJK SC"/>
        <family val="2"/>
      </rPr>
      <t xml:space="preserve">價零億零千零百捌拾零萬零千零百零拾元</t>
    </r>
    <r>
      <rPr>
        <sz val="10"/>
        <rFont val="Arial"/>
        <family val="0"/>
        <charset val="1"/>
      </rPr>
      <t xml:space="preserve">; </t>
    </r>
    <r>
      <rPr>
        <sz val="10"/>
        <rFont val="Noto Sans CJK SC"/>
        <family val="2"/>
      </rPr>
      <t xml:space="preserve">幣民人零千零百零拾貳萬貳千零百零十元</t>
    </r>
  </si>
  <si>
    <t xml:space="preserve">三仙洞面積零畝零分米厘零毫四至東</t>
  </si>
  <si>
    <r>
      <rPr>
        <sz val="10"/>
        <rFont val="Noto Sans CJK SC"/>
        <family val="2"/>
      </rPr>
      <t xml:space="preserve">稅契暫行條例 </t>
    </r>
    <r>
      <rPr>
        <sz val="10"/>
        <rFont val="Arial"/>
        <family val="0"/>
        <charset val="1"/>
      </rPr>
      <t xml:space="preserve">(</t>
    </r>
    <r>
      <rPr>
        <sz val="10"/>
        <rFont val="Noto Sans CJK SC"/>
        <family val="2"/>
      </rPr>
      <t xml:space="preserve">一九五〇年三月卅一日政務院第廿六次政務會議通過</t>
    </r>
    <r>
      <rPr>
        <sz val="10"/>
        <rFont val="Arial"/>
        <family val="0"/>
        <charset val="1"/>
      </rPr>
      <t xml:space="preserve">) | </t>
    </r>
    <r>
      <rPr>
        <sz val="10"/>
        <rFont val="Noto Sans CJK SC"/>
        <family val="2"/>
      </rPr>
      <t xml:space="preserve">福建省人民人民政府公定契紙</t>
    </r>
  </si>
  <si>
    <r>
      <rPr>
        <sz val="10"/>
        <rFont val="Noto Sans CJK SC"/>
        <family val="2"/>
      </rPr>
      <t xml:space="preserve">稅契暫行條例</t>
    </r>
    <r>
      <rPr>
        <sz val="10"/>
        <rFont val="Arial"/>
        <family val="0"/>
        <charset val="1"/>
      </rPr>
      <t xml:space="preserve">(</t>
    </r>
    <r>
      <rPr>
        <sz val="10"/>
        <rFont val="Noto Sans CJK SC"/>
        <family val="2"/>
      </rPr>
      <t xml:space="preserve">一九五〇年三月卅一日政務院第廿六次政務會議通過</t>
    </r>
    <r>
      <rPr>
        <sz val="10"/>
        <rFont val="Arial"/>
        <family val="0"/>
        <charset val="1"/>
      </rPr>
      <t xml:space="preserve">)</t>
    </r>
    <r>
      <rPr>
        <sz val="10"/>
        <rFont val="Noto Sans CJK SC"/>
        <family val="2"/>
      </rPr>
      <t xml:space="preserve">第一條為保障人民土地房屋所有權並便利其移轉變動制定本條例。第二條凡本條例施行區域鄉村以完成土地改革地區為限。第三條凡土地房屋之買賣典當或交換均應憑土地房屋所有權證明書或當事人雙方訂立契約由承受人依照本條例完納契稅。第四條契稅由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征收之。第五條契稅稅率之規定如下：一、買賣契稅按買價征收百分之六。二、典契稅按典價征收百分之三。三、贈與契稅按現值價格征收百分之六。第六條先典後買之買賣契稅得以原納典契稅額劃抵買賣契稅但以前典與人與買主同屬一人者為繼承承典人與人之直屬關係及配偶以同屬一人論。第七條交換之土地房屋兩方價值相等者免征契稅不相等者其超過部份按買類稅率納稅。第八條各機關與人民相互間有土地房屋之買賣典當或交換行為者均應先納契稅。第九條凡屬共有土地房屋如分析時應將原契運同分析。繼承後應將原契另換新契免征契稅只收契工本費。第十條已稅契紙如有毀壞或遺失者得報請區村政府召集產產出具證明聲明請補契不另徵稅只收契工本費。第十一條完納契稅應於契約成立後三個月內辦理之逾期繳納者除照補稅外每月加收稅額百分之二十不足一月者以一月計但加收稅額不得超過原價。第十二條匿稅產權者除責令另換契紙據實改報補繳短納稅額外並按短納稅款處以二倍至五倍之罰金。第十三條實際買賣典當或交換而以承繼分析等名義立契意圖逃稅者或已進行田房買賣隱匿不報者除責令據實換契完納外並處以應納稅額六倍至十倍之罰金。第十四條偽造證據佔佔地產業或以應沒收之繳遊房地專冒名補契投稅者除沒收已交稅款外並送請人民法院處理。第十五條本條例施行細則得由各省</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人民政府根據實際情況自行制定並報中央人民政府財政部備案。第十六條本條例自公佈之日施行。福建省人民人民政府公定契紙承受人姓名陳蕃薯坐落三仙洞面積零畝零分米厘零毫四至東至朱天賜等厝共牆南至路邊西至巷邊北至本家滴水屋式前座房壹間廳壹間屏後房壹間帶猪寮壹個天井壹塊典價零億零千零百捌拾零萬零千零百零拾元繳納稅額幣民人零千零百零拾貳萬貳千零百零十元原所有人姓名林清等級第米等段別正字立契日期公元一九五四年捌月日立中證人簽名蓋章監證人簽名蓋章附記典期壹年零貳個東山縣人民人民政府契稅專用印</t>
    </r>
    <r>
      <rPr>
        <sz val="10"/>
        <rFont val="Arial"/>
        <family val="0"/>
        <charset val="1"/>
      </rPr>
      <t xml:space="preserve">(</t>
    </r>
    <r>
      <rPr>
        <sz val="10"/>
        <rFont val="Noto Sans CJK SC"/>
        <family val="2"/>
      </rPr>
      <t xml:space="preserve">執存人受承權有所請申交聯此</t>
    </r>
    <r>
      <rPr>
        <sz val="10"/>
        <rFont val="Arial"/>
        <family val="0"/>
        <charset val="1"/>
      </rPr>
      <t xml:space="preserve">)</t>
    </r>
  </si>
  <si>
    <t xml:space="preserve">31735066267505_003</t>
  </si>
  <si>
    <t xml:space="preserve">繳 款 書</t>
  </si>
  <si>
    <r>
      <rPr>
        <sz val="10"/>
        <rFont val="Noto Sans CJK SC"/>
        <family val="2"/>
      </rPr>
      <t xml:space="preserve">字第 </t>
    </r>
    <r>
      <rPr>
        <sz val="10"/>
        <rFont val="Arial"/>
        <family val="0"/>
        <charset val="1"/>
      </rPr>
      <t xml:space="preserve">1521 </t>
    </r>
    <r>
      <rPr>
        <sz val="10"/>
        <rFont val="Noto Sans CJK SC"/>
        <family val="2"/>
      </rPr>
      <t xml:space="preserve">號</t>
    </r>
  </si>
  <si>
    <r>
      <rPr>
        <sz val="10"/>
        <rFont val="Noto Sans CJK SC"/>
        <family val="2"/>
      </rPr>
      <t xml:space="preserve">繳款書第一聯收據預算級次：收入系統：</t>
    </r>
    <r>
      <rPr>
        <sz val="10"/>
        <rFont val="Arial"/>
        <family val="0"/>
        <charset val="1"/>
      </rPr>
      <t xml:space="preserve">1951</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11</t>
    </r>
    <r>
      <rPr>
        <sz val="10"/>
        <rFont val="Noto Sans CJK SC"/>
        <family val="2"/>
      </rPr>
      <t xml:space="preserve">日填發字第</t>
    </r>
    <r>
      <rPr>
        <sz val="10"/>
        <rFont val="Arial"/>
        <family val="0"/>
        <charset val="1"/>
      </rPr>
      <t xml:space="preserve">1521</t>
    </r>
    <r>
      <rPr>
        <sz val="10"/>
        <rFont val="Noto Sans CJK SC"/>
        <family val="2"/>
      </rPr>
      <t xml:space="preserve">號號預算科目年度月份金額繳款人或繳納單位收入機關主管企業部門款項目千百十億千百十萬千百十元款項目</t>
    </r>
    <r>
      <rPr>
        <sz val="10"/>
        <rFont val="Arial"/>
        <family val="0"/>
        <charset val="1"/>
      </rPr>
      <t xml:space="preserve">148</t>
    </r>
    <r>
      <rPr>
        <sz val="10"/>
        <rFont val="Noto Sans CJK SC"/>
        <family val="2"/>
      </rPr>
      <t xml:space="preserve">東</t>
    </r>
    <r>
      <rPr>
        <sz val="10"/>
        <rFont val="Arial"/>
        <family val="0"/>
        <charset val="1"/>
      </rPr>
      <t xml:space="preserve">1</t>
    </r>
    <r>
      <rPr>
        <sz val="10"/>
        <rFont val="Noto Sans CJK SC"/>
        <family val="2"/>
      </rPr>
      <t xml:space="preserve">街</t>
    </r>
    <r>
      <rPr>
        <sz val="10"/>
        <rFont val="Arial"/>
        <family val="0"/>
        <charset val="1"/>
      </rPr>
      <t xml:space="preserve">7</t>
    </r>
    <r>
      <rPr>
        <sz val="10"/>
        <rFont val="Noto Sans CJK SC"/>
        <family val="2"/>
      </rPr>
      <t xml:space="preserve">李春芝財政科合計金額</t>
    </r>
    <r>
      <rPr>
        <sz val="10"/>
        <rFont val="Arial"/>
        <family val="0"/>
        <charset val="1"/>
      </rPr>
      <t xml:space="preserve">(</t>
    </r>
    <r>
      <rPr>
        <sz val="10"/>
        <rFont val="Noto Sans CJK SC"/>
        <family val="2"/>
      </rPr>
      <t xml:space="preserve">大寫</t>
    </r>
    <r>
      <rPr>
        <sz val="10"/>
        <rFont val="Arial"/>
        <family val="0"/>
        <charset val="1"/>
      </rPr>
      <t xml:space="preserve">)</t>
    </r>
    <r>
      <rPr>
        <sz val="10"/>
        <rFont val="Noto Sans CJK SC"/>
        <family val="2"/>
      </rPr>
      <t xml:space="preserve">人民幣備註收入</t>
    </r>
    <r>
      <rPr>
        <sz val="10"/>
        <rFont val="Arial"/>
        <family val="0"/>
        <charset val="1"/>
      </rPr>
      <t xml:space="preserve">(</t>
    </r>
    <r>
      <rPr>
        <sz val="10"/>
        <rFont val="Noto Sans CJK SC"/>
        <family val="2"/>
      </rPr>
      <t xml:space="preserve">或填發</t>
    </r>
    <r>
      <rPr>
        <sz val="10"/>
        <rFont val="Arial"/>
        <family val="0"/>
        <charset val="1"/>
      </rPr>
      <t xml:space="preserve">)</t>
    </r>
    <r>
      <rPr>
        <sz val="10"/>
        <rFont val="Noto Sans CJK SC"/>
        <family val="2"/>
      </rPr>
      <t xml:space="preserve">機關收款金庫名稱名稱負責人蓋章機關蓋章負責人蓋章收訖日期圖章典契經手人蓋章機關蓋章經手人蓋章收訖日期圖章代號</t>
    </r>
    <r>
      <rPr>
        <sz val="10"/>
        <rFont val="Arial"/>
        <family val="0"/>
        <charset val="1"/>
      </rPr>
      <t xml:space="preserve">(673)(24×12=K)</t>
    </r>
    <r>
      <rPr>
        <sz val="10"/>
        <rFont val="Noto Sans CJK SC"/>
        <family val="2"/>
      </rPr>
      <t xml:space="preserve">超改</t>
    </r>
    <r>
      <rPr>
        <sz val="10"/>
        <rFont val="Arial"/>
        <family val="0"/>
        <charset val="1"/>
      </rPr>
      <t xml:space="preserve">(4,000)</t>
    </r>
    <r>
      <rPr>
        <sz val="10"/>
        <rFont val="Noto Sans CJK SC"/>
        <family val="2"/>
      </rPr>
      <t xml:space="preserve">本</t>
    </r>
    <r>
      <rPr>
        <sz val="10"/>
        <rFont val="Arial"/>
        <family val="0"/>
        <charset val="1"/>
      </rPr>
      <t xml:space="preserve">@25</t>
    </r>
    <r>
      <rPr>
        <sz val="10"/>
        <rFont val="Noto Sans CJK SC"/>
        <family val="2"/>
      </rPr>
      <t xml:space="preserve">份</t>
    </r>
    <r>
      <rPr>
        <sz val="10"/>
        <rFont val="Arial"/>
        <family val="0"/>
        <charset val="1"/>
      </rPr>
      <t xml:space="preserve">54.2</t>
    </r>
    <r>
      <rPr>
        <sz val="10"/>
        <rFont val="Noto Sans CJK SC"/>
        <family val="2"/>
      </rPr>
      <t xml:space="preserve">。此聯由金庫收款後交繳款人</t>
    </r>
  </si>
  <si>
    <t xml:space="preserve">31735066267505_004</t>
  </si>
  <si>
    <r>
      <rPr>
        <sz val="10"/>
        <rFont val="Noto Sans CJK SC"/>
        <family val="2"/>
      </rPr>
      <t xml:space="preserve">幣</t>
    </r>
    <r>
      <rPr>
        <sz val="10"/>
        <rFont val="Arial"/>
        <family val="0"/>
        <charset val="1"/>
      </rPr>
      <t xml:space="preserve">1279</t>
    </r>
    <r>
      <rPr>
        <sz val="10"/>
        <rFont val="Noto Sans CJK SC"/>
        <family val="2"/>
      </rPr>
      <t xml:space="preserve">元</t>
    </r>
  </si>
  <si>
    <r>
      <rPr>
        <sz val="10"/>
        <rFont val="Noto Sans CJK SC"/>
        <family val="2"/>
      </rPr>
      <t xml:space="preserve">字第 </t>
    </r>
    <r>
      <rPr>
        <sz val="10"/>
        <rFont val="Arial"/>
        <family val="0"/>
        <charset val="1"/>
      </rPr>
      <t xml:space="preserve">1622 </t>
    </r>
    <r>
      <rPr>
        <sz val="10"/>
        <rFont val="Noto Sans CJK SC"/>
        <family val="2"/>
      </rPr>
      <t xml:space="preserve">號</t>
    </r>
  </si>
  <si>
    <r>
      <rPr>
        <sz val="10"/>
        <rFont val="Noto Sans CJK SC"/>
        <family val="2"/>
      </rPr>
      <t xml:space="preserve">繳款書第一聯收據預算級次：收入系統：</t>
    </r>
    <r>
      <rPr>
        <sz val="10"/>
        <rFont val="Arial"/>
        <family val="0"/>
        <charset val="1"/>
      </rPr>
      <t xml:space="preserve">1954</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11</t>
    </r>
    <r>
      <rPr>
        <sz val="10"/>
        <rFont val="Noto Sans CJK SC"/>
        <family val="2"/>
      </rPr>
      <t xml:space="preserve">日填發字第</t>
    </r>
    <r>
      <rPr>
        <sz val="10"/>
        <rFont val="Arial"/>
        <family val="0"/>
        <charset val="1"/>
      </rPr>
      <t xml:space="preserve">1622</t>
    </r>
    <r>
      <rPr>
        <sz val="10"/>
        <rFont val="Noto Sans CJK SC"/>
        <family val="2"/>
      </rPr>
      <t xml:space="preserve">號預算科目年度月份金額繳款人或繳納單位收入機關主管企業部門十百十億千百十萬千百十元款項目其他收入收入其他款項李新陳壽芝財政科合計金額</t>
    </r>
    <r>
      <rPr>
        <sz val="10"/>
        <rFont val="Arial"/>
        <family val="0"/>
        <charset val="1"/>
      </rPr>
      <t xml:space="preserve">(</t>
    </r>
    <r>
      <rPr>
        <sz val="10"/>
        <rFont val="Noto Sans CJK SC"/>
        <family val="2"/>
      </rPr>
      <t xml:space="preserve">大寫</t>
    </r>
    <r>
      <rPr>
        <sz val="10"/>
        <rFont val="Arial"/>
        <family val="0"/>
        <charset val="1"/>
      </rPr>
      <t xml:space="preserve">)</t>
    </r>
    <r>
      <rPr>
        <sz val="10"/>
        <rFont val="Noto Sans CJK SC"/>
        <family val="2"/>
      </rPr>
      <t xml:space="preserve">人民幣</t>
    </r>
    <r>
      <rPr>
        <sz val="10"/>
        <rFont val="Arial"/>
        <family val="0"/>
        <charset val="1"/>
      </rPr>
      <t xml:space="preserve">1279</t>
    </r>
    <r>
      <rPr>
        <sz val="10"/>
        <rFont val="Noto Sans CJK SC"/>
        <family val="2"/>
      </rPr>
      <t xml:space="preserve">元</t>
    </r>
    <r>
      <rPr>
        <sz val="10"/>
        <rFont val="Arial"/>
        <family val="0"/>
        <charset val="1"/>
      </rPr>
      <t xml:space="preserve">15</t>
    </r>
    <r>
      <rPr>
        <sz val="10"/>
        <rFont val="Noto Sans CJK SC"/>
        <family val="2"/>
      </rPr>
      <t xml:space="preserve">備註收入</t>
    </r>
    <r>
      <rPr>
        <sz val="10"/>
        <rFont val="Arial"/>
        <family val="0"/>
        <charset val="1"/>
      </rPr>
      <t xml:space="preserve">(</t>
    </r>
    <r>
      <rPr>
        <sz val="10"/>
        <rFont val="Noto Sans CJK SC"/>
        <family val="2"/>
      </rPr>
      <t xml:space="preserve">或填發</t>
    </r>
    <r>
      <rPr>
        <sz val="10"/>
        <rFont val="Arial"/>
        <family val="0"/>
        <charset val="1"/>
      </rPr>
      <t xml:space="preserve">)</t>
    </r>
    <r>
      <rPr>
        <sz val="10"/>
        <rFont val="Noto Sans CJK SC"/>
        <family val="2"/>
      </rPr>
      <t xml:space="preserve">機關收款金庫名稱蓋章機關蓋章機關蓋章名稱蓋章收訖日期圖章收款金庫費第二號負責人蓋章傅四印政府民人聯山東政科負責人蓋章</t>
    </r>
    <r>
      <rPr>
        <sz val="10"/>
        <rFont val="Arial"/>
        <family val="0"/>
        <charset val="1"/>
      </rPr>
      <t xml:space="preserve">1954</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11</t>
    </r>
    <r>
      <rPr>
        <sz val="10"/>
        <rFont val="Noto Sans CJK SC"/>
        <family val="2"/>
      </rPr>
      <t xml:space="preserve">日中央金庫東山支城關經收處經手人蓋章陳壽印經手人蓋章此聯由金庫收款後交繳款人代號</t>
    </r>
    <r>
      <rPr>
        <sz val="10"/>
        <rFont val="Arial"/>
        <family val="0"/>
        <charset val="1"/>
      </rPr>
      <t xml:space="preserve">(673)(24x12=K)</t>
    </r>
    <r>
      <rPr>
        <sz val="10"/>
        <rFont val="Noto Sans CJK SC"/>
        <family val="2"/>
      </rPr>
      <t xml:space="preserve">超改</t>
    </r>
    <r>
      <rPr>
        <sz val="10"/>
        <rFont val="Arial"/>
        <family val="0"/>
        <charset val="1"/>
      </rPr>
      <t xml:space="preserve">(4,000)</t>
    </r>
    <r>
      <rPr>
        <sz val="10"/>
        <rFont val="Noto Sans CJK SC"/>
        <family val="2"/>
      </rPr>
      <t xml:space="preserve">本</t>
    </r>
    <r>
      <rPr>
        <sz val="10"/>
        <rFont val="Arial"/>
        <family val="0"/>
        <charset val="1"/>
      </rPr>
      <t xml:space="preserve">@25</t>
    </r>
    <r>
      <rPr>
        <sz val="10"/>
        <rFont val="Noto Sans CJK SC"/>
        <family val="2"/>
      </rPr>
      <t xml:space="preserve">份</t>
    </r>
    <r>
      <rPr>
        <sz val="10"/>
        <rFont val="Arial"/>
        <family val="0"/>
        <charset val="1"/>
      </rPr>
      <t xml:space="preserve">54.2.</t>
    </r>
  </si>
  <si>
    <t xml:space="preserve">31735066267513_001</t>
  </si>
  <si>
    <t xml:space="preserve">31735066267513</t>
  </si>
  <si>
    <r>
      <rPr>
        <sz val="10"/>
        <rFont val="Noto Sans CJK SC"/>
        <family val="2"/>
      </rPr>
      <t xml:space="preserve">姚望兌 </t>
    </r>
    <r>
      <rPr>
        <sz val="10"/>
        <rFont val="Arial"/>
        <family val="0"/>
        <charset val="1"/>
      </rPr>
      <t xml:space="preserve">| </t>
    </r>
    <r>
      <rPr>
        <sz val="10"/>
        <rFont val="Noto Sans CJK SC"/>
        <family val="2"/>
      </rPr>
      <t xml:space="preserve">姚望駀</t>
    </r>
  </si>
  <si>
    <t xml:space="preserve">Box 3, Folder 116</t>
  </si>
  <si>
    <t xml:space="preserve">立賣盡斷根底厝地契</t>
  </si>
  <si>
    <t xml:space="preserve">https://digital.library.pitt.edu/islandora/object/pitt:31735066267513</t>
  </si>
  <si>
    <t xml:space="preserve">立賣盡斷根底厝地契字人泉晉南閔外拾參都錢倉鄉中厝份姚望兌望號有承父祖應分花向厝地連花向角間厝地二間委所土名井脚巷埕東至望漏東聽地西至望記大厝東聽滴水南至望兌直頭巷此巷俱各通行四至明白今因欠銀家閑託中引就將花向厝地連花向角間厝地向因掘頭份姚望念近賣出大龍銀陸拾大員正其銀即日全中收訖明白其地聽銀主起造厦屋大小高低永為己業亦不敢言底言贖保此地係是自己物業與房親伯叔兄弟侄無干亦無重張與林他人不明為碍如有不明之事賣主抵者不干銀主之事恐口無憑今欲有憑立賣盡斷根底厝地契字人一紙付執為照立賣盡斷根底厝地契字人姚望兌兩入簽押民國歲次辛酉拾年</t>
  </si>
  <si>
    <t xml:space="preserve">31735066267521_001</t>
  </si>
  <si>
    <t xml:space="preserve">31735066267521</t>
  </si>
  <si>
    <t xml:space="preserve">1934</t>
  </si>
  <si>
    <t xml:space="preserve">林述璋</t>
  </si>
  <si>
    <t xml:space="preserve">林學通</t>
  </si>
  <si>
    <t xml:space="preserve">Box 3, Folder 150</t>
  </si>
  <si>
    <t xml:space="preserve">立賣買斷契</t>
  </si>
  <si>
    <t xml:space="preserve">民國貳拾叁年</t>
  </si>
  <si>
    <t xml:space="preserve">價銀大洋貳百員正</t>
  </si>
  <si>
    <t xml:space="preserve">林吉昌</t>
  </si>
  <si>
    <t xml:space="preserve">堂兄述發</t>
  </si>
  <si>
    <t xml:space="preserve">https://digital.library.pitt.edu/islandora/object/pitt:31735066267521</t>
  </si>
  <si>
    <t xml:space="preserve">立賣買斷契林述璋承父手置買斷有面根全田壹號嘉里參前下陣洋地方冊載書區陸拾壹號土名浦頭官文壹畝現分捌厘上則田東至林家田西林家田南至浦塘北至林家田其四至俱載明白歷當無異今因急需託中將北面根全田壹號賣斷與林學通處永遠為業三面言議本日賣買斷出田價銀大洋貳百員正其銀即日全中隨契璋親手收足其田承聽買主召佃管業翻犁耕作收租完課其銀多立在嘉里參前官文壹畝林繼柱戶下其銀米照縣例科派聽買主過甲入戶完納勿致兩懸璋自賣買斷之後價足心愿永斷萬籐勿後永不得別生枝節各等情但此面根全田係璋承父手置買斷勿當與親族及作木兄等無干示未曾重張典當他人財以及來歷不明各等情璋愿出頭承當不涉買主之事兩相允愿永無反悔今故有憑立賣斷壹紙併繳林志禧賣買斷與林繼柱民國稅契壹紙共成貳紙付執永遠為照內註至字壹字標照內又註姓字壹字再照內又註物契或字標照內又註青字或字再照林有泰林宗生在見堂兄述發民國貳拾叁年拾貳月廿日賣斷契林述璋永遠為業代筆林吉昌</t>
  </si>
  <si>
    <t xml:space="preserve">31735066267521_002</t>
  </si>
  <si>
    <r>
      <rPr>
        <sz val="10"/>
        <rFont val="Noto Sans CJK SC"/>
        <family val="2"/>
      </rPr>
      <t xml:space="preserve">民國二十三年</t>
    </r>
    <r>
      <rPr>
        <sz val="10"/>
        <rFont val="Arial"/>
        <family val="0"/>
        <charset val="1"/>
      </rPr>
      <t xml:space="preserve">; </t>
    </r>
    <r>
      <rPr>
        <sz val="10"/>
        <rFont val="Noto Sans CJK SC"/>
        <family val="2"/>
      </rPr>
      <t xml:space="preserve">中華民國 年</t>
    </r>
  </si>
  <si>
    <t xml:space="preserve">價貳百元</t>
  </si>
  <si>
    <t xml:space="preserve">嘉素里不動產面積四至東至南至西至</t>
  </si>
  <si>
    <r>
      <rPr>
        <sz val="10"/>
        <rFont val="Arial"/>
        <family val="0"/>
        <charset val="1"/>
      </rPr>
      <t xml:space="preserve">(</t>
    </r>
    <r>
      <rPr>
        <sz val="10"/>
        <rFont val="Noto Sans CJK SC"/>
        <family val="2"/>
      </rPr>
      <t xml:space="preserve">三</t>
    </r>
    <r>
      <rPr>
        <sz val="10"/>
        <rFont val="Arial"/>
        <family val="0"/>
        <charset val="1"/>
      </rPr>
      <t xml:space="preserve">) | </t>
    </r>
    <r>
      <rPr>
        <sz val="10"/>
        <rFont val="Noto Sans CJK SC"/>
        <family val="2"/>
      </rPr>
      <t xml:space="preserve">福建省政府財政廳頒發閩侯縣未稅契驗契證</t>
    </r>
  </si>
  <si>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福建省政府財政廳頒發閩侯縣未稅契驗契證茲為整理契稅，體卹人民，保障產權起見，特定驗契辦法，凡屬田園屋地各類不動產，已稅未稅契據，均應一律投驗，填給驗契證，已稅之紅契，不收驗費，未稅之白契，無論典賣及產價多寡，每張祇收驗契費銀壹元，經此驗契，粘有驗契證者，方為有效。非經買賣移轉，不再徵稅。第</t>
    </r>
    <r>
      <rPr>
        <sz val="10"/>
        <rFont val="Arial"/>
        <family val="0"/>
        <charset val="1"/>
      </rPr>
      <t xml:space="preserve">1103</t>
    </r>
    <r>
      <rPr>
        <sz val="10"/>
        <rFont val="Noto Sans CJK SC"/>
        <family val="2"/>
      </rPr>
      <t xml:space="preserve">號業主姓名林學通業主住址不動產種類田不動產坐落嘉素里不動產面積四至東至南至西至北至畝等分則壹畝玖分捌釐賦額地丁糧米產價貳百元賣主姓名林述璋中證人姓名林宗年等立契年月日民國二十三年十二月其他此處粘連原契騎縫加蓋驗契鈐記此處蓋財政廳驗契證關防此處蓋縣政府印第</t>
    </r>
    <r>
      <rPr>
        <sz val="10"/>
        <rFont val="Arial"/>
        <family val="0"/>
        <charset val="1"/>
      </rPr>
      <t xml:space="preserve">3</t>
    </r>
    <r>
      <rPr>
        <sz val="10"/>
        <rFont val="Noto Sans CJK SC"/>
        <family val="2"/>
      </rPr>
      <t xml:space="preserve">區區長簽名蓋章中華民國年日第</t>
    </r>
    <r>
      <rPr>
        <sz val="10"/>
        <rFont val="Arial"/>
        <family val="0"/>
        <charset val="1"/>
      </rPr>
      <t xml:space="preserve">41220</t>
    </r>
    <r>
      <rPr>
        <sz val="10"/>
        <rFont val="Noto Sans CJK SC"/>
        <family val="2"/>
      </rPr>
      <t xml:space="preserve">號第</t>
    </r>
    <r>
      <rPr>
        <sz val="10"/>
        <rFont val="Arial"/>
        <family val="0"/>
        <charset val="1"/>
      </rPr>
      <t xml:space="preserve">1</t>
    </r>
    <r>
      <rPr>
        <sz val="10"/>
        <rFont val="Noto Sans CJK SC"/>
        <family val="2"/>
      </rPr>
      <t xml:space="preserve">保保長或鄉長簽名蓋章此種未稅契驗契證每征收驗契費銀壹圓正閩侯縣三此張填給業主連原契據管業</t>
    </r>
  </si>
  <si>
    <t xml:space="preserve">31735066267539_001</t>
  </si>
  <si>
    <t xml:space="preserve">31735066267539</t>
  </si>
  <si>
    <t xml:space="preserve">Box 4, Folder 208</t>
  </si>
  <si>
    <t xml:space="preserve">價貳拾伍元</t>
  </si>
  <si>
    <t xml:space="preserve">東仔路產量面積〇畝〇分〇厘〇毫上</t>
  </si>
  <si>
    <r>
      <rPr>
        <sz val="10"/>
        <rFont val="Arial"/>
        <family val="0"/>
        <charset val="1"/>
      </rPr>
      <t xml:space="preserve">2221 | </t>
    </r>
    <r>
      <rPr>
        <sz val="10"/>
        <rFont val="Noto Sans CJK SC"/>
        <family val="2"/>
      </rPr>
      <t xml:space="preserve">福 建 省 人 民 政 府 公 定 分 拆 契 紙</t>
    </r>
  </si>
  <si>
    <t xml:space="preserve">https://digital.library.pitt.edu/islandora/object/pitt:31735066267539</t>
  </si>
  <si>
    <r>
      <rPr>
        <sz val="10"/>
        <rFont val="Arial"/>
        <family val="0"/>
        <charset val="1"/>
      </rPr>
      <t xml:space="preserve">2221</t>
    </r>
    <r>
      <rPr>
        <sz val="10"/>
        <rFont val="Noto Sans CJK SC"/>
        <family val="2"/>
      </rPr>
      <t xml:space="preserve">福建省人民政府公定分拆契紙承受人姓名施金奇簽名蓋章原所有人姓名施金簽名蓋章不動產種類農等級坐落東仔路產量面積〇畝〇分〇厘〇毫上手原契四至東至南至西至北至東仔路西仔路南仔路北仔路立契日期五十八屋式價貳拾伍元監證人簽名蓋章施金施金簽名蓋章繳納稅額附記公元一九五十年八月十五日發給收執晉江縣縣長寧敏德</t>
    </r>
    <r>
      <rPr>
        <sz val="10"/>
        <rFont val="Arial"/>
        <family val="0"/>
        <charset val="1"/>
      </rPr>
      <t xml:space="preserve">(</t>
    </r>
    <r>
      <rPr>
        <sz val="10"/>
        <rFont val="Noto Sans CJK SC"/>
        <family val="2"/>
      </rPr>
      <t xml:space="preserve">此聯交申請所有權承受人存執</t>
    </r>
    <r>
      <rPr>
        <sz val="10"/>
        <rFont val="Arial"/>
        <family val="0"/>
        <charset val="1"/>
      </rPr>
      <t xml:space="preserve">)</t>
    </r>
  </si>
  <si>
    <t xml:space="preserve">31735066267539_002</t>
  </si>
  <si>
    <t xml:space="preserve">施至速</t>
  </si>
  <si>
    <t xml:space="preserve">紙契草拆分定公府政民人縣江晉省建福</t>
  </si>
  <si>
    <r>
      <rPr>
        <sz val="10"/>
        <rFont val="Noto Sans CJK SC"/>
        <family val="2"/>
      </rPr>
      <t xml:space="preserve">契字第</t>
    </r>
    <r>
      <rPr>
        <sz val="10"/>
        <rFont val="Arial"/>
        <family val="0"/>
        <charset val="1"/>
      </rPr>
      <t xml:space="preserve">... </t>
    </r>
    <r>
      <rPr>
        <sz val="10"/>
        <rFont val="Noto Sans CJK SC"/>
        <family val="2"/>
      </rPr>
      <t xml:space="preserve">號</t>
    </r>
  </si>
  <si>
    <r>
      <rPr>
        <sz val="10"/>
        <rFont val="Noto Sans CJK SC"/>
        <family val="2"/>
      </rPr>
      <t xml:space="preserve">紙契草拆分定公府政民人縣江晉省建福</t>
    </r>
    <r>
      <rPr>
        <sz val="10"/>
        <rFont val="Arial"/>
        <family val="0"/>
        <charset val="1"/>
      </rPr>
      <t xml:space="preserve">029314</t>
    </r>
    <r>
      <rPr>
        <sz val="10"/>
        <rFont val="Noto Sans CJK SC"/>
        <family val="2"/>
      </rPr>
      <t xml:space="preserve">契文原所有人承受人不動產種類座落四至土地面積屋式田地等級估價姓名住址姓名住址陳佃</t>
    </r>
    <r>
      <rPr>
        <sz val="10"/>
        <rFont val="Arial"/>
        <family val="0"/>
        <charset val="1"/>
      </rPr>
      <t xml:space="preserve">(</t>
    </r>
    <r>
      <rPr>
        <sz val="10"/>
        <rFont val="Noto Sans CJK SC"/>
        <family val="2"/>
      </rPr>
      <t xml:space="preserve">工商戶</t>
    </r>
    <r>
      <rPr>
        <sz val="10"/>
        <rFont val="Arial"/>
        <family val="0"/>
        <charset val="1"/>
      </rPr>
      <t xml:space="preserve">)</t>
    </r>
    <r>
      <rPr>
        <sz val="10"/>
        <rFont val="Noto Sans CJK SC"/>
        <family val="2"/>
      </rPr>
      <t xml:space="preserve">施至尚</t>
    </r>
    <r>
      <rPr>
        <sz val="10"/>
        <rFont val="Arial"/>
        <family val="0"/>
        <charset val="1"/>
      </rPr>
      <t xml:space="preserve">(</t>
    </r>
    <r>
      <rPr>
        <sz val="10"/>
        <rFont val="Noto Sans CJK SC"/>
        <family val="2"/>
      </rPr>
      <t xml:space="preserve">僑戚</t>
    </r>
    <r>
      <rPr>
        <sz val="10"/>
        <rFont val="Arial"/>
        <family val="0"/>
        <charset val="1"/>
      </rPr>
      <t xml:space="preserve">)</t>
    </r>
    <r>
      <rPr>
        <sz val="10"/>
        <rFont val="Noto Sans CJK SC"/>
        <family val="2"/>
      </rPr>
      <t xml:space="preserve">土地東路西路陸分捌厘貳拾捌元</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南琴仔地施至尚</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華峰鄉龍寮村北光椒地契字第</t>
    </r>
    <r>
      <rPr>
        <sz val="10"/>
        <rFont val="Arial"/>
        <family val="0"/>
        <charset val="1"/>
      </rPr>
      <t xml:space="preserve">...</t>
    </r>
    <r>
      <rPr>
        <sz val="10"/>
        <rFont val="Noto Sans CJK SC"/>
        <family val="2"/>
      </rPr>
      <t xml:space="preserve">號附記中證人施性樣</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產隣施光觀</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代筆人施至速</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鄉長施養師農會主席施光表監証人一九五五年月日立</t>
    </r>
  </si>
  <si>
    <t xml:space="preserve">31735066267539_003</t>
  </si>
  <si>
    <t xml:space="preserve">辦事處 寶公館 另加人員 辦事處 辦事處</t>
  </si>
  <si>
    <r>
      <rPr>
        <sz val="10"/>
        <rFont val="Arial"/>
        <family val="0"/>
        <charset val="1"/>
      </rPr>
      <t xml:space="preserve">058314</t>
    </r>
    <r>
      <rPr>
        <sz val="10"/>
        <rFont val="Noto Sans CJK SC"/>
        <family val="2"/>
      </rPr>
      <t xml:space="preserve">辦事處寶公館另加人員辦事處辦事處</t>
    </r>
  </si>
  <si>
    <t xml:space="preserve">31735066267539_004</t>
  </si>
  <si>
    <t xml:space="preserve">契 稅 繳 款 書</t>
  </si>
  <si>
    <r>
      <rPr>
        <sz val="10"/>
        <rFont val="Noto Sans CJK SC"/>
        <family val="2"/>
      </rPr>
      <t xml:space="preserve">字第 </t>
    </r>
    <r>
      <rPr>
        <sz val="10"/>
        <rFont val="Arial"/>
        <family val="0"/>
        <charset val="1"/>
      </rPr>
      <t xml:space="preserve">6386 </t>
    </r>
    <r>
      <rPr>
        <sz val="10"/>
        <rFont val="Noto Sans CJK SC"/>
        <family val="2"/>
      </rPr>
      <t xml:space="preserve">號</t>
    </r>
  </si>
  <si>
    <r>
      <rPr>
        <sz val="10"/>
        <rFont val="Noto Sans CJK SC"/>
        <family val="2"/>
      </rPr>
      <t xml:space="preserve">契稅繳款書登記簿字第號第一聯收據字第</t>
    </r>
    <r>
      <rPr>
        <sz val="10"/>
        <rFont val="Arial"/>
        <family val="0"/>
        <charset val="1"/>
      </rPr>
      <t xml:space="preserve">6386</t>
    </r>
    <r>
      <rPr>
        <sz val="10"/>
        <rFont val="Noto Sans CJK SC"/>
        <family val="2"/>
      </rPr>
      <t xml:space="preserve">號納稅人姓名稅至昌地址十九加路土地房產所在地各數七十號不動產種類</t>
    </r>
    <r>
      <rPr>
        <sz val="10"/>
        <rFont val="Arial"/>
        <family val="0"/>
        <charset val="1"/>
      </rPr>
      <t xml:space="preserve">1953</t>
    </r>
    <r>
      <rPr>
        <sz val="10"/>
        <rFont val="Noto Sans CJK SC"/>
        <family val="2"/>
      </rPr>
      <t xml:space="preserve">年季土地房產總值</t>
    </r>
    <r>
      <rPr>
        <sz val="10"/>
        <rFont val="Arial"/>
        <family val="0"/>
        <charset val="1"/>
      </rPr>
      <t xml:space="preserve">()</t>
    </r>
    <r>
      <rPr>
        <sz val="10"/>
        <rFont val="Noto Sans CJK SC"/>
        <family val="2"/>
      </rPr>
      <t xml:space="preserve">價稅率</t>
    </r>
    <r>
      <rPr>
        <sz val="10"/>
        <rFont val="Arial"/>
        <family val="0"/>
        <charset val="1"/>
      </rPr>
      <t xml:space="preserve">%</t>
    </r>
    <r>
      <rPr>
        <sz val="10"/>
        <rFont val="Noto Sans CJK SC"/>
        <family val="2"/>
      </rPr>
      <t xml:space="preserve">應征稅額應征契稅額</t>
    </r>
    <r>
      <rPr>
        <sz val="10"/>
        <rFont val="Arial"/>
        <family val="0"/>
        <charset val="1"/>
      </rPr>
      <t xml:space="preserve">28000</t>
    </r>
    <r>
      <rPr>
        <sz val="10"/>
        <rFont val="Noto Sans CJK SC"/>
        <family val="2"/>
      </rPr>
      <t xml:space="preserve">元共征稅額</t>
    </r>
    <r>
      <rPr>
        <sz val="10"/>
        <rFont val="Arial"/>
        <family val="0"/>
        <charset val="1"/>
      </rPr>
      <t xml:space="preserve">(</t>
    </r>
    <r>
      <rPr>
        <sz val="10"/>
        <rFont val="Noto Sans CJK SC"/>
        <family val="2"/>
      </rPr>
      <t xml:space="preserve">大寫</t>
    </r>
    <r>
      <rPr>
        <sz val="10"/>
        <rFont val="Arial"/>
        <family val="0"/>
        <charset val="1"/>
      </rPr>
      <t xml:space="preserve">)</t>
    </r>
    <r>
      <rPr>
        <sz val="10"/>
        <rFont val="Noto Sans CJK SC"/>
        <family val="2"/>
      </rPr>
      <t xml:space="preserve">二萬八千零零元備註此契稅人作爲完稅憑證發機關填發收款金庫收款人</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填發日期</t>
    </r>
    <r>
      <rPr>
        <sz val="10"/>
        <rFont val="Arial"/>
        <family val="0"/>
        <charset val="1"/>
      </rPr>
      <t xml:space="preserve">1953</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16</t>
    </r>
    <r>
      <rPr>
        <sz val="10"/>
        <rFont val="Noto Sans CJK SC"/>
        <family val="2"/>
      </rPr>
      <t xml:space="preserve">日收款日期年月日說明</t>
    </r>
    <r>
      <rPr>
        <sz val="10"/>
        <rFont val="Arial"/>
        <family val="0"/>
        <charset val="1"/>
      </rPr>
      <t xml:space="preserve">1.</t>
    </r>
    <r>
      <rPr>
        <sz val="10"/>
        <rFont val="Noto Sans CJK SC"/>
        <family val="2"/>
      </rPr>
      <t xml:space="preserve">業主不在時由其委託之代管人持真實證據，代爲辦理，但必須登記原業主之姓名。</t>
    </r>
    <r>
      <rPr>
        <sz val="10"/>
        <rFont val="Arial"/>
        <family val="0"/>
        <charset val="1"/>
      </rPr>
      <t xml:space="preserve">2.</t>
    </r>
    <r>
      <rPr>
        <sz val="10"/>
        <rFont val="Noto Sans CJK SC"/>
        <family val="2"/>
      </rPr>
      <t xml:space="preserve">土地房產總價欄內係填「房」地「產」現值價格。</t>
    </r>
    <r>
      <rPr>
        <sz val="10"/>
        <rFont val="Arial"/>
        <family val="0"/>
        <charset val="1"/>
      </rPr>
      <t xml:space="preserve">()</t>
    </r>
    <r>
      <rPr>
        <sz val="10"/>
        <rFont val="Noto Sans CJK SC"/>
        <family val="2"/>
      </rPr>
      <t xml:space="preserve">價之</t>
    </r>
    <r>
      <rPr>
        <sz val="10"/>
        <rFont val="Arial"/>
        <family val="0"/>
        <charset val="1"/>
      </rPr>
      <t xml:space="preserve">()</t>
    </r>
    <r>
      <rPr>
        <sz val="10"/>
        <rFont val="Noto Sans CJK SC"/>
        <family val="2"/>
      </rPr>
      <t xml:space="preserve">內係填「賣」或「典」。</t>
    </r>
    <r>
      <rPr>
        <sz val="10"/>
        <rFont val="Arial"/>
        <family val="0"/>
        <charset val="1"/>
      </rPr>
      <t xml:space="preserve">3.</t>
    </r>
    <r>
      <rPr>
        <sz val="10"/>
        <rFont val="Noto Sans CJK SC"/>
        <family val="2"/>
      </rPr>
      <t xml:space="preserve">繳款期限應於</t>
    </r>
    <r>
      <rPr>
        <sz val="10"/>
        <rFont val="Arial"/>
        <family val="0"/>
        <charset val="1"/>
      </rPr>
      <t xml:space="preserve">1953</t>
    </r>
    <r>
      <rPr>
        <sz val="10"/>
        <rFont val="Noto Sans CJK SC"/>
        <family val="2"/>
      </rPr>
      <t xml:space="preserve">年月日前到銀行繳納逾期照章處罰。此聯交納稅人作爲完稅憑證</t>
    </r>
  </si>
  <si>
    <t xml:space="preserve">31735066267547_001</t>
  </si>
  <si>
    <t xml:space="preserve">31735066267547</t>
  </si>
  <si>
    <t xml:space="preserve">1947/1952</t>
  </si>
  <si>
    <t xml:space="preserve">黃榮森</t>
  </si>
  <si>
    <t xml:space="preserve">黃煌</t>
  </si>
  <si>
    <t xml:space="preserve">Box 4, Folder 188</t>
  </si>
  <si>
    <t xml:space="preserve">中華民國參拾陸年</t>
  </si>
  <si>
    <r>
      <rPr>
        <sz val="10"/>
        <rFont val="Noto Sans CJK SC"/>
        <family val="2"/>
      </rPr>
      <t xml:space="preserve">幣壹佰萬元正</t>
    </r>
    <r>
      <rPr>
        <sz val="10"/>
        <rFont val="Arial"/>
        <family val="0"/>
        <charset val="1"/>
      </rPr>
      <t xml:space="preserve">; </t>
    </r>
    <r>
      <rPr>
        <sz val="10"/>
        <rFont val="Noto Sans CJK SC"/>
        <family val="2"/>
      </rPr>
      <t xml:space="preserve">價國幣壹佰萬元</t>
    </r>
  </si>
  <si>
    <t xml:space="preserve">曾筠</t>
  </si>
  <si>
    <t xml:space="preserve">祖父黃鐘</t>
  </si>
  <si>
    <t xml:space="preserve">https://digital.library.pitt.edu/islandora/object/pitt:31735066267547</t>
  </si>
  <si>
    <t xml:space="preserve">中証人謝鐘知見祖父黃鐘中華民國參拾陸年國曆拾月日立典契人黃榮森代書人曾筠即日全中親收過契內國幣壹佰萬元正完足再照立認典契人族叔黃煌典承族侄黃榮森承祖父遺下瓦厝壹座址在草厝頂間格及四至載明典契內契價國幣壹佰萬元契限至伍年終銀便之日贖回文契特立認典契畔壹紙付執為據內塗改壹字中証人謝鐘中華民國參拾陸年國曆拾月日立認典契人黃煌代書人曾筠</t>
  </si>
  <si>
    <t xml:space="preserve">31735066267547_002</t>
  </si>
  <si>
    <r>
      <rPr>
        <sz val="10"/>
        <rFont val="Noto Sans CJK SC"/>
        <family val="2"/>
      </rPr>
      <t xml:space="preserve">民國三十六年</t>
    </r>
    <r>
      <rPr>
        <sz val="10"/>
        <rFont val="Arial"/>
        <family val="0"/>
        <charset val="1"/>
      </rPr>
      <t xml:space="preserve">; </t>
    </r>
    <r>
      <rPr>
        <sz val="10"/>
        <rFont val="Noto Sans CJK SC"/>
        <family val="2"/>
      </rPr>
      <t xml:space="preserve">民國三十七年</t>
    </r>
  </si>
  <si>
    <r>
      <rPr>
        <sz val="10"/>
        <rFont val="Noto Sans CJK SC"/>
        <family val="2"/>
      </rPr>
      <t xml:space="preserve">幣人零億零千零百貳拾肆萬玖千元</t>
    </r>
    <r>
      <rPr>
        <sz val="10"/>
        <rFont val="Arial"/>
        <family val="0"/>
        <charset val="1"/>
      </rPr>
      <t xml:space="preserve">; </t>
    </r>
    <r>
      <rPr>
        <sz val="10"/>
        <rFont val="Noto Sans CJK SC"/>
        <family val="2"/>
      </rPr>
      <t xml:space="preserve">幣人零千零百零拾零萬柒千百柒拾元</t>
    </r>
  </si>
  <si>
    <t xml:space="preserve">面積畝市四至屋式典價繳納稅額黃煌</t>
  </si>
  <si>
    <r>
      <rPr>
        <sz val="10"/>
        <rFont val="Noto Sans CJK SC"/>
        <family val="2"/>
      </rPr>
      <t xml:space="preserve">契稅暫行條例 </t>
    </r>
    <r>
      <rPr>
        <sz val="10"/>
        <rFont val="Arial"/>
        <family val="0"/>
        <charset val="1"/>
      </rPr>
      <t xml:space="preserve">| </t>
    </r>
    <r>
      <rPr>
        <sz val="10"/>
        <rFont val="Noto Sans CJK SC"/>
        <family val="2"/>
      </rPr>
      <t xml:space="preserve">福建省人民政府公定契紙</t>
    </r>
  </si>
  <si>
    <r>
      <rPr>
        <sz val="10"/>
        <rFont val="Noto Sans CJK SC"/>
        <family val="2"/>
      </rPr>
      <t xml:space="preserve">契稅暫行條例一九五〇年五月廿一日政務第一條本條例施行區域以全國為限。第二條凡土地所有權人，其土地所有權，除法律另有規定外，均受本條例之保護。第三條凡土地所有權人，其土地所有權，除法律另有規定外，均受本條例之保護。第四條凡土地所有權人，其土地所有權，除法律另有規定外，均受本條例之保護。第五條凡土地所有權人，其土地所有權，除法律另有規定外，均受本條例之保護。第六條凡土地所有權人，其土地所有權，除法律另有規定外，均受本條例之保護。第七條凡土地所有權人，其土地所有權，除法律另有規定外，均受本條例之保護。第八條凡土地所有權人，其土地所有權，除法律另有規定外，均受本條例之保護。第九條凡土地所有權人，其土地所有權，除法律另有規定外，均受本條例之保護。第十條凡土地所有權人，其土地所有權，除法律另有規定外，均受本條例之保護。第十一條凡土地所有權人，其土地所有權，除法律另有規定外，均受本條例之保護。第十二條凡土地所有權人，其土地所有權，除法律另有規定外，均受本條例之保護。第十三條凡土地所有權人，其土地所有權，除法律另有規定外，均受本條例之保護。第十四條凡土地所有權人，其土地所有權，除法律另有規定外，均受本條例之保護。第十五條凡土地所有權人，其土地所有權，除法律另有規定外，均受本條例之保護。第十六條凡土地所有權人，其土地所有權，除法律另有規定外，均受本條例之保護。福建省人民政府公定契紙承受人姓名不動產種類坐落面積畝市四至屋式典價繳納稅額黃煌平房草厝頂零畝零分陸厘柒毫東至路邊南至防火巷西至黃煌厝共牆北至黃淑真厝共牆應受間，屏後房壹間，帶巷路</t>
    </r>
    <r>
      <rPr>
        <sz val="10"/>
        <rFont val="Arial"/>
        <family val="0"/>
        <charset val="1"/>
      </rPr>
      <t xml:space="preserve">(</t>
    </r>
    <r>
      <rPr>
        <sz val="10"/>
        <rFont val="Noto Sans CJK SC"/>
        <family val="2"/>
      </rPr>
      <t xml:space="preserve">天井壹所共用</t>
    </r>
    <r>
      <rPr>
        <sz val="10"/>
        <rFont val="Arial"/>
        <family val="0"/>
        <charset val="1"/>
      </rPr>
      <t xml:space="preserve">)</t>
    </r>
    <r>
      <rPr>
        <sz val="10"/>
        <rFont val="Noto Sans CJK SC"/>
        <family val="2"/>
      </rPr>
      <t xml:space="preserve">幣人零億零千零百貳拾肆萬玖千元幣人零千零百零拾零萬柒千百柒拾元原所有人姓名等級段別上手原契立契日期中證人簽名蓋章監證人簽名蓋章附記黃榮林等級公</t>
    </r>
    <r>
      <rPr>
        <sz val="10"/>
        <rFont val="Arial"/>
        <family val="0"/>
        <charset val="1"/>
      </rPr>
      <t xml:space="preserve">16</t>
    </r>
    <r>
      <rPr>
        <sz val="10"/>
        <rFont val="Noto Sans CJK SC"/>
        <family val="2"/>
      </rPr>
      <t xml:space="preserve">地號</t>
    </r>
    <r>
      <rPr>
        <sz val="10"/>
        <rFont val="Arial"/>
        <family val="0"/>
        <charset val="1"/>
      </rPr>
      <t xml:space="preserve">114-1</t>
    </r>
    <r>
      <rPr>
        <sz val="10"/>
        <rFont val="Noto Sans CJK SC"/>
        <family val="2"/>
      </rPr>
      <t xml:space="preserve">民國三十六年十月謝鍾街長馮賽金契期伍年東山縣縣長作慶民國三十七年七月日發給收執（執存人受承權有所請申交聯此）</t>
    </r>
  </si>
  <si>
    <t xml:space="preserve">31735066267547_003</t>
  </si>
  <si>
    <r>
      <rPr>
        <sz val="10"/>
        <rFont val="Noto Sans CJK SC"/>
        <family val="2"/>
      </rPr>
      <t xml:space="preserve">財字第 </t>
    </r>
    <r>
      <rPr>
        <sz val="10"/>
        <rFont val="Arial"/>
        <family val="0"/>
        <charset val="1"/>
      </rPr>
      <t xml:space="preserve">0290 </t>
    </r>
    <r>
      <rPr>
        <sz val="10"/>
        <rFont val="Noto Sans CJK SC"/>
        <family val="2"/>
      </rPr>
      <t xml:space="preserve">號</t>
    </r>
  </si>
  <si>
    <r>
      <rPr>
        <sz val="10"/>
        <rFont val="Noto Sans CJK SC"/>
        <family val="2"/>
      </rPr>
      <t xml:space="preserve">繳款書第一聯收據財字第</t>
    </r>
    <r>
      <rPr>
        <sz val="10"/>
        <rFont val="Arial"/>
        <family val="0"/>
        <charset val="1"/>
      </rPr>
      <t xml:space="preserve">0290</t>
    </r>
    <r>
      <rPr>
        <sz val="10"/>
        <rFont val="Noto Sans CJK SC"/>
        <family val="2"/>
      </rPr>
      <t xml:space="preserve">號預算科目年度月份金額繳款人或繳款單位收入機關或繳納單位主管款項目億千百十萬千百十元契稅收入</t>
    </r>
    <r>
      <rPr>
        <sz val="10"/>
        <rFont val="Arial"/>
        <family val="0"/>
        <charset val="1"/>
      </rPr>
      <t xml:space="preserve">7600</t>
    </r>
    <r>
      <rPr>
        <sz val="10"/>
        <rFont val="Noto Sans CJK SC"/>
        <family val="2"/>
      </rPr>
      <t xml:space="preserve">第八街街政府黃子理合計</t>
    </r>
    <r>
      <rPr>
        <sz val="10"/>
        <rFont val="Arial"/>
        <family val="0"/>
        <charset val="1"/>
      </rPr>
      <t xml:space="preserve">7600</t>
    </r>
    <r>
      <rPr>
        <sz val="10"/>
        <rFont val="Noto Sans CJK SC"/>
        <family val="2"/>
      </rPr>
      <t xml:space="preserve">金額〔大寫〕柒仟伍佰元備註收入〔或填發〕機關收款金庫負責人蓋章負責人蓋章填發日期一九五年月日負責人蓋章負責人蓋章收訖日期</t>
    </r>
    <r>
      <rPr>
        <sz val="10"/>
        <rFont val="Arial"/>
        <family val="0"/>
        <charset val="1"/>
      </rPr>
      <t xml:space="preserve">1952</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14</t>
    </r>
    <r>
      <rPr>
        <sz val="10"/>
        <rFont val="Noto Sans CJK SC"/>
        <family val="2"/>
      </rPr>
      <t xml:space="preserve">日本聯交據款人</t>
    </r>
  </si>
  <si>
    <t xml:space="preserve">31735066267554_001</t>
  </si>
  <si>
    <t xml:space="preserve">31735066267554</t>
  </si>
  <si>
    <t xml:space="preserve">1943/1952</t>
  </si>
  <si>
    <t xml:space="preserve">黃炮</t>
  </si>
  <si>
    <t xml:space="preserve">沈秀清</t>
  </si>
  <si>
    <t xml:space="preserve">Box 3, Folder 166</t>
  </si>
  <si>
    <t xml:space="preserve">中華民國叁拾玖年</t>
  </si>
  <si>
    <t xml:space="preserve">黃炮子</t>
  </si>
  <si>
    <r>
      <rPr>
        <sz val="10"/>
        <rFont val="Noto Sans CJK SC"/>
        <family val="2"/>
      </rPr>
      <t xml:space="preserve">幣銀伍佰員正</t>
    </r>
    <r>
      <rPr>
        <sz val="10"/>
        <rFont val="Arial"/>
        <family val="0"/>
        <charset val="1"/>
      </rPr>
      <t xml:space="preserve">; </t>
    </r>
    <r>
      <rPr>
        <sz val="10"/>
        <rFont val="Noto Sans CJK SC"/>
        <family val="2"/>
      </rPr>
      <t xml:space="preserve">幣銀伍佰元正</t>
    </r>
  </si>
  <si>
    <t xml:space="preserve">南門大巷境內</t>
  </si>
  <si>
    <t xml:space="preserve">林啟昌認</t>
  </si>
  <si>
    <t xml:space="preserve">https://digital.library.pitt.edu/islandora/object/pitt:31735066267554</t>
  </si>
  <si>
    <r>
      <rPr>
        <sz val="10"/>
        <rFont val="Noto Sans CJK SC"/>
        <family val="2"/>
      </rPr>
      <t xml:space="preserve">立典契人東山縣黃炮承先人遺下有瓦屋壹座，因房壹間，並伙食壹壹間，帶屏後房壹間，住址土名南門大巷境內，坐東向西，門窓戶扇俱各齊全，前至本宅天井，後至路，左至本家厝，右至本宅廳，四至明白為界，今因急款需用，願將此屋出典，先問房親人等，俱不欲承典外，乃託中謝江霖，招得本縣沈秀清，就頭承典，三面言議，甘出國幣銀伍佰員正，其銀即日全中親收足訖，其屋隨付交承典人掌管居住，不敢異言生端，翻悔，典期限至伍年，終銀便之日，贖回文契，倘被風雨損壞，三年以內出典人自理，三年以外各開壹半，此屋並無重漲，典掛胎借，因歷不明等情，如有不明等情，由出典人自當理清，不干承典人之事，此係雙方甘愿，各無抑勒，口恐無憑，合立出典契壹張，付執存照。批照帶灶壹箇並磚連該六廳及天井並出入口路暨公田再與天井內石条壹條又照中證人謝江霖中華民國叁拾玖年農歷捌月日立出典契人黃炮子代書林啟昌認</t>
    </r>
    <r>
      <rPr>
        <sz val="10"/>
        <rFont val="Arial"/>
        <family val="0"/>
        <charset val="1"/>
      </rPr>
      <t xml:space="preserve">(1093)</t>
    </r>
    <r>
      <rPr>
        <sz val="10"/>
        <rFont val="Noto Sans CJK SC"/>
        <family val="2"/>
      </rPr>
      <t xml:space="preserve">即日全中親收契內國幣銀伍佰元正完足再照</t>
    </r>
  </si>
  <si>
    <t xml:space="preserve">31735066267554_002</t>
  </si>
  <si>
    <r>
      <rPr>
        <sz val="10"/>
        <rFont val="Noto Sans CJK SC"/>
        <family val="2"/>
      </rPr>
      <t xml:space="preserve">民國三十二年</t>
    </r>
    <r>
      <rPr>
        <sz val="10"/>
        <rFont val="Arial"/>
        <family val="0"/>
        <charset val="1"/>
      </rPr>
      <t xml:space="preserve">; </t>
    </r>
    <r>
      <rPr>
        <sz val="10"/>
        <rFont val="Noto Sans CJK SC"/>
        <family val="2"/>
      </rPr>
      <t xml:space="preserve">公元一九五二年</t>
    </r>
  </si>
  <si>
    <r>
      <rPr>
        <sz val="10"/>
        <rFont val="Noto Sans CJK SC"/>
        <family val="2"/>
      </rPr>
      <t xml:space="preserve">幣零億零千零百零拾陸萬貳千貳元</t>
    </r>
    <r>
      <rPr>
        <sz val="10"/>
        <rFont val="Arial"/>
        <family val="0"/>
        <charset val="1"/>
      </rPr>
      <t xml:space="preserve">; </t>
    </r>
    <r>
      <rPr>
        <sz val="10"/>
        <rFont val="Noto Sans CJK SC"/>
        <family val="2"/>
      </rPr>
      <t xml:space="preserve">幣零千零百零拾零萬貳千零百零拾元</t>
    </r>
  </si>
  <si>
    <t xml:space="preserve">面積四至屋式典價繳納稅額沈秀清平</t>
  </si>
  <si>
    <r>
      <rPr>
        <sz val="10"/>
        <rFont val="Noto Sans CJK SC"/>
        <family val="2"/>
      </rPr>
      <t xml:space="preserve">契稅暫行條例 </t>
    </r>
    <r>
      <rPr>
        <sz val="10"/>
        <rFont val="Arial"/>
        <family val="0"/>
        <charset val="1"/>
      </rPr>
      <t xml:space="preserve">| </t>
    </r>
    <r>
      <rPr>
        <sz val="10"/>
        <rFont val="Noto Sans CJK SC"/>
        <family val="2"/>
      </rPr>
      <t xml:space="preserve">福建省人民政府公定契典</t>
    </r>
  </si>
  <si>
    <r>
      <rPr>
        <sz val="10"/>
        <rFont val="Noto Sans CJK SC"/>
        <family val="2"/>
      </rPr>
      <t xml:space="preserve">契稅暫行條例一九五〇年五月廿一日政務第一條本條例施行區域以完成土地改革地區為限第二條凡土地房屋之買賣或所有權變更均應向土地局或土地局所屬之土地局立契由土地局發給契例完納契稅第三條契稅之徵收一、契稅之徵收，以契稅之徵收，以契二、契稅之徵收，以契三、契稅之徵收，以契第四條契稅之徵收，以契第五條契稅之徵收，以契第六條契稅之徵收，以契第七條契稅之徵收，以契第八條契稅之徵收，以契第九條契稅之徵收，以契第十條契稅之徵收，以契第十一條契稅之徵收，以契第十二條契稅之徵收，以契第十三條契稅之徵收，以契第十四條契稅之徵收，以契第十五條契稅之徵收，以契第十六條契稅之徵收，以契福建省人民政府公定契典承受人姓名不動產種類坐落面積四至屋式典價繳納稅額沈秀清平房南門頂巷零畝零分陸厘壹毫東至路南至黃亞素厝共墻西至公巷邊北至陳花螺公用厝中房連間伙食房連厝二門路公用人幣零億零千零百零拾陸萬貳千貳元人幣零千零百零拾零萬貳千零百零拾元原所有人姓名等級段別上手原契立契日期中證人簽名蓋章監證人簽名蓋章附記黃炮正字</t>
    </r>
    <r>
      <rPr>
        <sz val="10"/>
        <rFont val="Arial"/>
        <family val="0"/>
        <charset val="1"/>
      </rPr>
      <t xml:space="preserve">3</t>
    </r>
    <r>
      <rPr>
        <sz val="10"/>
        <rFont val="Noto Sans CJK SC"/>
        <family val="2"/>
      </rPr>
      <t xml:space="preserve">地號</t>
    </r>
    <r>
      <rPr>
        <sz val="10"/>
        <rFont val="Arial"/>
        <family val="0"/>
        <charset val="1"/>
      </rPr>
      <t xml:space="preserve">163164</t>
    </r>
    <r>
      <rPr>
        <sz val="10"/>
        <rFont val="Noto Sans CJK SC"/>
        <family val="2"/>
      </rPr>
      <t xml:space="preserve">民國三十二年八月謝江霖街長黃慧公元一九五二年七月東山縣縣長張世田作後日發給收執</t>
    </r>
    <r>
      <rPr>
        <sz val="10"/>
        <rFont val="Arial"/>
        <family val="0"/>
        <charset val="1"/>
      </rPr>
      <t xml:space="preserve">(</t>
    </r>
    <r>
      <rPr>
        <sz val="10"/>
        <rFont val="Noto Sans CJK SC"/>
        <family val="2"/>
      </rPr>
      <t xml:space="preserve">執存人受承權有所請申交聯此</t>
    </r>
    <r>
      <rPr>
        <sz val="10"/>
        <rFont val="Arial"/>
        <family val="0"/>
        <charset val="1"/>
      </rPr>
      <t xml:space="preserve">)</t>
    </r>
  </si>
  <si>
    <t xml:space="preserve">31735066267554_003</t>
  </si>
  <si>
    <r>
      <rPr>
        <sz val="10"/>
        <rFont val="Noto Sans CJK SC"/>
        <family val="2"/>
      </rPr>
      <t xml:space="preserve">東財字第 </t>
    </r>
    <r>
      <rPr>
        <sz val="10"/>
        <rFont val="Arial"/>
        <family val="0"/>
        <charset val="1"/>
      </rPr>
      <t xml:space="preserve">02026 </t>
    </r>
    <r>
      <rPr>
        <sz val="10"/>
        <rFont val="Noto Sans CJK SC"/>
        <family val="2"/>
      </rPr>
      <t xml:space="preserve">號</t>
    </r>
  </si>
  <si>
    <r>
      <rPr>
        <sz val="10"/>
        <rFont val="Noto Sans CJK SC"/>
        <family val="2"/>
      </rPr>
      <t xml:space="preserve">繳款書第一聯收據東財字第</t>
    </r>
    <r>
      <rPr>
        <sz val="10"/>
        <rFont val="Arial"/>
        <family val="0"/>
        <charset val="1"/>
      </rPr>
      <t xml:space="preserve">02026</t>
    </r>
    <r>
      <rPr>
        <sz val="10"/>
        <rFont val="Noto Sans CJK SC"/>
        <family val="2"/>
      </rPr>
      <t xml:space="preserve">號預算科目年度月份金額繳款人或繳納單位收入機關或繳納單位上級主管機關款項目億千百十萬千百十元契稅收入</t>
    </r>
    <r>
      <rPr>
        <sz val="10"/>
        <rFont val="Arial"/>
        <family val="0"/>
        <charset val="1"/>
      </rPr>
      <t xml:space="preserve">522000</t>
    </r>
    <r>
      <rPr>
        <sz val="10"/>
        <rFont val="Noto Sans CJK SC"/>
        <family val="2"/>
      </rPr>
      <t xml:space="preserve">第三街政府沈秀清合計</t>
    </r>
    <r>
      <rPr>
        <sz val="10"/>
        <rFont val="Arial"/>
        <family val="0"/>
        <charset val="1"/>
      </rPr>
      <t xml:space="preserve">2000</t>
    </r>
    <r>
      <rPr>
        <sz val="10"/>
        <rFont val="Noto Sans CJK SC"/>
        <family val="2"/>
      </rPr>
      <t xml:space="preserve">金額</t>
    </r>
    <r>
      <rPr>
        <sz val="10"/>
        <rFont val="Arial"/>
        <family val="0"/>
        <charset val="1"/>
      </rPr>
      <t xml:space="preserve">(</t>
    </r>
    <r>
      <rPr>
        <sz val="10"/>
        <rFont val="Noto Sans CJK SC"/>
        <family val="2"/>
      </rPr>
      <t xml:space="preserve">大寫</t>
    </r>
    <r>
      <rPr>
        <sz val="10"/>
        <rFont val="Arial"/>
        <family val="0"/>
        <charset val="1"/>
      </rPr>
      <t xml:space="preserve">)</t>
    </r>
    <r>
      <rPr>
        <sz val="10"/>
        <rFont val="Noto Sans CJK SC"/>
        <family val="2"/>
      </rPr>
      <t xml:space="preserve">貳仟元正備註收入</t>
    </r>
    <r>
      <rPr>
        <sz val="10"/>
        <rFont val="Arial"/>
        <family val="0"/>
        <charset val="1"/>
      </rPr>
      <t xml:space="preserve">(</t>
    </r>
    <r>
      <rPr>
        <sz val="10"/>
        <rFont val="Noto Sans CJK SC"/>
        <family val="2"/>
      </rPr>
      <t xml:space="preserve">或填發</t>
    </r>
    <r>
      <rPr>
        <sz val="10"/>
        <rFont val="Arial"/>
        <family val="0"/>
        <charset val="1"/>
      </rPr>
      <t xml:space="preserve">)</t>
    </r>
    <r>
      <rPr>
        <sz val="10"/>
        <rFont val="Noto Sans CJK SC"/>
        <family val="2"/>
      </rPr>
      <t xml:space="preserve">機關收款金庫負責人蓋章經手人蓋章負責人蓋章經手人蓋章契稅傅章陳章收訖日期圖章填發日期一九五六年月日本聯交繳款人</t>
    </r>
    <r>
      <rPr>
        <sz val="10"/>
        <rFont val="Arial"/>
        <family val="0"/>
        <charset val="1"/>
      </rPr>
      <t xml:space="preserve">1952</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5</t>
    </r>
    <r>
      <rPr>
        <sz val="10"/>
        <rFont val="Noto Sans CJK SC"/>
        <family val="2"/>
      </rPr>
      <t xml:space="preserve">日</t>
    </r>
  </si>
  <si>
    <t xml:space="preserve">31735066267562_001</t>
  </si>
  <si>
    <t xml:space="preserve">31735066267562</t>
  </si>
  <si>
    <t xml:space="preserve">Box 4, Folder 205</t>
  </si>
  <si>
    <t xml:space="preserve">價貳拾柒元</t>
  </si>
  <si>
    <t xml:space="preserve">九十八號內產量面積〇畝〇分〇厘〇</t>
  </si>
  <si>
    <r>
      <rPr>
        <sz val="10"/>
        <rFont val="Arial"/>
        <family val="0"/>
        <charset val="1"/>
      </rPr>
      <t xml:space="preserve">2224 | </t>
    </r>
    <r>
      <rPr>
        <sz val="10"/>
        <rFont val="Noto Sans CJK SC"/>
        <family val="2"/>
      </rPr>
      <t xml:space="preserve">福 建 省 人 民 政 府 公 定 分 拆 契 紙</t>
    </r>
  </si>
  <si>
    <t xml:space="preserve">https://digital.library.pitt.edu/islandora/object/pitt:31735066267562</t>
  </si>
  <si>
    <r>
      <rPr>
        <sz val="10"/>
        <rFont val="Arial"/>
        <family val="0"/>
        <charset val="1"/>
      </rPr>
      <t xml:space="preserve">2224</t>
    </r>
    <r>
      <rPr>
        <sz val="10"/>
        <rFont val="Noto Sans CJK SC"/>
        <family val="2"/>
      </rPr>
      <t xml:space="preserve">福建省人民政府公定分拆契紙承受人姓名施至司簽名蓋章原所有人姓名施佃簽名蓋章不動產種類地等級坐落九十八號內產量面積〇畝〇分〇厘〇毫上手原契四至東至南至西至北至立契日期中證人簽名蓋章石之軍施性德屋式價貳拾柒元監證人簽名蓋章施先東施光來印繳納稅額附記公元一九五三年八月十七日發給收執晉江縣縣長李敏德</t>
    </r>
    <r>
      <rPr>
        <sz val="10"/>
        <rFont val="Arial"/>
        <family val="0"/>
        <charset val="1"/>
      </rPr>
      <t xml:space="preserve">(</t>
    </r>
    <r>
      <rPr>
        <sz val="10"/>
        <rFont val="Noto Sans CJK SC"/>
        <family val="2"/>
      </rPr>
      <t xml:space="preserve">執存人受承權有所請申交聯此</t>
    </r>
    <r>
      <rPr>
        <sz val="10"/>
        <rFont val="Arial"/>
        <family val="0"/>
        <charset val="1"/>
      </rPr>
      <t xml:space="preserve">)</t>
    </r>
  </si>
  <si>
    <t xml:space="preserve">31735066267562_002</t>
  </si>
  <si>
    <t xml:space="preserve">施至述</t>
  </si>
  <si>
    <t xml:space="preserve">紙契草 折分 定公府政民人縣江晉省建福</t>
  </si>
  <si>
    <r>
      <rPr>
        <sz val="10"/>
        <rFont val="Arial"/>
        <family val="0"/>
        <charset val="1"/>
      </rPr>
      <t xml:space="preserve">029313</t>
    </r>
    <r>
      <rPr>
        <sz val="10"/>
        <rFont val="Noto Sans CJK SC"/>
        <family val="2"/>
      </rPr>
      <t xml:space="preserve">紙契草折分定公府政民人縣江晉省建福契文原所有人承受人不動產種類座落四至土地面積屋式田地等級估價姓名住址姓名住址陳佃</t>
    </r>
    <r>
      <rPr>
        <sz val="10"/>
        <rFont val="Arial"/>
        <family val="0"/>
        <charset val="1"/>
      </rPr>
      <t xml:space="preserve">(</t>
    </r>
    <r>
      <rPr>
        <sz val="10"/>
        <rFont val="Noto Sans CJK SC"/>
        <family val="2"/>
      </rPr>
      <t xml:space="preserve">工商</t>
    </r>
    <r>
      <rPr>
        <sz val="10"/>
        <rFont val="Arial"/>
        <family val="0"/>
        <charset val="1"/>
      </rPr>
      <t xml:space="preserve">)</t>
    </r>
    <r>
      <rPr>
        <sz val="10"/>
        <rFont val="Noto Sans CJK SC"/>
        <family val="2"/>
      </rPr>
      <t xml:space="preserve">施至尚</t>
    </r>
    <r>
      <rPr>
        <sz val="10"/>
        <rFont val="Arial"/>
        <family val="0"/>
        <charset val="1"/>
      </rPr>
      <t xml:space="preserve">(</t>
    </r>
    <r>
      <rPr>
        <sz val="10"/>
        <rFont val="Noto Sans CJK SC"/>
        <family val="2"/>
      </rPr>
      <t xml:space="preserve">係取</t>
    </r>
    <r>
      <rPr>
        <sz val="10"/>
        <rFont val="Arial"/>
        <family val="0"/>
        <charset val="1"/>
      </rPr>
      <t xml:space="preserve">)</t>
    </r>
    <r>
      <rPr>
        <sz val="10"/>
        <rFont val="Noto Sans CJK SC"/>
        <family val="2"/>
      </rPr>
      <t xml:space="preserve">土地九十六畝內西性羽地東水溝北自己家南性哈地捌分柒厘</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手寫註記：第一</t>
    </r>
    <r>
      <rPr>
        <sz val="10"/>
        <rFont val="Arial"/>
        <family val="0"/>
        <charset val="1"/>
      </rPr>
      <t xml:space="preserve">...</t>
    </r>
    <r>
      <rPr>
        <sz val="10"/>
        <rFont val="Noto Sans CJK SC"/>
        <family val="2"/>
      </rPr>
      <t xml:space="preserve">號附記中證人施性樓</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產隣施性羽</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代筆人施至述</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鄉長施養師施至述施光來監証人一九五年月日立</t>
    </r>
  </si>
  <si>
    <t xml:space="preserve">31735066267562_003</t>
  </si>
  <si>
    <t xml:space="preserve">中華民國二十九年九月二十日</t>
  </si>
  <si>
    <r>
      <rPr>
        <sz val="10"/>
        <rFont val="Arial"/>
        <family val="0"/>
        <charset val="1"/>
      </rPr>
      <t xml:space="preserve">CRESO</t>
    </r>
    <r>
      <rPr>
        <sz val="10"/>
        <rFont val="Noto Sans CJK SC"/>
        <family val="2"/>
      </rPr>
      <t xml:space="preserve">中華民國二十九年九月二十日飛獎章</t>
    </r>
  </si>
  <si>
    <t xml:space="preserve">31735066267570_001</t>
  </si>
  <si>
    <t xml:space="preserve">31735066267570</t>
  </si>
  <si>
    <t xml:space="preserve">1935/1953</t>
  </si>
  <si>
    <t xml:space="preserve">林親顶</t>
  </si>
  <si>
    <t xml:space="preserve">施至祥</t>
  </si>
  <si>
    <t xml:space="preserve">Box 3, Folder 155</t>
  </si>
  <si>
    <t xml:space="preserve">中華民國二十四年</t>
  </si>
  <si>
    <t xml:space="preserve">事務</t>
  </si>
  <si>
    <t xml:space="preserve">洋銀陸拾九元正</t>
  </si>
  <si>
    <r>
      <rPr>
        <sz val="10"/>
        <rFont val="Noto Sans CJK SC"/>
        <family val="2"/>
      </rPr>
      <t xml:space="preserve">對價</t>
    </r>
    <r>
      <rPr>
        <sz val="10"/>
        <rFont val="Arial"/>
        <family val="0"/>
        <charset val="1"/>
      </rPr>
      <t xml:space="preserve">; </t>
    </r>
    <r>
      <rPr>
        <sz val="10"/>
        <rFont val="Noto Sans CJK SC"/>
        <family val="2"/>
      </rPr>
      <t xml:space="preserve">須知</t>
    </r>
  </si>
  <si>
    <t xml:space="preserve">字第七二號</t>
  </si>
  <si>
    <t xml:space="preserve">https://digital.library.pitt.edu/islandora/object/pitt:31735066267570</t>
  </si>
  <si>
    <r>
      <rPr>
        <sz val="10"/>
        <rFont val="Noto Sans CJK SC"/>
        <family val="2"/>
      </rPr>
      <t xml:space="preserve">府印製典立契用紙晉不動立執管契字晉江縣南門外吉都乳獅林祝頂夙承祖父遺下民唐五間七等重產在吉都東至大扁塘南至建西至經北至經四至白經祖父厝管多年無異並無與別房伯叔兄弟子姪及其有糾葛不清情事今因年久契據遺失奉催驗契不敢隱匿特此契按照時價估值大洋銀陸拾九元正遵章投驗如有偽冒不實經人告發證明願照刑律偽造文書及詐欺取財罪懲治理合約同保證人投案中請補給官契永執為據保人林色堪籍貫住址職業年齡中華民國二十四年十月九日執管契字人林祝頂籍貫住址職業年齡字第七二號此聯於業戶對價簽名後截文構面業戶須知此項立契用紙係由福建財政廳依照契稅規程第一條之規定製定式於發售不分無貴一律通用每張收稅價壹角此項立契用紙各區驗契事務所均有發售各業戶可就近購用</t>
    </r>
    <r>
      <rPr>
        <sz val="10"/>
        <rFont val="Arial"/>
        <family val="0"/>
        <charset val="1"/>
      </rPr>
      <t xml:space="preserve">(</t>
    </r>
    <r>
      <rPr>
        <sz val="10"/>
        <rFont val="Noto Sans CJK SC"/>
        <family val="2"/>
      </rPr>
      <t xml:space="preserve">一</t>
    </r>
    <r>
      <rPr>
        <sz val="10"/>
        <rFont val="Arial"/>
        <family val="0"/>
        <charset val="1"/>
      </rPr>
      <t xml:space="preserve">)(</t>
    </r>
    <r>
      <rPr>
        <sz val="10"/>
        <rFont val="Noto Sans CJK SC"/>
        <family val="2"/>
      </rPr>
      <t xml:space="preserve">二</t>
    </r>
    <r>
      <rPr>
        <sz val="10"/>
        <rFont val="Arial"/>
        <family val="0"/>
        <charset val="1"/>
      </rPr>
      <t xml:space="preserve">)</t>
    </r>
  </si>
  <si>
    <t xml:space="preserve">31735066267570_002</t>
  </si>
  <si>
    <t xml:space="preserve">價陸拾萬元</t>
  </si>
  <si>
    <t xml:space="preserve">玖十六箱內產量面積合畝捌分捌厘八</t>
  </si>
  <si>
    <r>
      <rPr>
        <sz val="10"/>
        <rFont val="Arial"/>
        <family val="0"/>
        <charset val="1"/>
      </rPr>
      <t xml:space="preserve">2215 | </t>
    </r>
    <r>
      <rPr>
        <sz val="10"/>
        <rFont val="Noto Sans CJK SC"/>
        <family val="2"/>
      </rPr>
      <t xml:space="preserve">福 建 省 人 民 政 府 公 定 分 拆 契 紙</t>
    </r>
  </si>
  <si>
    <r>
      <rPr>
        <sz val="10"/>
        <rFont val="Arial"/>
        <family val="0"/>
        <charset val="1"/>
      </rPr>
      <t xml:space="preserve">2215</t>
    </r>
    <r>
      <rPr>
        <sz val="10"/>
        <rFont val="Noto Sans CJK SC"/>
        <family val="2"/>
      </rPr>
      <t xml:space="preserve">福建省人民政府公定分拆契紙承受人姓名施至祥簽名蓋章原所有人姓名陳佃簽名蓋章不動產種類農等級坐落玖十六箱內產量面積合畝捌分捌厘八毫上手原契四至東至食仔南至水溝西至自岸北至至誠立契日期五三八中證人簽名蓋章施光泰施光泰印屋式價陸拾萬元監證人簽名蓋章施養炳施養炳印繳納稅額附記公元一九五三年八月十五日發給收執江縣縣長晉江縣縣長章啟號</t>
    </r>
    <r>
      <rPr>
        <sz val="10"/>
        <rFont val="Arial"/>
        <family val="0"/>
        <charset val="1"/>
      </rPr>
      <t xml:space="preserve">(</t>
    </r>
    <r>
      <rPr>
        <sz val="10"/>
        <rFont val="Noto Sans CJK SC"/>
        <family val="2"/>
      </rPr>
      <t xml:space="preserve">此聯交申請所有權承受人存執</t>
    </r>
    <r>
      <rPr>
        <sz val="10"/>
        <rFont val="Arial"/>
        <family val="0"/>
        <charset val="1"/>
      </rPr>
      <t xml:space="preserve">)</t>
    </r>
  </si>
  <si>
    <t xml:space="preserve">31735066267588_001</t>
  </si>
  <si>
    <t xml:space="preserve">31735066267588</t>
  </si>
  <si>
    <t xml:space="preserve">1910/1915</t>
  </si>
  <si>
    <t xml:space="preserve">王昌年</t>
  </si>
  <si>
    <t xml:space="preserve">李學堃</t>
  </si>
  <si>
    <t xml:space="preserve">Box 2, Folder 93</t>
  </si>
  <si>
    <t xml:space="preserve">立賣斷田根契</t>
  </si>
  <si>
    <t xml:space="preserve">價錢玖拾仟文正</t>
  </si>
  <si>
    <t xml:space="preserve">候邑四十一都磨石區</t>
  </si>
  <si>
    <t xml:space="preserve">澗沙亭溪邊石牌壩</t>
  </si>
  <si>
    <t xml:space="preserve">王昌厚</t>
  </si>
  <si>
    <t xml:space="preserve">王其松</t>
  </si>
  <si>
    <t xml:space="preserve">母親馬氏</t>
  </si>
  <si>
    <t xml:space="preserve">https://digital.library.pitt.edu/islandora/object/pitt:31735066267588</t>
  </si>
  <si>
    <t xml:space="preserve">契平立賣斷田根契王昌年原祖遺下有民田根壺號坐落候邑四十一都磨石區地方土名澗沙亭溪邊石牌壩田壺坵官丈壺畝肆分零年納張家租谷早晚壺百柒拾捌平秤厯堂無畀今因要用托中將此田根賣斷李學子壺實為業三面言議本日賣斷出田根價錢玖拾仟文正其錢即日收足其其田永听李家家掌管耕作過佃納租租年自賣斷之後價足心愿永斷昔日藤向後不敢別生枝節但此田根係年祖遺物業別房人等無干亦未曾重張典當他人財物如有來厯不明係年出頭承當相允愿各無反悔今欲有憑立賣斷田根契壺帝為照內點其祖式字標照卷驗記中人王昌厚方慶由張在見母親馬氏宣統元年拾月吉日立賣斷田根契王昌年一代筆王其松</t>
  </si>
  <si>
    <t xml:space="preserve">31735066267588_002</t>
  </si>
  <si>
    <r>
      <rPr>
        <sz val="10"/>
        <rFont val="Noto Sans CJK SC"/>
        <family val="2"/>
      </rPr>
      <t xml:space="preserve">宣統二年</t>
    </r>
    <r>
      <rPr>
        <sz val="10"/>
        <rFont val="Arial"/>
        <family val="0"/>
        <charset val="1"/>
      </rPr>
      <t xml:space="preserve">; </t>
    </r>
    <r>
      <rPr>
        <sz val="10"/>
        <rFont val="Noto Sans CJK SC"/>
        <family val="2"/>
      </rPr>
      <t xml:space="preserve">中華民國四年</t>
    </r>
  </si>
  <si>
    <t xml:space="preserve">價銀玖拾元</t>
  </si>
  <si>
    <t xml:space="preserve">閩侯縣盤石區</t>
  </si>
  <si>
    <t xml:space="preserve">王昌厚議定價銀玖</t>
  </si>
  <si>
    <r>
      <rPr>
        <sz val="10"/>
        <rFont val="Noto Sans CJK SC"/>
        <family val="2"/>
      </rPr>
      <t xml:space="preserve">國債利息 </t>
    </r>
    <r>
      <rPr>
        <sz val="10"/>
        <rFont val="Arial"/>
        <family val="0"/>
        <charset val="1"/>
      </rPr>
      <t xml:space="preserve">| </t>
    </r>
    <r>
      <rPr>
        <sz val="10"/>
        <rFont val="Noto Sans CJK SC"/>
        <family val="2"/>
      </rPr>
      <t xml:space="preserve">長壽縣 </t>
    </r>
    <r>
      <rPr>
        <sz val="10"/>
        <rFont val="Arial"/>
        <family val="0"/>
        <charset val="1"/>
      </rPr>
      <t xml:space="preserve">| </t>
    </r>
    <r>
      <rPr>
        <sz val="10"/>
        <rFont val="Noto Sans CJK SC"/>
        <family val="2"/>
      </rPr>
      <t xml:space="preserve">稅務 </t>
    </r>
    <r>
      <rPr>
        <sz val="10"/>
        <rFont val="Arial"/>
        <family val="0"/>
        <charset val="1"/>
      </rPr>
      <t xml:space="preserve">| </t>
    </r>
    <r>
      <rPr>
        <sz val="10"/>
        <rFont val="Noto Sans CJK SC"/>
        <family val="2"/>
      </rPr>
      <t xml:space="preserve">福建財政廳 </t>
    </r>
    <r>
      <rPr>
        <sz val="10"/>
        <rFont val="Arial"/>
        <family val="0"/>
        <charset val="1"/>
      </rPr>
      <t xml:space="preserve">| </t>
    </r>
    <r>
      <rPr>
        <sz val="10"/>
        <rFont val="Noto Sans CJK SC"/>
        <family val="2"/>
      </rPr>
      <t xml:space="preserve">單 契 斷 賣</t>
    </r>
  </si>
  <si>
    <t xml:space="preserve">稅字第四萬一百八十號</t>
  </si>
  <si>
    <t xml:space="preserve">國債利息長壽縣稅務福建財政廳為給發契單事業查接管國稅廳籌備處卷內奉財政部飭開契稅條例於一月十一日經大總統公布並由本部按照本條例第十一條之規定訂定契稅條例施行細則於一月二十九日以部令公布在案查契稅條例第一條第二項前項契約用紙由財政部定式頒行等語除契稅條例第二條所規定之特別印花由部製備另行頒發外隨飭發去契稅條例暨契稅條例施行細則並契紙及各種收據清冊格式應即照式先行製備仰該處長遵照辦理可也等因奉此查契稅條例施行細則第二十條本條例公布後各徵稅官署未奉到部頒契紙特別印花出示曉諭以前所有田房稅契應仍照向章辦理等語今據閩侯縣業戶李學堃於清宣統二年十一月日買受王昌年田根盡畝肆分坐落閩侯縣盤石區地方東至南至西至北至坐向橫大尺直大業已尺邀同中證王昌厚議定價銀玖拾元依限投稅應納稅銀叁元如數收訖合填契單粘連原契印給收執管業須至契單者右給業戶李學堃准此單契斷賣中華民國四年二月三十一東水湯井日給稅字第四萬一百八十號</t>
  </si>
  <si>
    <t xml:space="preserve">31735066267596_001</t>
  </si>
  <si>
    <t xml:space="preserve">31735066267596</t>
  </si>
  <si>
    <t xml:space="preserve">1925/1943</t>
  </si>
  <si>
    <t xml:space="preserve">金輯和</t>
  </si>
  <si>
    <t xml:space="preserve">金信江</t>
  </si>
  <si>
    <t xml:space="preserve">Box 3, Folder 125</t>
  </si>
  <si>
    <t xml:space="preserve">中華民國拾捌年</t>
  </si>
  <si>
    <t xml:space="preserve">契金緯和</t>
  </si>
  <si>
    <r>
      <rPr>
        <sz val="10"/>
        <rFont val="Noto Sans CJK SC"/>
        <family val="2"/>
      </rPr>
      <t xml:space="preserve">價銀壹佰伍拾兩正</t>
    </r>
    <r>
      <rPr>
        <sz val="10"/>
        <rFont val="Arial"/>
        <family val="0"/>
        <charset val="1"/>
      </rPr>
      <t xml:space="preserve">; </t>
    </r>
    <r>
      <rPr>
        <sz val="10"/>
        <rFont val="Noto Sans CJK SC"/>
        <family val="2"/>
      </rPr>
      <t xml:space="preserve">錢捌佰文</t>
    </r>
  </si>
  <si>
    <t xml:space="preserve">玉渡湖</t>
  </si>
  <si>
    <t xml:space="preserve">考塘坑墘</t>
  </si>
  <si>
    <t xml:space="preserve">林發祥</t>
  </si>
  <si>
    <t xml:space="preserve">金石友素</t>
  </si>
  <si>
    <t xml:space="preserve">弟炳和</t>
  </si>
  <si>
    <t xml:space="preserve">https://digital.library.pitt.edu/islandora/object/pitt:31735066267596</t>
  </si>
  <si>
    <r>
      <rPr>
        <sz val="10"/>
        <rFont val="Noto Sans CJK SC"/>
        <family val="2"/>
      </rPr>
      <t xml:space="preserve">立賣契契金緯和承父手置有底面全民田一號坐址玉渡湖地方土名考塘坑墘等處共受種壹畝零載報陸分伍厘正事其報即付收割入戶今因別置將此底面全之田送賣與金信江慶永遠為實業三面言議時值價銀壹佰伍拾兩正每兩年折錢捌佰文扣其銀即日交訖其底面全之田即付銀主前去永遠管業起佃耕作收租办粮任從其便此業係父手置物業與別無干在先並無重他人以及父如弟應不明等情如有此情係是斷主出頭支理不涉銀主之事自斷之後價已敷足永不敢言盡說贖別生枝節異言等情其原契夾帶不繳付今欲有憑立賣契契壹份付執永遠為照內塗每字壹字又添便式字再照中華民國拾捌年拾貳月日立賣契契金緯和承賣</t>
    </r>
    <r>
      <rPr>
        <sz val="10"/>
        <rFont val="Arial"/>
        <family val="0"/>
        <charset val="1"/>
      </rPr>
      <t xml:space="preserve">169</t>
    </r>
    <r>
      <rPr>
        <sz val="10"/>
        <rFont val="Noto Sans CJK SC"/>
        <family val="2"/>
      </rPr>
      <t xml:space="preserve">左見弟炳和中人林發祥代字金石友素不承辦</t>
    </r>
    <r>
      <rPr>
        <sz val="10"/>
        <rFont val="Arial"/>
        <family val="0"/>
        <charset val="1"/>
      </rPr>
      <t xml:space="preserve">1485</t>
    </r>
  </si>
  <si>
    <t xml:space="preserve">31735066267596_002</t>
  </si>
  <si>
    <t xml:space="preserve">立後四個月內完納契</t>
  </si>
  <si>
    <t xml:space="preserve">幣壹仟零〇〇元</t>
  </si>
  <si>
    <t xml:space="preserve">永泰縣玉渡湖鄉考塘坑村田東至西至</t>
  </si>
  <si>
    <t xml:space="preserve">永泰縣 實 契</t>
  </si>
  <si>
    <r>
      <rPr>
        <sz val="10"/>
        <rFont val="Noto Sans CJK SC"/>
        <family val="2"/>
      </rPr>
      <t xml:space="preserve">契稅暫行條例摘要一、契稅稅率買契稅為其契價百分之五賣契稅為其契價百分之三二、契紙每張納國幣五角三、契約成立後四個月內完納契稅逾期責令補納並科以應納稅額百分之十之罰四、再逾期二個月逾加百分之十至達應納稅額之同數為止五、虛報契價賣令改契補稅並科以左列罰款一、以左列罰款二、以左列罰款三、以左列罰款四、以左列罰款五、以左列罰款六、以左列罰款七、以左列罰款八、以左列罰款九、以左列罰款十、以左列罰款十一、以左列罰款十二、以左列罰款十三、以左列罰款十四、以左列罰款十五、以左列罰款十六、以左列罰款十七、以左列罰款十八、以左列罰款十九、以左列罰款二十、以左列罰款二十一、以左列罰款二十二、以左列罰款二十三、以左列罰款二十四、以左列罰款二十五、以左列罰款二十六、以左列罰款二十七、以左列罰款二十八、以左列罰款二十九、以左列罰款三十、以左列罰款三十一、以左列罰款三十二、以左列罰款三十三、以左列罰款三十四、以左列罰款三十五、以左列罰款三十六、以左列罰款三十七、以左列罰款三十八、以左列罰款三十九、以左列罰款四十、以左列罰款四十一、以左列罰款四十二、以左列罰款四十三、以左列罰款四十四、以左列罰款四十五、以左列罰款四十六、以左列罰款四十七、以左列罰款四十八、以左列罰款四十九、以左列罰款五十、以左列罰款五十一、以左列罰款五十二、以左列罰款五十三、以左列罰款五十四、以左列罰款五十五、以左列罰款五十六、以左列罰款五十七、以左列罰款五十八、以左列罰款五十九、以左列罰款六十、以左列罰款六十一、以左列罰款六十二、以左列罰款六十三、以左列罰款六十四、以左列罰款六十五、以左列罰款六十六、以左列罰款六十七、以左列罰款六十八、以左列罰款六十九、以左列罰款七十、以左列罰款七十一、以左列罰款七十二、以左列罰款七十三、以左列罰款七十四、以左列罰款七十五、以左列罰款七十六、以左列罰款七十七、以左列罰款七十八、以左列罰款七十九、以左列罰款八十、以左列罰款八十一、以左列罰款八十二、以左列罰款八十三、以左列罰款八十四、以左列罰款八十五、以左列罰款八十六、以左列罰款八十七、以左列罰款八十八、以左列罰款八十九、以左列罰款九十、以左列罰款九十一、以左列罰款九十二、以左列罰款九十三、以左列罰款九十四、以左列罰款九十五、以左列罰款九十六、以左列罰款九十七、以左列罰款九十八、以左列罰款九十九、以左列罰款一百、以左列罰款永泰縣實契承買人金信江住址嵩口鎮玉湖保坐落永泰縣玉渡湖鄉考塘坑村田東至西至房地南北屋山分田賦稅額國幣壹仟零〇〇元元角分絲出賣人金緝和中國人林發祥</t>
    </r>
    <r>
      <rPr>
        <sz val="10"/>
        <rFont val="Arial"/>
        <family val="0"/>
        <charset val="1"/>
      </rPr>
      <t xml:space="preserve">(</t>
    </r>
    <r>
      <rPr>
        <sz val="10"/>
        <rFont val="Noto Sans CJK SC"/>
        <family val="2"/>
      </rPr>
      <t xml:space="preserve">簽名蓋章</t>
    </r>
    <r>
      <rPr>
        <sz val="10"/>
        <rFont val="Arial"/>
        <family val="0"/>
        <charset val="1"/>
      </rPr>
      <t xml:space="preserve">)(</t>
    </r>
    <r>
      <rPr>
        <sz val="10"/>
        <rFont val="Noto Sans CJK SC"/>
        <family val="2"/>
      </rPr>
      <t xml:space="preserve">簽名蓋章</t>
    </r>
    <r>
      <rPr>
        <sz val="10"/>
        <rFont val="Arial"/>
        <family val="0"/>
        <charset val="1"/>
      </rPr>
      <t xml:space="preserve">)</t>
    </r>
    <r>
      <rPr>
        <sz val="10"/>
        <rFont val="Noto Sans CJK SC"/>
        <family val="2"/>
      </rPr>
      <t xml:space="preserve">監證人鐵鄉</t>
    </r>
    <r>
      <rPr>
        <sz val="10"/>
        <rFont val="Arial"/>
        <family val="0"/>
        <charset val="1"/>
      </rPr>
      <t xml:space="preserve">(</t>
    </r>
    <r>
      <rPr>
        <sz val="10"/>
        <rFont val="Noto Sans CJK SC"/>
        <family val="2"/>
      </rPr>
      <t xml:space="preserve">蓋公所圖記</t>
    </r>
    <r>
      <rPr>
        <sz val="10"/>
        <rFont val="Arial"/>
        <family val="0"/>
        <charset val="1"/>
      </rPr>
      <t xml:space="preserve">)</t>
    </r>
    <r>
      <rPr>
        <sz val="10"/>
        <rFont val="Noto Sans CJK SC"/>
        <family val="2"/>
      </rPr>
      <t xml:space="preserve">中華民國三十一年六月執收戶業聯此號第字</t>
    </r>
  </si>
  <si>
    <t xml:space="preserve">31735066267596_003</t>
  </si>
  <si>
    <t xml:space="preserve">價壹百伍拾元</t>
  </si>
  <si>
    <t xml:space="preserve">契 稅 收 據</t>
  </si>
  <si>
    <r>
      <rPr>
        <sz val="10"/>
        <rFont val="Noto Sans CJK SC"/>
        <family val="2"/>
      </rPr>
      <t xml:space="preserve">財政部福建永泰縣田賦管理處契稅收據財政部福建省永泰縣田賦管理處為發給契稅收據事茲據永泰縣嵩口鎮玉湖街業主金信江呈繳賣契據一紙前來核與契稅條例章則相符准予印稅除分別掣發繳查存根外合掣收據付憑計開賣價壹百伍拾元應納稅額壹拾伍元應報產價成數附加縣小學教育經費百分之廿五應納罰鍰應納罰鍰應納罰鍰應納罰鍰應納罰鍰備改兼處長</t>
    </r>
    <r>
      <rPr>
        <sz val="10"/>
        <rFont val="Arial"/>
        <family val="0"/>
        <charset val="1"/>
      </rPr>
      <t xml:space="preserve">(</t>
    </r>
    <r>
      <rPr>
        <sz val="10"/>
        <rFont val="Noto Sans CJK SC"/>
        <family val="2"/>
      </rPr>
      <t xml:space="preserve">簽名蓋章</t>
    </r>
    <r>
      <rPr>
        <sz val="10"/>
        <rFont val="Arial"/>
        <family val="0"/>
        <charset val="1"/>
      </rPr>
      <t xml:space="preserve">)</t>
    </r>
    <r>
      <rPr>
        <sz val="10"/>
        <rFont val="Noto Sans CJK SC"/>
        <family val="2"/>
      </rPr>
      <t xml:space="preserve">經收員</t>
    </r>
    <r>
      <rPr>
        <sz val="10"/>
        <rFont val="Arial"/>
        <family val="0"/>
        <charset val="1"/>
      </rPr>
      <t xml:space="preserve">(</t>
    </r>
    <r>
      <rPr>
        <sz val="10"/>
        <rFont val="Noto Sans CJK SC"/>
        <family val="2"/>
      </rPr>
      <t xml:space="preserve">簽名蓋章</t>
    </r>
    <r>
      <rPr>
        <sz val="10"/>
        <rFont val="Arial"/>
        <family val="0"/>
        <charset val="1"/>
      </rPr>
      <t xml:space="preserve">)</t>
    </r>
    <r>
      <rPr>
        <sz val="10"/>
        <rFont val="Noto Sans CJK SC"/>
        <family val="2"/>
      </rPr>
      <t xml:space="preserve">中華民國三十一年六月日後之契本戶業于粘聯此號第字</t>
    </r>
  </si>
  <si>
    <t xml:space="preserve">31735066267604_001</t>
  </si>
  <si>
    <t xml:space="preserve">31735066267604</t>
  </si>
  <si>
    <t xml:space="preserve">雲南省鶴慶縣</t>
  </si>
  <si>
    <t xml:space="preserve">李文富</t>
  </si>
  <si>
    <t xml:space="preserve">Box 4, Folder 206</t>
  </si>
  <si>
    <t xml:space="preserve">雲南省鶴慶縣土地房產所有證</t>
  </si>
  <si>
    <t xml:space="preserve">https://digital.library.pitt.edu/islandora/object/pitt:31735066267604</t>
  </si>
  <si>
    <t xml:space="preserve">鶴宇第案卷陸號雲南省鶴慶縣土地房產所有證鶴宇第貳肆陸貳陸號第六區第二鄉鎮文登村居民李文富依據中國人民政治協商會議共同綱領第二十七條保護農民已得土地所有權暨中華人民共和國土地改革法第三十條「土地改革完成後由人民政府發給土地所有證」之規定確定本戶全家所有土地共計可耕地畝非耕地畝均作為本戶全家私有產業有耕種居住典賣轉讓贈與出租等完全自由任何人不得侵犯特給此證計開縣長陸文斌副縣長</t>
  </si>
  <si>
    <t xml:space="preserve">31735066267612_001</t>
  </si>
  <si>
    <t xml:space="preserve">31735066267612</t>
  </si>
  <si>
    <t xml:space="preserve">邵武</t>
  </si>
  <si>
    <t xml:space="preserve">福建邵武縣</t>
  </si>
  <si>
    <r>
      <rPr>
        <sz val="10"/>
        <rFont val="Noto Sans CJK SC"/>
        <family val="2"/>
      </rPr>
      <t xml:space="preserve">李水旺 </t>
    </r>
    <r>
      <rPr>
        <sz val="10"/>
        <rFont val="Arial"/>
        <family val="0"/>
        <charset val="1"/>
      </rPr>
      <t xml:space="preserve">| </t>
    </r>
    <r>
      <rPr>
        <sz val="10"/>
        <rFont val="Noto Sans CJK SC"/>
        <family val="2"/>
      </rPr>
      <t xml:space="preserve">陳連玉 </t>
    </r>
    <r>
      <rPr>
        <sz val="10"/>
        <rFont val="Arial"/>
        <family val="0"/>
        <charset val="1"/>
      </rPr>
      <t xml:space="preserve">| </t>
    </r>
    <r>
      <rPr>
        <sz val="10"/>
        <rFont val="Noto Sans CJK SC"/>
        <family val="2"/>
      </rPr>
      <t xml:space="preserve">李義妹 </t>
    </r>
    <r>
      <rPr>
        <sz val="10"/>
        <rFont val="Arial"/>
        <family val="0"/>
        <charset val="1"/>
      </rPr>
      <t xml:space="preserve">| </t>
    </r>
    <r>
      <rPr>
        <sz val="10"/>
        <rFont val="Noto Sans CJK SC"/>
        <family val="2"/>
      </rPr>
      <t xml:space="preserve">李義草</t>
    </r>
  </si>
  <si>
    <t xml:space="preserve">Box 4, Folder 201</t>
  </si>
  <si>
    <r>
      <rPr>
        <sz val="10"/>
        <rFont val="Noto Sans CJK SC"/>
        <family val="2"/>
      </rPr>
      <t xml:space="preserve">土地房產所有證 </t>
    </r>
    <r>
      <rPr>
        <sz val="10"/>
        <rFont val="Arial"/>
        <family val="0"/>
        <charset val="1"/>
      </rPr>
      <t xml:space="preserve">| </t>
    </r>
    <r>
      <rPr>
        <sz val="10"/>
        <rFont val="Noto Sans CJK SC"/>
        <family val="2"/>
      </rPr>
      <t xml:space="preserve">福建省邵武縣土地房產所有證 </t>
    </r>
    <r>
      <rPr>
        <sz val="10"/>
        <rFont val="Arial"/>
        <family val="0"/>
        <charset val="1"/>
      </rPr>
      <t xml:space="preserve">| </t>
    </r>
    <r>
      <rPr>
        <sz val="10"/>
        <rFont val="Noto Sans CJK SC"/>
        <family val="2"/>
      </rPr>
      <t xml:space="preserve">計開 </t>
    </r>
    <r>
      <rPr>
        <sz val="10"/>
        <rFont val="Arial"/>
        <family val="0"/>
        <charset val="1"/>
      </rPr>
      <t xml:space="preserve">| </t>
    </r>
    <r>
      <rPr>
        <sz val="10"/>
        <rFont val="Noto Sans CJK SC"/>
        <family val="2"/>
      </rPr>
      <t xml:space="preserve">縣長郭洪元</t>
    </r>
  </si>
  <si>
    <t xml:space="preserve">邵武一字第零壹叁伍號</t>
  </si>
  <si>
    <t xml:space="preserve">https://digital.library.pitt.edu/islandora/object/pitt:31735066267612</t>
  </si>
  <si>
    <r>
      <rPr>
        <sz val="10"/>
        <rFont val="Noto Sans CJK SC"/>
        <family val="2"/>
      </rPr>
      <t xml:space="preserve">根據土地改革法第三十條規定此證領發後過去所有舊契約一律作廢土地房產所有證福建省邵武縣土地房產所有證邵武一字第零壹叁伍號第壹區山溪鄉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香山村居民李水旺陳連玉李義妹李義萍依據中國人民政治協商會議共同綱領第二十七條「保護農民已得土地所有權」暨中華人民共和國土地改革法第三十條「土地改革完成後由人民政府發給土地所有證」之規定確定本戶全家所有土地共計拾段</t>
    </r>
    <r>
      <rPr>
        <sz val="10"/>
        <rFont val="Arial"/>
        <family val="0"/>
        <charset val="1"/>
      </rPr>
      <t xml:space="preserve">(</t>
    </r>
    <r>
      <rPr>
        <sz val="10"/>
        <rFont val="Noto Sans CJK SC"/>
        <family val="2"/>
      </rPr>
      <t xml:space="preserve">坵</t>
    </r>
    <r>
      <rPr>
        <sz val="10"/>
        <rFont val="Arial"/>
        <family val="0"/>
        <charset val="1"/>
      </rPr>
      <t xml:space="preserve">)</t>
    </r>
    <r>
      <rPr>
        <sz val="10"/>
        <rFont val="Noto Sans CJK SC"/>
        <family val="2"/>
      </rPr>
      <t xml:space="preserve">拾叁畝零分陸毫房產共計房屋肆間地基壹段</t>
    </r>
    <r>
      <rPr>
        <sz val="10"/>
        <rFont val="Arial"/>
        <family val="0"/>
        <charset val="1"/>
      </rPr>
      <t xml:space="preserve">(</t>
    </r>
    <r>
      <rPr>
        <sz val="10"/>
        <rFont val="Noto Sans CJK SC"/>
        <family val="2"/>
      </rPr>
      <t xml:space="preserve">坵</t>
    </r>
    <r>
      <rPr>
        <sz val="10"/>
        <rFont val="Arial"/>
        <family val="0"/>
        <charset val="1"/>
      </rPr>
      <t xml:space="preserve">)</t>
    </r>
    <r>
      <rPr>
        <sz val="10"/>
        <rFont val="Noto Sans CJK SC"/>
        <family val="2"/>
      </rPr>
      <t xml:space="preserve">零畝柒分零釐毫均作為本戶全家私有非耕地計開縣長郭洪元座落種類地名原田地籍單位數折市畝數四至長寬尺度附屬物備考危家坪村前田溝門口壹貳西東山范應北南新前山片</t>
    </r>
    <r>
      <rPr>
        <sz val="10"/>
        <rFont val="Arial"/>
        <family val="0"/>
        <charset val="1"/>
      </rPr>
      <t xml:space="preserve">3881</t>
    </r>
    <r>
      <rPr>
        <sz val="10"/>
        <rFont val="Noto Sans CJK SC"/>
        <family val="2"/>
      </rPr>
      <t xml:space="preserve">危家坪村前田厝下毛壹叁西東山吳姓仔北南清池五片</t>
    </r>
    <r>
      <rPr>
        <sz val="10"/>
        <rFont val="Arial"/>
        <family val="0"/>
        <charset val="1"/>
      </rPr>
      <t xml:space="preserve">3891</t>
    </r>
    <r>
      <rPr>
        <sz val="10"/>
        <rFont val="Noto Sans CJK SC"/>
        <family val="2"/>
      </rPr>
      <t xml:space="preserve">危家坪村前田木連地伍玖西東范應北南吳姓仔片</t>
    </r>
    <r>
      <rPr>
        <sz val="10"/>
        <rFont val="Arial"/>
        <family val="0"/>
        <charset val="1"/>
      </rPr>
      <t xml:space="preserve">3878</t>
    </r>
    <r>
      <rPr>
        <sz val="10"/>
        <rFont val="Noto Sans CJK SC"/>
        <family val="2"/>
      </rPr>
      <t xml:space="preserve">危家坪村前田楊梅樹下壹伍西東范應北南李水旺片</t>
    </r>
    <r>
      <rPr>
        <sz val="10"/>
        <rFont val="Arial"/>
        <family val="0"/>
        <charset val="1"/>
      </rPr>
      <t xml:space="preserve">38235</t>
    </r>
    <r>
      <rPr>
        <sz val="10"/>
        <rFont val="Noto Sans CJK SC"/>
        <family val="2"/>
      </rPr>
      <t xml:space="preserve">危家坪村前田企坵壹捌西東范應北南李水旺片</t>
    </r>
    <r>
      <rPr>
        <sz val="10"/>
        <rFont val="Arial"/>
        <family val="0"/>
        <charset val="1"/>
      </rPr>
      <t xml:space="preserve">38219</t>
    </r>
    <r>
      <rPr>
        <sz val="10"/>
        <rFont val="Noto Sans CJK SC"/>
        <family val="2"/>
      </rPr>
      <t xml:space="preserve">危家坪村前田苦珠樹壹壹西東范應北南李水旺片</t>
    </r>
    <r>
      <rPr>
        <sz val="10"/>
        <rFont val="Arial"/>
        <family val="0"/>
        <charset val="1"/>
      </rPr>
      <t xml:space="preserve">3839</t>
    </r>
    <r>
      <rPr>
        <sz val="10"/>
        <rFont val="Noto Sans CJK SC"/>
        <family val="2"/>
      </rPr>
      <t xml:space="preserve">危家坪村後田太水溝壹叁西東李福章北南李福章片</t>
    </r>
    <r>
      <rPr>
        <sz val="10"/>
        <rFont val="Arial"/>
        <family val="0"/>
        <charset val="1"/>
      </rPr>
      <t xml:space="preserve">39136</t>
    </r>
    <r>
      <rPr>
        <sz val="10"/>
        <rFont val="Noto Sans CJK SC"/>
        <family val="2"/>
      </rPr>
      <t xml:space="preserve">危家坪村後田黃竹排壹伍西東李福章北南李福章片</t>
    </r>
    <r>
      <rPr>
        <sz val="10"/>
        <rFont val="Arial"/>
        <family val="0"/>
        <charset val="1"/>
      </rPr>
      <t xml:space="preserve">39231</t>
    </r>
    <r>
      <rPr>
        <sz val="10"/>
        <rFont val="Noto Sans CJK SC"/>
        <family val="2"/>
      </rPr>
      <t xml:space="preserve">危家坪村後田馬池窖壹叁西東李福章北南李福章片</t>
    </r>
    <r>
      <rPr>
        <sz val="10"/>
        <rFont val="Arial"/>
        <family val="0"/>
        <charset val="1"/>
      </rPr>
      <t xml:space="preserve">39225</t>
    </r>
    <r>
      <rPr>
        <sz val="10"/>
        <rFont val="Noto Sans CJK SC"/>
        <family val="2"/>
      </rPr>
      <t xml:space="preserve">危家坪村後田高家門口壹壹西東李福章北南李福章片</t>
    </r>
    <r>
      <rPr>
        <sz val="10"/>
        <rFont val="Arial"/>
        <family val="0"/>
        <charset val="1"/>
      </rPr>
      <t xml:space="preserve">39230</t>
    </r>
    <r>
      <rPr>
        <sz val="10"/>
        <rFont val="Noto Sans CJK SC"/>
        <family val="2"/>
      </rPr>
      <t xml:space="preserve">危家坪村屋壹壹西東范應北南范應片</t>
    </r>
    <r>
      <rPr>
        <sz val="10"/>
        <rFont val="Arial"/>
        <family val="0"/>
        <charset val="1"/>
      </rPr>
      <t xml:space="preserve">38111</t>
    </r>
    <r>
      <rPr>
        <sz val="10"/>
        <rFont val="Noto Sans CJK SC"/>
        <family val="2"/>
      </rPr>
      <t xml:space="preserve">一九五二年六月六日發</t>
    </r>
  </si>
  <si>
    <t xml:space="preserve">31735066267620_001</t>
  </si>
  <si>
    <t xml:space="preserve">31735066267620</t>
  </si>
  <si>
    <t xml:space="preserve">1889</t>
  </si>
  <si>
    <t xml:space="preserve">黃振發</t>
  </si>
  <si>
    <t xml:space="preserve">高</t>
  </si>
  <si>
    <t xml:space="preserve">Box 2, Folder 70</t>
  </si>
  <si>
    <t xml:space="preserve">立賣斷地契</t>
  </si>
  <si>
    <t xml:space="preserve">光緒拾五年</t>
  </si>
  <si>
    <t xml:space="preserve">閩邑體泉舖</t>
  </si>
  <si>
    <t xml:space="preserve">下底池</t>
  </si>
  <si>
    <r>
      <rPr>
        <sz val="10"/>
        <rFont val="Noto Sans CJK SC"/>
        <family val="2"/>
      </rPr>
      <t xml:space="preserve">賣斷與</t>
    </r>
    <r>
      <rPr>
        <sz val="10"/>
        <rFont val="Arial"/>
        <family val="0"/>
        <charset val="1"/>
      </rPr>
      <t xml:space="preserve">; </t>
    </r>
    <r>
      <rPr>
        <sz val="10"/>
        <rFont val="Noto Sans CJK SC"/>
        <family val="2"/>
      </rPr>
      <t xml:space="preserve">交足其空地即聽高</t>
    </r>
    <r>
      <rPr>
        <sz val="10"/>
        <rFont val="Arial"/>
        <family val="0"/>
        <charset val="1"/>
      </rPr>
      <t xml:space="preserve">; </t>
    </r>
    <r>
      <rPr>
        <sz val="10"/>
        <rFont val="Noto Sans CJK SC"/>
        <family val="2"/>
      </rPr>
      <t xml:space="preserve">余春仁</t>
    </r>
  </si>
  <si>
    <t xml:space="preserve">李珪甫</t>
  </si>
  <si>
    <r>
      <rPr>
        <sz val="10"/>
        <rFont val="Noto Sans CJK SC"/>
        <family val="2"/>
      </rPr>
      <t xml:space="preserve">堂兄黃振福</t>
    </r>
    <r>
      <rPr>
        <sz val="10"/>
        <rFont val="Arial"/>
        <family val="0"/>
        <charset val="1"/>
      </rPr>
      <t xml:space="preserve">; </t>
    </r>
    <r>
      <rPr>
        <sz val="10"/>
        <rFont val="Noto Sans CJK SC"/>
        <family val="2"/>
      </rPr>
      <t xml:space="preserve">母舅高金魁</t>
    </r>
  </si>
  <si>
    <t xml:space="preserve">https://digital.library.pitt.edu/islandora/object/pitt:31735066267620</t>
  </si>
  <si>
    <t xml:space="preserve">立賣斷地契黃振發承祖閣分份下有空地壺塊坐產閩邑體泉舖土名下底池地方前至官街後至黃家池磅左至吳家屋右至黃家池磅四至俱載明白今因乏用情願將此地托中友賣斷與高處永遠為業三面言議本日賣斷得屋地價鏡銀壺拾兩正庫磁大錠白足色足兌其銀即日隨契全中友交足其空地即聽高家擇吉起蓋幫棚厝屋永遠營業千秋或自己居住或招租他人聽從其便乃發自賣斷之後價足心願永斷葛籐向後永不敢言贖言湊言畫亦不敢別生枝節索取花紅之理但此空地係承租閣分份下與別房親疎伯叔兄弟侄無干亦未曾重張典當他人財物以及彙歷不明各等情係發自己出頭承當不涉高家之事兩相允願各無反悔今欲有憑立賣斷地契壹紙付執永遠為憑內改在堂字樣在見堂兄黃振福光緒拾五年六月吉日立賣斷地契黃振發在見母舅高金魁中友余春仁代筆李珪甫代筆李珪甫</t>
  </si>
  <si>
    <t xml:space="preserve">31735066267638_001</t>
  </si>
  <si>
    <t xml:space="preserve">31735066267638</t>
  </si>
  <si>
    <t xml:space="preserve">吳右嚴</t>
  </si>
  <si>
    <t xml:space="preserve">Box 2, Folder 106</t>
  </si>
  <si>
    <r>
      <rPr>
        <sz val="10"/>
        <rFont val="Noto Sans CJK SC"/>
        <family val="2"/>
      </rPr>
      <t xml:space="preserve">光緒拾貳拾肆兩年</t>
    </r>
    <r>
      <rPr>
        <sz val="10"/>
        <rFont val="Arial"/>
        <family val="0"/>
        <charset val="1"/>
      </rPr>
      <t xml:space="preserve">; </t>
    </r>
    <r>
      <rPr>
        <sz val="10"/>
        <rFont val="Noto Sans CJK SC"/>
        <family val="2"/>
      </rPr>
      <t xml:space="preserve">中華民國 陸 年</t>
    </r>
  </si>
  <si>
    <t xml:space="preserve">吳右巖</t>
  </si>
  <si>
    <r>
      <rPr>
        <sz val="10"/>
        <rFont val="Noto Sans CJK SC"/>
        <family val="2"/>
      </rPr>
      <t xml:space="preserve">價台伏柒百員正</t>
    </r>
    <r>
      <rPr>
        <sz val="10"/>
        <rFont val="Arial"/>
        <family val="0"/>
        <charset val="1"/>
      </rPr>
      <t xml:space="preserve">; </t>
    </r>
    <r>
      <rPr>
        <sz val="10"/>
        <rFont val="Noto Sans CJK SC"/>
        <family val="2"/>
      </rPr>
      <t xml:space="preserve">銀水式拾壹員</t>
    </r>
  </si>
  <si>
    <t xml:space="preserve">閩邑橫街鋪惠澤境葉術</t>
  </si>
  <si>
    <t xml:space="preserve">陳九齡</t>
  </si>
  <si>
    <r>
      <rPr>
        <sz val="10"/>
        <rFont val="Noto Sans CJK SC"/>
        <family val="2"/>
      </rPr>
      <t xml:space="preserve">中隨契收足其牆屋</t>
    </r>
    <r>
      <rPr>
        <sz val="10"/>
        <rFont val="Arial"/>
        <family val="0"/>
        <charset val="1"/>
      </rPr>
      <t xml:space="preserve">; </t>
    </r>
    <r>
      <rPr>
        <sz val="10"/>
        <rFont val="Noto Sans CJK SC"/>
        <family val="2"/>
      </rPr>
      <t xml:space="preserve">堂光兆祥母</t>
    </r>
  </si>
  <si>
    <t xml:space="preserve">鴻圖永固</t>
  </si>
  <si>
    <t xml:space="preserve">https://digital.library.pitt.edu/islandora/object/pitt:31735066267638</t>
  </si>
  <si>
    <r>
      <rPr>
        <sz val="10"/>
        <rFont val="Noto Sans CJK SC"/>
        <family val="2"/>
      </rPr>
      <t xml:space="preserve">立典契陳燦祥全胞弟廣祥胞姪大兆承父手置於清光緒拾貳拾肆兩年開先後用價銀典斷得陳必清牆屋全座坐產閩邑橫街鋪惠澤境葉術地方坐北朝南伍柱肆欄排前天井四圍風火牆橫潤計官丈肆丈式尺零直深計官丈伍丈式尺零隔牆外空地處所橫潤計官丈肆丈式尺零直深計官丈肆丈零牆屋肆欄排內左邊第肆欄後經改為左右樹屋中天井隔牆外空地處所起蓋式欄排廚房座座廚房前圍牆朝東前二首進後牆止朝西後坐龕家山界密樹全廚房前圍牆止朝北左坐本屋牆外朝南右坐匡門牆外路街上上樣欄排危天下坐燦后廊后地基地牆內所有門窗戶櫺樓坪地秤橫腰截考花門三夾地一切俱全六坐式住趾丈數俱載明付今因急需之用情愿將此牆屋叁欄排前天井並左邊左右樹屋式欄中天井隔牆外式柱叁欄排廚房座座託中統典與吳右巖處為業三言議本日出牆屋價台伏柒百員正外加修理銀水式拾壹員合共柒百貳拾壹員正其伏即日親手全弟姪在見中隨契收足其牆屋聽吳家管業收租或自己居住或召租他人悉從其便商約伍年為限俟滿之日聽燦等備價照此典契台伏取贖吳家不得執留如有絲毫例推科投稅其稅資應用若干俟贖契之日一起認還不得異說倘風水不虞意外法禍即聽吳家修補是蓋除正限外再加展限伍年以酌土木后三料之費燦不敢居全地半地半為詞但此牆屋係燦等承父在日手置物業與親疎別房份份叔兄弟姪等無干亦未重繼典當他人財物以及來歷不明各等情如有此情係燦等出頭承當不涉吳家典主之事兩相允愿各無悔今欲有憑立典契壹紙並繳陳必清典斷契式紙粘本稅司單國稅單式紙吳開揚典契司單式紙吳開成斷契司單式紙共成玖紙統付執為照在見堂光兆祥母知契母吳大全胞姪大焜為弟廣祥母日立典契陳燦祥公親吳子仁公親吳維清公親陳細弟代筆陳九齡鴻圖永固中華民國陸年陰曆拾貳月吉百壽</t>
    </r>
    <r>
      <rPr>
        <sz val="10"/>
        <rFont val="Arial"/>
        <family val="0"/>
        <charset val="1"/>
      </rPr>
      <t xml:space="preserve">2112925451451</t>
    </r>
    <r>
      <rPr>
        <sz val="10"/>
        <rFont val="Noto Sans CJK SC"/>
        <family val="2"/>
      </rPr>
      <t xml:space="preserve">內係住及字標照及添任及式號金式伍式字再照</t>
    </r>
  </si>
  <si>
    <t xml:space="preserve">31735066267646_001</t>
  </si>
  <si>
    <t xml:space="preserve">31735066267646</t>
  </si>
  <si>
    <t xml:space="preserve">1909</t>
  </si>
  <si>
    <t xml:space="preserve">何金盛</t>
  </si>
  <si>
    <t xml:space="preserve">何振華</t>
  </si>
  <si>
    <t xml:space="preserve">Box 2, Folder 89</t>
  </si>
  <si>
    <t xml:space="preserve">乾隆十五年</t>
  </si>
  <si>
    <t xml:space="preserve">https://digital.library.pitt.edu/islandora/object/pitt:31735066267646</t>
  </si>
  <si>
    <r>
      <rPr>
        <sz val="10"/>
        <rFont val="Noto Sans CJK SC"/>
        <family val="2"/>
      </rPr>
      <t xml:space="preserve">尾契福建等處承宣布政使司為旨議奏事乾隆十五年正月二十四日奉准戶部咨開</t>
    </r>
    <r>
      <rPr>
        <sz val="10"/>
        <rFont val="Arial"/>
        <family val="0"/>
        <charset val="1"/>
      </rPr>
      <t xml:space="preserve">...</t>
    </r>
    <r>
      <rPr>
        <sz val="10"/>
        <rFont val="Noto Sans CJK SC"/>
        <family val="2"/>
      </rPr>
      <t xml:space="preserve">欽此因一摺丁本年十二月十二日奏本日奉</t>
    </r>
  </si>
  <si>
    <t xml:space="preserve">31735066267653_001</t>
  </si>
  <si>
    <t xml:space="preserve">31735066267653</t>
  </si>
  <si>
    <t xml:space="preserve">1949</t>
  </si>
  <si>
    <t xml:space="preserve">華東</t>
  </si>
  <si>
    <t xml:space="preserve">Box 4, Folder 190</t>
  </si>
  <si>
    <t xml:space="preserve">https://digital.library.pitt.edu/islandora/object/pitt:31735066267653</t>
  </si>
  <si>
    <t xml:space="preserve">31735066267661_001</t>
  </si>
  <si>
    <t xml:space="preserve">31735066267661</t>
  </si>
  <si>
    <t xml:space="preserve">四川省榮縣</t>
  </si>
  <si>
    <t xml:space="preserve">藍福良</t>
  </si>
  <si>
    <t xml:space="preserve">Box 4, Folder 207</t>
  </si>
  <si>
    <r>
      <rPr>
        <sz val="10"/>
        <rFont val="Noto Sans CJK SC"/>
        <family val="2"/>
      </rPr>
      <t xml:space="preserve">川南區 榮縣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土地房產所有證 </t>
    </r>
    <r>
      <rPr>
        <sz val="10"/>
        <rFont val="Arial"/>
        <family val="0"/>
        <charset val="1"/>
      </rPr>
      <t xml:space="preserve">| </t>
    </r>
    <r>
      <rPr>
        <sz val="10"/>
        <rFont val="Noto Sans CJK SC"/>
        <family val="2"/>
      </rPr>
      <t xml:space="preserve">計開</t>
    </r>
  </si>
  <si>
    <r>
      <rPr>
        <sz val="10"/>
        <rFont val="Noto Sans CJK SC"/>
        <family val="2"/>
      </rPr>
      <t xml:space="preserve">榮地證字第 </t>
    </r>
    <r>
      <rPr>
        <sz val="10"/>
        <rFont val="Arial"/>
        <family val="0"/>
        <charset val="1"/>
      </rPr>
      <t xml:space="preserve">018634 </t>
    </r>
    <r>
      <rPr>
        <sz val="10"/>
        <rFont val="Noto Sans CJK SC"/>
        <family val="2"/>
      </rPr>
      <t xml:space="preserve">號</t>
    </r>
  </si>
  <si>
    <t xml:space="preserve">https://digital.library.pitt.edu/islandora/object/pitt:31735066267661</t>
  </si>
  <si>
    <r>
      <rPr>
        <sz val="10"/>
        <rFont val="Noto Sans CJK SC"/>
        <family val="2"/>
      </rPr>
      <t xml:space="preserve">第一號第二號第三號川南區榮縣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土地房產所有證榮地證字第</t>
    </r>
    <r>
      <rPr>
        <sz val="10"/>
        <rFont val="Arial"/>
        <family val="0"/>
        <charset val="1"/>
      </rPr>
      <t xml:space="preserve">018634</t>
    </r>
    <r>
      <rPr>
        <sz val="10"/>
        <rFont val="Noto Sans CJK SC"/>
        <family val="2"/>
      </rPr>
      <t xml:space="preserve">號第參區金農鄉鎮</t>
    </r>
    <r>
      <rPr>
        <sz val="10"/>
        <rFont val="Arial"/>
        <family val="0"/>
        <charset val="1"/>
      </rPr>
      <t xml:space="preserve">(</t>
    </r>
    <r>
      <rPr>
        <sz val="10"/>
        <rFont val="Noto Sans CJK SC"/>
        <family val="2"/>
      </rPr>
      <t xml:space="preserve">團</t>
    </r>
    <r>
      <rPr>
        <sz val="10"/>
        <rFont val="Arial"/>
        <family val="0"/>
        <charset val="1"/>
      </rPr>
      <t xml:space="preserve">)</t>
    </r>
    <r>
      <rPr>
        <sz val="10"/>
        <rFont val="Noto Sans CJK SC"/>
        <family val="2"/>
      </rPr>
      <t xml:space="preserve">山村居民藍福良夫藍其沛子藍厥祥依據中國人民政治協商會議共同綱領第二十七條「保護農民已得土地所有權」暨中華人民共和國土地改革法第三十條「土地改革完成後由人民政府發給土地所有證」之規定確定本戶全家所有土地共計可耕地</t>
    </r>
    <r>
      <rPr>
        <sz val="10"/>
        <rFont val="Arial"/>
        <family val="0"/>
        <charset val="1"/>
      </rPr>
      <t xml:space="preserve">1.5</t>
    </r>
    <r>
      <rPr>
        <sz val="10"/>
        <rFont val="Noto Sans CJK SC"/>
        <family val="2"/>
      </rPr>
      <t xml:space="preserve">畝非耕地</t>
    </r>
    <r>
      <rPr>
        <sz val="10"/>
        <rFont val="Arial"/>
        <family val="0"/>
        <charset val="1"/>
      </rPr>
      <t xml:space="preserve">0.5</t>
    </r>
    <r>
      <rPr>
        <sz val="10"/>
        <rFont val="Noto Sans CJK SC"/>
        <family val="2"/>
      </rPr>
      <t xml:space="preserve">畝共</t>
    </r>
    <r>
      <rPr>
        <sz val="10"/>
        <rFont val="Arial"/>
        <family val="0"/>
        <charset val="1"/>
      </rPr>
      <t xml:space="preserve">2.0</t>
    </r>
    <r>
      <rPr>
        <sz val="10"/>
        <rFont val="Noto Sans CJK SC"/>
        <family val="2"/>
      </rPr>
      <t xml:space="preserve">畝均作爲本戶全家私有產業有耕種居住典賣轉讓贈與出租等完全自由任何人不得侵犯特此證計開縣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長陳玉祥副縣長魏景魁座落種類地名原田地單位數</t>
    </r>
    <r>
      <rPr>
        <sz val="10"/>
        <rFont val="Arial"/>
        <family val="0"/>
        <charset val="1"/>
      </rPr>
      <t xml:space="preserve">(</t>
    </r>
    <r>
      <rPr>
        <sz val="10"/>
        <rFont val="Noto Sans CJK SC"/>
        <family val="2"/>
      </rPr>
      <t xml:space="preserve">或垧、石、畝</t>
    </r>
    <r>
      <rPr>
        <sz val="10"/>
        <rFont val="Arial"/>
        <family val="0"/>
        <charset val="1"/>
      </rPr>
      <t xml:space="preserve">)</t>
    </r>
    <r>
      <rPr>
        <sz val="10"/>
        <rFont val="Noto Sans CJK SC"/>
        <family val="2"/>
      </rPr>
      <t xml:space="preserve">折市畝數至長寬尺度附屬物備考村子田小冲田柒批西東藍彭順汪南張明光田三草堂土填手工肆升伍合西東藍龍章田北藍其全土土公塘土壹升貳合西東藍慶祥土北趙治榮田土斜土壹升貳合西東藍慶祥土北藍其全土土乾田土壹升西東藍慶祥土北藍其全土土大方土貳升西東藍其全土北藍其全土土加担土壹升伍合西東藍其全土北藍其全土土壩塘土肆合西東藍其全土北藍其全土土烟土叁合西東藍其全土北藍其全土場院貳毫西東藍其全土北藍其全土房</t>
    </r>
    <r>
      <rPr>
        <sz val="10"/>
        <rFont val="Arial"/>
        <family val="0"/>
        <charset val="1"/>
      </rPr>
      <t xml:space="preserve">(</t>
    </r>
    <r>
      <rPr>
        <sz val="10"/>
        <rFont val="Noto Sans CJK SC"/>
        <family val="2"/>
      </rPr>
      <t xml:space="preserve">窩</t>
    </r>
    <r>
      <rPr>
        <sz val="10"/>
        <rFont val="Arial"/>
        <family val="0"/>
        <charset val="1"/>
      </rPr>
      <t xml:space="preserve">)</t>
    </r>
    <r>
      <rPr>
        <sz val="10"/>
        <rFont val="Noto Sans CJK SC"/>
        <family val="2"/>
      </rPr>
      <t xml:space="preserve">產座落種類間孔數折市畝數地基四至地基長寬尺度附屬物備考三茅堂房房貳間半陸厘伍厘西東藍慶祥竹林北藍其全土一九五三年四月四日發</t>
    </r>
  </si>
  <si>
    <t xml:space="preserve">31735066267679_001</t>
  </si>
  <si>
    <t xml:space="preserve">31735066267679</t>
  </si>
  <si>
    <t xml:space="preserve">1949/1952</t>
  </si>
  <si>
    <t xml:space="preserve">林定宗林登宗</t>
  </si>
  <si>
    <t xml:space="preserve">余溪</t>
  </si>
  <si>
    <t xml:space="preserve">Box 4, Folder 192</t>
  </si>
  <si>
    <t xml:space="preserve">立出契</t>
  </si>
  <si>
    <r>
      <rPr>
        <sz val="10"/>
        <rFont val="Noto Sans CJK SC"/>
        <family val="2"/>
      </rPr>
      <t xml:space="preserve">銀叁拾圓正</t>
    </r>
    <r>
      <rPr>
        <sz val="10"/>
        <rFont val="Arial"/>
        <family val="0"/>
        <charset val="1"/>
      </rPr>
      <t xml:space="preserve">; </t>
    </r>
    <r>
      <rPr>
        <sz val="10"/>
        <rFont val="Noto Sans CJK SC"/>
        <family val="2"/>
      </rPr>
      <t xml:space="preserve">銀叁拾壹圓</t>
    </r>
    <r>
      <rPr>
        <sz val="10"/>
        <rFont val="Arial"/>
        <family val="0"/>
        <charset val="1"/>
      </rPr>
      <t xml:space="preserve">; </t>
    </r>
    <r>
      <rPr>
        <sz val="10"/>
        <rFont val="Noto Sans CJK SC"/>
        <family val="2"/>
      </rPr>
      <t xml:space="preserve">銀叁拾圓</t>
    </r>
  </si>
  <si>
    <t xml:space="preserve">並代筆許揚</t>
  </si>
  <si>
    <t xml:space="preserve">許揚</t>
  </si>
  <si>
    <t xml:space="preserve">https://digital.library.pitt.edu/islandora/object/pitt:31735066267679</t>
  </si>
  <si>
    <t xml:space="preserve">立出契字人東山林登宗自承先祖父遺下有瓦厝壹間內帶灶一個門寬產扇俱各齊全坐址土名池仔底坐東北向西南前至路後至奔家厝左至薛家厝右至空地四至明白為界今因乏銀費用愿將此厝出曲先問叔兄弟俱不能承曲外即托中格得奔東山余龜溪款頭承曲三面言議甘出大銀叁拾圓正其銀即日全中親收足訖此厝隨付銀主掌管居住不敢異言阻執此厝並無重張曲掛胎借內歷不明如有不明由出曲自理清不干銀主之事此厝限至叁年終銀便之日贖回文契此係二比甘愿各無抑勒口恐無憑今款有亮立契字一紙付執存照內批明每圓銀庫秤米錢二分計共足重銀叁拾壹圓陸錢即日全中親收足訖此照另批明內添註兩字再照中華民國廿捌年古曆癸卯立出曲契字人東山林登宗壬午年正月廿二日中人並代筆許揚即日全中親收大銀叁拾圓</t>
  </si>
  <si>
    <t xml:space="preserve">31735066267679_002</t>
  </si>
  <si>
    <t xml:space="preserve">契稅暫行條例</t>
  </si>
  <si>
    <t xml:space="preserve">31735066267679_003</t>
  </si>
  <si>
    <r>
      <rPr>
        <sz val="10"/>
        <rFont val="Noto Sans CJK SC"/>
        <family val="2"/>
      </rPr>
      <t xml:space="preserve">繳款書第一聯收據字第號</t>
    </r>
    <r>
      <rPr>
        <sz val="10"/>
        <rFont val="Arial"/>
        <family val="0"/>
        <charset val="1"/>
      </rPr>
      <t xml:space="preserve">015590</t>
    </r>
    <r>
      <rPr>
        <sz val="10"/>
        <rFont val="Noto Sans CJK SC"/>
        <family val="2"/>
      </rPr>
      <t xml:space="preserve">預算科目年度月份金額繳款人或繳款單位收入機關繳納單主管機款項目億千百十萬千百十元契約收入</t>
    </r>
    <r>
      <rPr>
        <sz val="10"/>
        <rFont val="Arial"/>
        <family val="0"/>
        <charset val="1"/>
      </rPr>
      <t xml:space="preserve">195071000</t>
    </r>
    <r>
      <rPr>
        <sz val="10"/>
        <rFont val="Noto Sans CJK SC"/>
        <family val="2"/>
      </rPr>
      <t xml:space="preserve">合計</t>
    </r>
    <r>
      <rPr>
        <sz val="10"/>
        <rFont val="Arial"/>
        <family val="0"/>
        <charset val="1"/>
      </rPr>
      <t xml:space="preserve">1000</t>
    </r>
    <r>
      <rPr>
        <sz val="10"/>
        <rFont val="Noto Sans CJK SC"/>
        <family val="2"/>
      </rPr>
      <t xml:space="preserve">金額〔大寫〕壹萬零四百元備註收入〔或填發〕機關收款負責人蓋章負責人蓋章填發日期一九五年月日負責人蓋章收訖日期圖章本款人</t>
    </r>
  </si>
  <si>
    <t xml:space="preserve">31735066267687_001</t>
  </si>
  <si>
    <t xml:space="preserve">31735066267687</t>
  </si>
  <si>
    <t xml:space="preserve">王志撥</t>
  </si>
  <si>
    <t xml:space="preserve">Box 1, Folder 20</t>
  </si>
  <si>
    <r>
      <rPr>
        <sz val="10"/>
        <rFont val="Noto Sans CJK SC"/>
        <family val="2"/>
      </rPr>
      <t xml:space="preserve">乾隆陸拾年</t>
    </r>
    <r>
      <rPr>
        <sz val="10"/>
        <rFont val="Arial"/>
        <family val="0"/>
        <charset val="1"/>
      </rPr>
      <t xml:space="preserve">; </t>
    </r>
    <r>
      <rPr>
        <sz val="10"/>
        <rFont val="Noto Sans CJK SC"/>
        <family val="2"/>
      </rPr>
      <t xml:space="preserve">嘉慶壹拾年</t>
    </r>
    <r>
      <rPr>
        <sz val="10"/>
        <rFont val="Arial"/>
        <family val="0"/>
        <charset val="1"/>
      </rPr>
      <t xml:space="preserve">; </t>
    </r>
    <r>
      <rPr>
        <sz val="10"/>
        <rFont val="Noto Sans CJK SC"/>
        <family val="2"/>
      </rPr>
      <t xml:space="preserve">嘉慶拾 年</t>
    </r>
    <r>
      <rPr>
        <sz val="10"/>
        <rFont val="Arial"/>
        <family val="0"/>
        <charset val="1"/>
      </rPr>
      <t xml:space="preserve">; </t>
    </r>
    <r>
      <rPr>
        <sz val="10"/>
        <rFont val="Noto Sans CJK SC"/>
        <family val="2"/>
      </rPr>
      <t xml:space="preserve">光緒拾年</t>
    </r>
    <r>
      <rPr>
        <sz val="10"/>
        <rFont val="Arial"/>
        <family val="0"/>
        <charset val="1"/>
      </rPr>
      <t xml:space="preserve">; </t>
    </r>
    <r>
      <rPr>
        <sz val="10"/>
        <rFont val="Noto Sans CJK SC"/>
        <family val="2"/>
      </rPr>
      <t xml:space="preserve">道光貳年</t>
    </r>
    <r>
      <rPr>
        <sz val="10"/>
        <rFont val="Arial"/>
        <family val="0"/>
        <charset val="1"/>
      </rPr>
      <t xml:space="preserve">; </t>
    </r>
    <r>
      <rPr>
        <sz val="10"/>
        <rFont val="Noto Sans CJK SC"/>
        <family val="2"/>
      </rPr>
      <t xml:space="preserve">宣統貳年</t>
    </r>
  </si>
  <si>
    <t xml:space="preserve">王志拔</t>
  </si>
  <si>
    <r>
      <rPr>
        <sz val="10"/>
        <rFont val="Noto Sans CJK SC"/>
        <family val="2"/>
      </rPr>
      <t xml:space="preserve">價銀壹拾叁兩</t>
    </r>
    <r>
      <rPr>
        <sz val="10"/>
        <rFont val="Arial"/>
        <family val="0"/>
        <charset val="1"/>
      </rPr>
      <t xml:space="preserve">; </t>
    </r>
    <r>
      <rPr>
        <sz val="10"/>
        <rFont val="Noto Sans CJK SC"/>
        <family val="2"/>
      </rPr>
      <t xml:space="preserve">價銀壹百貳拾兩</t>
    </r>
    <r>
      <rPr>
        <sz val="10"/>
        <rFont val="Arial"/>
        <family val="0"/>
        <charset val="1"/>
      </rPr>
      <t xml:space="preserve">; </t>
    </r>
    <r>
      <rPr>
        <sz val="10"/>
        <rFont val="Noto Sans CJK SC"/>
        <family val="2"/>
      </rPr>
      <t xml:space="preserve">銀貳拾貳兩</t>
    </r>
    <r>
      <rPr>
        <sz val="10"/>
        <rFont val="Arial"/>
        <family val="0"/>
        <charset val="1"/>
      </rPr>
      <t xml:space="preserve">; </t>
    </r>
    <r>
      <rPr>
        <sz val="10"/>
        <rFont val="Noto Sans CJK SC"/>
        <family val="2"/>
      </rPr>
      <t xml:space="preserve">價銀貳百兩正</t>
    </r>
    <r>
      <rPr>
        <sz val="10"/>
        <rFont val="Arial"/>
        <family val="0"/>
        <charset val="1"/>
      </rPr>
      <t xml:space="preserve">; </t>
    </r>
    <r>
      <rPr>
        <sz val="10"/>
        <rFont val="Noto Sans CJK SC"/>
        <family val="2"/>
      </rPr>
      <t xml:space="preserve">銀壹拾兩</t>
    </r>
    <r>
      <rPr>
        <sz val="10"/>
        <rFont val="Arial"/>
        <family val="0"/>
        <charset val="1"/>
      </rPr>
      <t xml:space="preserve">; </t>
    </r>
    <r>
      <rPr>
        <sz val="10"/>
        <rFont val="Noto Sans CJK SC"/>
        <family val="2"/>
      </rPr>
      <t xml:space="preserve">銀叁百壹拾兩正</t>
    </r>
  </si>
  <si>
    <r>
      <rPr>
        <sz val="10"/>
        <rFont val="Noto Sans CJK SC"/>
        <family val="2"/>
      </rPr>
      <t xml:space="preserve">厝屋</t>
    </r>
    <r>
      <rPr>
        <sz val="10"/>
        <rFont val="Arial"/>
        <family val="0"/>
        <charset val="1"/>
      </rPr>
      <t xml:space="preserve">; </t>
    </r>
    <r>
      <rPr>
        <sz val="10"/>
        <rFont val="Noto Sans CJK SC"/>
        <family val="2"/>
      </rPr>
      <t xml:space="preserve">地基</t>
    </r>
    <r>
      <rPr>
        <sz val="10"/>
        <rFont val="Arial"/>
        <family val="0"/>
        <charset val="1"/>
      </rPr>
      <t xml:space="preserve">; </t>
    </r>
    <r>
      <rPr>
        <sz val="10"/>
        <rFont val="Noto Sans CJK SC"/>
        <family val="2"/>
      </rPr>
      <t xml:space="preserve">店屋</t>
    </r>
  </si>
  <si>
    <t xml:space="preserve">陳務睦</t>
  </si>
  <si>
    <t xml:space="preserve">王興朝</t>
  </si>
  <si>
    <t xml:space="preserve">陳國標</t>
  </si>
  <si>
    <t xml:space="preserve">https://digital.library.pitt.edu/islandora/object/pitt:31735066267687</t>
  </si>
  <si>
    <t xml:space="preserve">立典契王志拔原父手置閣分而下於乾隆陸拾年閏用價銀壹拾叁兩買斷得陳林氏屋地壹所起蓋肆柱店向去樹又於嘉慶壹拾年閏又用價銀壹百貳拾兩得店後史尚才伍伍厝屋壹進伍伍厝房壹間至於嘉慶拾年閏兩厝俱被火回燬拔父在日構料將兩主空地重新起蓋前伍伍柱店向去厝中拔樹又於光緒拾年閏後拔樹伍伍空地壹所國籬壹耳至江又於道光元年拾貳月周史尚才又向拔燬新出至實銀貳拾貳兩壹厝壹耳至江又於道光元年拾貳月樹地方前至官街後至江左至陳家屋石至陳家屋土至橡標凡下至橡石地基地其陸至所載分明今因要用情原將此前後兩厝店屋化中壹起統典與陳慶為業及面議定本日得訖屋價銀貳百兩正改廣外加修理銀壹拾兩共成銀叁百壹拾兩正改廣其銀即日當場收足其店屋即由陳家掌業收租居住向約陸平為限俟限滿之日由陳家併修理銀兩贖回陳家不得執留如有未贖仍由陳家掌業收租倘逾限未贖連前修理銀兩由陳家併修理銀兩贖回陳家不得執留如有未贖壹起認還不得言說倘有風水洪福不虞其地仍由陳家起蓋正限外再加廣限伍年以馴土木之費不得以屋全地半半索取花紅為詞俟兩限俱滿之日仍由陳家併修理銀兩取贖此店屋價已過浮日後有賣者未重重典與他人財物以及素歷不明等情如有此內係後出頭承當不涉陳家之事倘有欠息各無翻悔今設有憑立典契壹份併微前店面林陳氏曾原典契壹份曾君盛典契壹份林文發典契壹份永盛微典善承契壹份陳林氏賣新王地契壹份王代龍司單壹份閩邑徐堂新契壹份後進屋林文發典鄭原典契壹份鄭陳人賣新陳地契壹份陳國祥賣新史地契壹份史尚才典新王契壹份閩邑徐堂新契壹份上手高林周契壹份共成壹拾伍份統付為憑內改陳字古字構字壹字壹係字古字註係字古字共成肆字再標照舊而約贖屋之日每兩折成壹千文概用下杭街錢店銀票標照舊道光貳年閏叁月古日立典契王志拔中友陳務睦葉開蔚在見陳國標代筆王興朝北條宣統貳年二月宣統貳年二月宣統貳年二月七進益</t>
  </si>
  <si>
    <t xml:space="preserve">31735066267695_001</t>
  </si>
  <si>
    <t xml:space="preserve">31735066267695</t>
  </si>
  <si>
    <t xml:space="preserve">1939</t>
  </si>
  <si>
    <t xml:space="preserve">林施裕</t>
  </si>
  <si>
    <t xml:space="preserve">Box 3, Folder 161</t>
  </si>
  <si>
    <t xml:space="preserve">金敏涂</t>
  </si>
  <si>
    <t xml:space="preserve">價錢陸拾仟陸佰文正</t>
  </si>
  <si>
    <t xml:space="preserve">埕坵並疏磴頭</t>
  </si>
  <si>
    <t xml:space="preserve">黃慶麟</t>
  </si>
  <si>
    <t xml:space="preserve">https://digital.library.pitt.edu/islandora/object/pitt:31735066267695</t>
  </si>
  <si>
    <t xml:space="preserve">立賣契金敏涂承祖遺下分自己闔份已額有底面全民田數號俱坐地三十四都龍湘地方土名橄欖坵受種伍分正載粮伍分正庫又一号龍湘地方土名橄欖坵受種伍分正載租谷捌拾斤配粮切分伍厘正庫又一号龍湘地方土名埕坵受種叁分正年載租谷切拾斤配粮式分切厘正又一号龍湘地方土名埕坵並疏磴頭等處受種未分正年載租谷捌拾斤配粮切分切厘正計共粮壹仟陸分茶厘付賣主收回今因乏用托中送賣吊林施裕處為業三面言議時值價錢陸拾仟陸佰文正其錢即日交訖其底面全數号之田統付錢主前去營業起佃安耕收租办粮任從其便此業係是自己闔份已額而別無干在先並無重典他人及交加未歷不明等情如有此情係賣主出頭支当不涉錢主之事其年期言約伍年為限限滿之日備錢照契面对日期取贖如未贖仍付營業倘有原主取贖不拘年限今欲有憑立賣契壹份並繳建裕賣契壹份又金恭善原根字壹份又吳輝華租契壹份又林吉桐贖回合興店契壹份又金能洋賣契壹份又吳以枝退佃字壹份又吳德任承耕字壹份又金恭蘊賣契壹份又陳名周根字壹份又陳光師承字壹份又陳邦寧退佃字壹份其原租契夾帶不便繳付共成壹拾貳份統付為照民國貳拾叁年拾貳月日立賣契金敏涂謹全弟敏村謹在見叔信椿謹中人黃慶麟謹水烟水烟</t>
  </si>
  <si>
    <t xml:space="preserve">31735066267695_002</t>
  </si>
  <si>
    <t xml:space="preserve">中華民國二十八年</t>
  </si>
  <si>
    <t xml:space="preserve">不動產種類承典人姓名東至南至西至</t>
  </si>
  <si>
    <r>
      <rPr>
        <sz val="10"/>
        <rFont val="Noto Sans CJK SC"/>
        <family val="2"/>
      </rPr>
      <t xml:space="preserve">典契紙 </t>
    </r>
    <r>
      <rPr>
        <sz val="10"/>
        <rFont val="Arial"/>
        <family val="0"/>
        <charset val="1"/>
      </rPr>
      <t xml:space="preserve">| </t>
    </r>
    <r>
      <rPr>
        <sz val="10"/>
        <rFont val="Noto Sans CJK SC"/>
        <family val="2"/>
      </rPr>
      <t xml:space="preserve">章程摘要</t>
    </r>
  </si>
  <si>
    <t xml:space="preserve">承典人</t>
  </si>
  <si>
    <r>
      <rPr>
        <sz val="10"/>
        <rFont val="Noto Sans CJK SC"/>
        <family val="2"/>
      </rPr>
      <t xml:space="preserve">泰縣孫字第 </t>
    </r>
    <r>
      <rPr>
        <sz val="10"/>
        <rFont val="Arial"/>
        <family val="0"/>
        <charset val="1"/>
      </rPr>
      <t xml:space="preserve">169 </t>
    </r>
    <r>
      <rPr>
        <sz val="10"/>
        <rFont val="Noto Sans CJK SC"/>
        <family val="2"/>
      </rPr>
      <t xml:space="preserve">號</t>
    </r>
  </si>
  <si>
    <r>
      <rPr>
        <sz val="10"/>
        <rFont val="Noto Sans CJK SC"/>
        <family val="2"/>
      </rPr>
      <t xml:space="preserve">正印加金紙花計合光典契紙福建省政府財政廳頒發永泰縣孫字第</t>
    </r>
    <r>
      <rPr>
        <sz val="10"/>
        <rFont val="Arial"/>
        <family val="0"/>
        <charset val="1"/>
      </rPr>
      <t xml:space="preserve">169</t>
    </r>
    <r>
      <rPr>
        <sz val="10"/>
        <rFont val="Noto Sans CJK SC"/>
        <family val="2"/>
      </rPr>
      <t xml:space="preserve">號典契紙屋式四至面積坐落不動產種類承典人姓名東至南至西至北至芒都龍湘椒欄坵等處田林施裕</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典價上手原契應納稅銀賦額等則分式陸拾捌元六角拾壹元陸角玖分正壹佰陸拾柒元則式出典人姓名中證人姓名立契年月日其他金敏涂</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黃慶麟</t>
    </r>
    <r>
      <rPr>
        <sz val="10"/>
        <rFont val="Arial"/>
        <family val="0"/>
        <charset val="1"/>
      </rPr>
      <t xml:space="preserve">(</t>
    </r>
    <r>
      <rPr>
        <sz val="10"/>
        <rFont val="Noto Sans CJK SC"/>
        <family val="2"/>
      </rPr>
      <t xml:space="preserve">蓋章</t>
    </r>
    <r>
      <rPr>
        <sz val="10"/>
        <rFont val="Arial"/>
        <family val="0"/>
        <charset val="1"/>
      </rPr>
      <t xml:space="preserve">)</t>
    </r>
    <r>
      <rPr>
        <sz val="10"/>
        <rFont val="Noto Sans CJK SC"/>
        <family val="2"/>
      </rPr>
      <t xml:space="preserve">廿三年十二月中華民國二十八年二月日右給承典人林施裕收執章程摘要一、典契稅率：照典價徵收百分之二。一、是項契紙於發售時，每張徵收契紙費五角，俟契據成立，應即依限納稅，再行加蓋徵稅官署印信，無徵稅官署印信者，作未稅論（徵稅官署係市政府或縣政府）一、每一官契紙祇限填載一產業。一、先典後賣者，得以原典典契稅額，劃抵賣契稅。一、官署地方法團及其他公益法人，而得不動產產權時，得免納契稅，惟官契紙仍須購用，印契管業，但以收益為目的者，不得免稅。一、是契自書立契據之日起，以三個月內為納稅期限，逾期不稅，除責令依率納稅外，每逾期一月，並應納稅額，遞增十分之一罰金，至一倍為止。一、前項處罰期限，業主因有特別故障，請求展免者，得由徵稅官署查明實情，呈請財政廳核准。一、是項契紙如因遺失，或作廢及其他事故須補領者，應向原領辦保主任辦公處，或原領機關報告，除照繳契紙費，准其補領契紙外，但因遺失而補領者，每張應另處六倍契紙費之罰金（三元），如係填寫錯誤或其他事故作廢有原契紙繳銷而補領者，每張應另處二倍契紙費之罰金（一元），於補領契紙時繳納。此聯印給承典人收執製印石林縣</t>
    </r>
  </si>
  <si>
    <t xml:space="preserve">31735066267695_003</t>
  </si>
  <si>
    <t xml:space="preserve">中華民國二十六年</t>
  </si>
  <si>
    <t xml:space="preserve">福建省政府財政廳 業主逾限罰金收據</t>
  </si>
  <si>
    <r>
      <rPr>
        <sz val="10"/>
        <rFont val="Noto Sans CJK SC"/>
        <family val="2"/>
      </rPr>
      <t xml:space="preserve">福建省政府財政廳</t>
    </r>
    <r>
      <rPr>
        <sz val="10"/>
        <rFont val="Arial"/>
        <family val="0"/>
        <charset val="1"/>
      </rPr>
      <t xml:space="preserve">; </t>
    </r>
    <r>
      <rPr>
        <sz val="10"/>
        <rFont val="Noto Sans CJK SC"/>
        <family val="2"/>
      </rPr>
      <t xml:space="preserve">日永泰縣政府</t>
    </r>
  </si>
  <si>
    <t xml:space="preserve">道字第一號</t>
  </si>
  <si>
    <t xml:space="preserve">福建省政府財政廳業主逾限罰金收據福建省政府財政廳發給收據事茲據業主林施裕呈繳典受田業不動產契據逾限未納月未稅應處罰金陸角玖分業經照數核收合掣收據付執元經收員中華民國二十六年二月十一日永泰縣政府給道字第一號券財政廳院</t>
  </si>
  <si>
    <t xml:space="preserve">31735066267703_001</t>
  </si>
  <si>
    <t xml:space="preserve">31735066267703</t>
  </si>
  <si>
    <t xml:space="preserve">林祥德</t>
  </si>
  <si>
    <t xml:space="preserve">張經炎</t>
  </si>
  <si>
    <t xml:space="preserve">Box 3, Folder 114</t>
  </si>
  <si>
    <t xml:space="preserve">民國伍年</t>
  </si>
  <si>
    <t xml:space="preserve">價銀小洋肆佰角正</t>
  </si>
  <si>
    <t xml:space="preserve">小洋</t>
  </si>
  <si>
    <t xml:space="preserve">柯嶺嶼</t>
  </si>
  <si>
    <t xml:space="preserve">中元</t>
  </si>
  <si>
    <t xml:space="preserve">兄澤洪</t>
  </si>
  <si>
    <t xml:space="preserve">https://digital.library.pitt.edu/islandora/object/pitt:31735066267703</t>
  </si>
  <si>
    <t xml:space="preserve">立賣斷根面全田契林祥德係本鄉東條住人自己承父閩分條下有宅田壹號坐北本地方土名柯嶺嶼等處受種捌畝至今因要用自情愿托中向到確匠張經炎處經三面言議本日將此根面全之田賣斷出價銀小洋肆佰角正其銀即日隨手交足其田即付銀主起佃耕作過甲入戶已斷葛藤自賣斷之收永遠管業向後德子孫永不敢別生枝葉之理但此田係自己承父閩分條下業前別無干倘有未應不明係德子頭承當亦銀主應涉兩允無悔今款有憑之賣斷根面全田契書低付執永遠為照弟程壽德左見兄澤洪民國伍年拾壹月日立賣斷根面全契林祥德代字中元祥欽謹永遠為憑</t>
  </si>
  <si>
    <t xml:space="preserve">31735066267703_002</t>
  </si>
  <si>
    <r>
      <rPr>
        <sz val="10"/>
        <rFont val="Noto Sans CJK SC"/>
        <family val="2"/>
      </rPr>
      <t xml:space="preserve">民國五年</t>
    </r>
    <r>
      <rPr>
        <sz val="10"/>
        <rFont val="Arial"/>
        <family val="0"/>
        <charset val="1"/>
      </rPr>
      <t xml:space="preserve">; </t>
    </r>
    <r>
      <rPr>
        <sz val="10"/>
        <rFont val="Noto Sans CJK SC"/>
        <family val="2"/>
      </rPr>
      <t xml:space="preserve">中華民國 十年</t>
    </r>
  </si>
  <si>
    <t xml:space="preserve">價肆拾元</t>
  </si>
  <si>
    <t xml:space="preserve">柯嶺墘面積受種制餉東至南至西至北</t>
  </si>
  <si>
    <t xml:space="preserve">例則摘要</t>
  </si>
  <si>
    <t xml:space="preserve">此係普通華民稅契用紙外國人承租不動產契據未向章聲請派委查勘核准勝混投稅者應作為無效特此批明契賣例則摘要買主姓名張經炎不動產種類屯田賣價肆拾元應納稅額貳元肆角原契幾張立契年月日民國五年十一月四至坐落柯嶺墘面積受種制餉東至南至西至北至一不動產之買主或承典人須於契紙成立後六個月以內赴該管徵收官署投稅一訂立不動產買契或典契時須由賣主或出典人赴該管徵收官署填具申請書請領契紙繳納契紙費大洋五角前項之契紙費五角由賣主與買主或出典人與承典人分擔一不動產之賣主或出典人請領契紙後已逾兩月其契約尚未成立者原領契紙失其効力但因有障礙致契約不能成立時得於限內赴徵收官署申明事由酌予寬限一原領契紙因遺失及其他事由須補領或更換時仍依第四條第一項之規定繳納契紙費一不動產之買主或承典人逾契約成立後六個月之期限不依本條例繳納契稅者除納定稅之稅額外並處以應納稅額之十倍罰金一繳納契稅時匿稅契價者除另換契紙改正契約繳納稅額外並處以左列之罰金一匿報契價十分之二以上未滿十分之三者短納稅額之二倍一匿報契價十分之三以上未滿十分之四者短納稅額之四倍一匿報契價十分之四以上未滿十分之五者短納稅額之八倍一契紙成立後六個月之納稅期間限於遵領官契紙者適用之其私紙所書之契約若事後不換寫契紙以逾限論一賣主或出典人以私紙訂立契約者得由徵稅官署處以五元以上五十元以下之罰金一逾限未稅之契訴訟時無憑證之效力中華民國十年十二月十二日賣主林祥德中人欽縣給留字第虎尾</t>
  </si>
  <si>
    <t xml:space="preserve">31735066267711_001</t>
  </si>
  <si>
    <t xml:space="preserve">31735066267711</t>
  </si>
  <si>
    <t xml:space="preserve">1659</t>
  </si>
  <si>
    <t xml:space="preserve">范南山</t>
  </si>
  <si>
    <t xml:space="preserve">Box 1, Folder 2</t>
  </si>
  <si>
    <t xml:space="preserve">交銀人范</t>
  </si>
  <si>
    <t xml:space="preserve">鉄獅峯下著墳船內抽出一穴立契賣與</t>
  </si>
  <si>
    <t xml:space="preserve">楊時發</t>
  </si>
  <si>
    <t xml:space="preserve">https://digital.library.pitt.edu/islandora/object/pitt:31735066267711</t>
  </si>
  <si>
    <t xml:space="preserve">立賣契人范南山承祖遺下荒山一片坐落鉄獅峯下著墳船內抽出一穴立契賣與劉宅遺前去安塋弟故墓當日面議時值價銀伍錢正自立契之後仍從前去擇日安塋如有未歷不明不管買主之事且南山自要出頭抵當不涉買主之事今恐無憑立賣為照用今交得契面銀伍錢正再照丕順治十六年二月日立賣契交銀人范南山丕說諭人魏玉鵠丕在見人蕭春卿丕代字人楊時發丕福娘</t>
  </si>
  <si>
    <t xml:space="preserve">31735066267729_001</t>
  </si>
  <si>
    <t xml:space="preserve">31735066267729</t>
  </si>
  <si>
    <t xml:space="preserve">1678</t>
  </si>
  <si>
    <t xml:space="preserve">徐正耀</t>
  </si>
  <si>
    <t xml:space="preserve">Box 1, Folder 3</t>
  </si>
  <si>
    <t xml:space="preserve">康熙十七年</t>
  </si>
  <si>
    <t xml:space="preserve">徐正耀同</t>
  </si>
  <si>
    <t xml:space="preserve">銀價銀拾捌兩正</t>
  </si>
  <si>
    <t xml:space="preserve">吳朝學等</t>
  </si>
  <si>
    <t xml:space="preserve">陳五發</t>
  </si>
  <si>
    <t xml:space="preserve">https://digital.library.pitt.edu/islandora/object/pitt:31735066267729</t>
  </si>
  <si>
    <t xml:space="preserve">立賣契人徐正耀原祖置為正屋堂座坐北閩清縣十都源兜地方主名井兜厝六欄五欄上至楊瓦下至地基內有書院臺欄空地至溝水井直上又有山業後門竹林臺所及後門坑竹林山堂沿上至橫路下至水圳左至院塘嶺右至後門隔塘為界至水尾俾確壹斗因欠出田至翁鄉暢田租無拘抵還自願私中將破屋竹山統賣與楊元吉等賣銀價銀拾捌兩正其銀水九五色頂九五平其銀即日交訖其破屋山業竹樹盡付楊家永遠起蓋住居番麓樹業與徐家借叙兄弟子孫無干向後不得言說等紅字盡等情如有此情及來歷不明係徐家出頭支當不涉楊家之事兩家情願各無及悔人欲有憑立賣契壹命承付為照附康熙十七年三月十七日立賣契人徐正耀同中人吳朝學等代字陳五發</t>
  </si>
  <si>
    <t xml:space="preserve">31735066267737_001</t>
  </si>
  <si>
    <t xml:space="preserve">31735066267737</t>
  </si>
  <si>
    <t xml:space="preserve">黃奶壽</t>
  </si>
  <si>
    <t xml:space="preserve">Box 1, Folder 45</t>
  </si>
  <si>
    <t xml:space="preserve">立賣斷皮骨山契</t>
  </si>
  <si>
    <t xml:space="preserve">任得里慶墩</t>
  </si>
  <si>
    <t xml:space="preserve">朱迓奴</t>
  </si>
  <si>
    <t xml:space="preserve">https://digital.library.pitt.edu/islandora/object/pitt:31735066267737</t>
  </si>
  <si>
    <t xml:space="preserve">立賣斷皮骨山契字人黃奶壽承祖遺下置有皮骨杉木竹山壹片坐落任得里慶墩土名火田仔郎目上至大路為界下至田為界左至美宅山分水為界右至楊宅山分水為界今來俱出四至界內明白因父身故胞弟年幼今因缺少銀兩應用情愿托中說諭即將其立契盡底出賣斷與程金寶名下邊為業當日三面言議賣得土風時直契價洋銀捌兩正足成契之日一頓交足不欠分厘並無債貨準拆之類亦無重復典賣之理所賣其山的係自己股內物業與親房伯叔兄弟侄人等各不相干自賣之後任從買主前去剗削為留營業不敢阻執此係先言後定兩家甘允各無後悔異說恐口無憑立賣斷皮骨山契字為照其山所有契據與賣主別山全契未便繳照所有上手契據一時未能尋出日後尋出不堪行用契內註有山字二个契一个當日批明當日實交得土風時直契價洋銀捌兩正足同治捌年十二月日立賣斷皮骨山契人黃奶壽說諭人張炳孫為中人朱迓奴在見人伯奴老的筆立賣斷皮骨山契</t>
  </si>
  <si>
    <t xml:space="preserve">31735066267745_001</t>
  </si>
  <si>
    <t xml:space="preserve">31735066267745</t>
  </si>
  <si>
    <t xml:space="preserve">朱發</t>
  </si>
  <si>
    <t xml:space="preserve">Box 4, Folder 198</t>
  </si>
  <si>
    <t xml:space="preserve">以此店</t>
  </si>
  <si>
    <t xml:space="preserve">黃明德</t>
  </si>
  <si>
    <t xml:space="preserve">母親陳秀眉</t>
  </si>
  <si>
    <t xml:space="preserve">https://digital.library.pitt.edu/islandora/object/pitt:31735066267745</t>
  </si>
  <si>
    <t xml:space="preserve">立典契人東山沙群秀玉繼承祖遺有兌店壹間帶樓頂廳壹間並屏後房壹間走馬路壹所內門窗戶扇及店窗柳俱各齊全該店後小天井水井壹口公用地址在灣雅頭打繚街大宮邊坐西南向東北前至海岸后至本家厝左至黃家厝右至路四至分明為界今因乏用愿將此店出典乃托中拾得本東山朱發就頭承典三面言議甘出時價人民幣玖拾萬九整立即今中親收足說其店隨付承典人掌管居住不敢阻執此店倘被風雨損壞三年以內出典人自理三年以外各開壹半此店限至肆年終幣便之日贖回文契此店並無重張典掛胎借及內歷不明如有不明出典人自當理清不干承典人之事此係二比甘愿各無抑勒口恐無憑今欲有憑立典契壹紙付執存怡批以此店承認典人每年愿納店租白米貳拾叁市斤逐年應付出典人收用此怡公元壹九五式年貳歷陸月日立出典人東山沙群秀玉中证人林和知見母親陳秀眉代書黃明德錦方公恩</t>
  </si>
  <si>
    <t xml:space="preserve">31735066267745_002</t>
  </si>
  <si>
    <t xml:space="preserve">公元一九五二年</t>
  </si>
  <si>
    <r>
      <rPr>
        <sz val="10"/>
        <rFont val="Noto Sans CJK SC"/>
        <family val="2"/>
      </rPr>
      <t xml:space="preserve">幣零億零千零百九拾零萬零千元</t>
    </r>
    <r>
      <rPr>
        <sz val="10"/>
        <rFont val="Arial"/>
        <family val="0"/>
        <charset val="1"/>
      </rPr>
      <t xml:space="preserve">; </t>
    </r>
    <r>
      <rPr>
        <sz val="10"/>
        <rFont val="Noto Sans CJK SC"/>
        <family val="2"/>
      </rPr>
      <t xml:space="preserve">幣零千零百零拾貳萬柒千零百零拾元</t>
    </r>
  </si>
  <si>
    <t xml:space="preserve">平房地段等級沙秀玉面積四至大宮邊</t>
  </si>
  <si>
    <r>
      <rPr>
        <sz val="10"/>
        <rFont val="Noto Sans CJK SC"/>
        <family val="2"/>
      </rPr>
      <t xml:space="preserve">東契字第號實完稅額零千零拾貳萬柒千零百零拾元整契稅暫行條例</t>
    </r>
    <r>
      <rPr>
        <sz val="10"/>
        <rFont val="Arial"/>
        <family val="0"/>
        <charset val="1"/>
      </rPr>
      <t xml:space="preserve">(</t>
    </r>
    <r>
      <rPr>
        <sz val="10"/>
        <rFont val="Noto Sans CJK SC"/>
        <family val="2"/>
      </rPr>
      <t xml:space="preserve">一九五〇年三月卅一日政務院第二十六次政務會議通過</t>
    </r>
    <r>
      <rPr>
        <sz val="10"/>
        <rFont val="Arial"/>
        <family val="0"/>
        <charset val="1"/>
      </rPr>
      <t xml:space="preserve">)</t>
    </r>
    <r>
      <rPr>
        <sz val="10"/>
        <rFont val="Noto Sans CJK SC"/>
        <family val="2"/>
      </rPr>
      <t xml:space="preserve">第一條為保障人民土地所有權並便利其移轉契稅暫行條例第二條本條例施行區域以全國土地改革地區為限第三條凡土地房屋之買賣或租賃或交換或抵押或典當或遺贈或立契由當事人雙方訂立契稅由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之人民政府征收之第四條契稅之徵收率依下列規定：一、買賣契稅按價征收百分之六二、典契稅按典價征收百分之三三、贈契稅按現值價格征收百分之六第五條納稅義務人應於立契後三日內向土地房屋所在地之縣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之人民政府申報納稅第六條納稅義務人應於立契後三日內向土地房屋所在地之縣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之人民政府申報納稅第七條納稅義務人應於立契後三日內向土地房屋所在地之縣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之人民政府申報納稅第八條納稅義務人應於立契後三日內向土地房屋所在地之縣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之人民政府申報納稅第九條納稅義務人應於立契後三日內向土地房屋所在地之縣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之人民政府申報納稅第十條納稅義務人應於立契後三日內向土地房屋所在地之縣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之人民政府申報納稅第十一條納稅義務人應於立契後三日內向土地房屋所在地之縣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之人民政府申報納稅第十二條納稅義務人應於立契後三日內向土地房屋所在地之縣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之人民政府申報納稅第十三條納稅義務人應於立契後三日內向土地房屋所在地之縣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之人民政府申報納稅第十四條納稅義務人應於立契後三日內向土地房屋所在地之縣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之人民政府申報納稅第十五條納稅義務人應於立契後三日內向土地房屋所在地之縣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之人民政府申報納稅第十六條納稅義務人應於立契後三日內向土地房屋所在地之縣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及相當於縣</t>
    </r>
    <r>
      <rPr>
        <sz val="10"/>
        <rFont val="Arial"/>
        <family val="0"/>
        <charset val="1"/>
      </rPr>
      <t xml:space="preserve">(</t>
    </r>
    <r>
      <rPr>
        <sz val="10"/>
        <rFont val="Noto Sans CJK SC"/>
        <family val="2"/>
      </rPr>
      <t xml:space="preserve">市</t>
    </r>
    <r>
      <rPr>
        <sz val="10"/>
        <rFont val="Arial"/>
        <family val="0"/>
        <charset val="1"/>
      </rPr>
      <t xml:space="preserve">)</t>
    </r>
    <r>
      <rPr>
        <sz val="10"/>
        <rFont val="Noto Sans CJK SC"/>
        <family val="2"/>
      </rPr>
      <t xml:space="preserve">之人民政府申報納稅福建省人民政府公定契紙承受人姓名朱發原所有人姓名沙群不動產種類坐落平房地段等級沙秀玉面積四至大宮邊上手原契立契日期地號屋式典價零畝零分伍厘肆毫中證人簽名蓋章林和繳納稅額附記東至巷南至沙群等共墻西至黃益等共墻北至海邊監證人簽名蓋章街長陳壽卿人人幣零億零千零百九拾零萬零千元人人幣零千零百零拾貳萬柒千零百零拾元人人幣零千零百零拾貳萬柒千零百零拾元人人幣零千零百零拾貳萬柒千零百零拾元公元一九五二年七月東山縣縣長作慶日發給收執</t>
    </r>
    <r>
      <rPr>
        <sz val="10"/>
        <rFont val="Arial"/>
        <family val="0"/>
        <charset val="1"/>
      </rPr>
      <t xml:space="preserve">(</t>
    </r>
    <r>
      <rPr>
        <sz val="10"/>
        <rFont val="Noto Sans CJK SC"/>
        <family val="2"/>
      </rPr>
      <t xml:space="preserve">執存人受承權有所請申交聯此</t>
    </r>
    <r>
      <rPr>
        <sz val="10"/>
        <rFont val="Arial"/>
        <family val="0"/>
        <charset val="1"/>
      </rPr>
      <t xml:space="preserve">)</t>
    </r>
  </si>
  <si>
    <t xml:space="preserve">31735066267745_003</t>
  </si>
  <si>
    <r>
      <rPr>
        <sz val="10"/>
        <rFont val="Noto Sans CJK SC"/>
        <family val="2"/>
      </rPr>
      <t xml:space="preserve">東財字第 </t>
    </r>
    <r>
      <rPr>
        <sz val="10"/>
        <rFont val="Arial"/>
        <family val="0"/>
        <charset val="1"/>
      </rPr>
      <t xml:space="preserve">02102 </t>
    </r>
    <r>
      <rPr>
        <sz val="10"/>
        <rFont val="Noto Sans CJK SC"/>
        <family val="2"/>
      </rPr>
      <t xml:space="preserve">號</t>
    </r>
  </si>
  <si>
    <r>
      <rPr>
        <sz val="10"/>
        <rFont val="Noto Sans CJK SC"/>
        <family val="2"/>
      </rPr>
      <t xml:space="preserve">繳款書第一聯收據東財字第</t>
    </r>
    <r>
      <rPr>
        <sz val="10"/>
        <rFont val="Arial"/>
        <family val="0"/>
        <charset val="1"/>
      </rPr>
      <t xml:space="preserve">02102</t>
    </r>
    <r>
      <rPr>
        <sz val="10"/>
        <rFont val="Noto Sans CJK SC"/>
        <family val="2"/>
      </rPr>
      <t xml:space="preserve">號預算科目年度月份金額繳款人或繳納單位收入機關或繳納單位主管機關款項目億千百十萬千百十元契稅收入</t>
    </r>
    <r>
      <rPr>
        <sz val="10"/>
        <rFont val="Arial"/>
        <family val="0"/>
        <charset val="1"/>
      </rPr>
      <t xml:space="preserve">5700000</t>
    </r>
    <r>
      <rPr>
        <sz val="10"/>
        <rFont val="Noto Sans CJK SC"/>
        <family val="2"/>
      </rPr>
      <t xml:space="preserve">第二街政府合計</t>
    </r>
    <r>
      <rPr>
        <sz val="10"/>
        <rFont val="Arial"/>
        <family val="0"/>
        <charset val="1"/>
      </rPr>
      <t xml:space="preserve">07000</t>
    </r>
    <r>
      <rPr>
        <sz val="10"/>
        <rFont val="Noto Sans CJK SC"/>
        <family val="2"/>
      </rPr>
      <t xml:space="preserve">金額</t>
    </r>
    <r>
      <rPr>
        <sz val="10"/>
        <rFont val="Arial"/>
        <family val="0"/>
        <charset val="1"/>
      </rPr>
      <t xml:space="preserve">(</t>
    </r>
    <r>
      <rPr>
        <sz val="10"/>
        <rFont val="Noto Sans CJK SC"/>
        <family val="2"/>
      </rPr>
      <t xml:space="preserve">大寫</t>
    </r>
    <r>
      <rPr>
        <sz val="10"/>
        <rFont val="Arial"/>
        <family val="0"/>
        <charset val="1"/>
      </rPr>
      <t xml:space="preserve">)</t>
    </r>
    <r>
      <rPr>
        <sz val="10"/>
        <rFont val="Noto Sans CJK SC"/>
        <family val="2"/>
      </rPr>
      <t xml:space="preserve">式萬零伍百正備註收入</t>
    </r>
    <r>
      <rPr>
        <sz val="10"/>
        <rFont val="Arial"/>
        <family val="0"/>
        <charset val="1"/>
      </rPr>
      <t xml:space="preserve">(</t>
    </r>
    <r>
      <rPr>
        <sz val="10"/>
        <rFont val="Noto Sans CJK SC"/>
        <family val="2"/>
      </rPr>
      <t xml:space="preserve">或填發</t>
    </r>
    <r>
      <rPr>
        <sz val="10"/>
        <rFont val="Arial"/>
        <family val="0"/>
        <charset val="1"/>
      </rPr>
      <t xml:space="preserve">)</t>
    </r>
    <r>
      <rPr>
        <sz val="10"/>
        <rFont val="Noto Sans CJK SC"/>
        <family val="2"/>
      </rPr>
      <t xml:space="preserve">機關收款金庫係免契稅負責人負責人蓋章蓋章經手人一九五二年九月五日經手人收訖蓋章蓋章填發日期初蔡本聯交繳款人</t>
    </r>
  </si>
  <si>
    <t xml:space="preserve">31735066267752_001</t>
  </si>
  <si>
    <t xml:space="preserve">31735066267752</t>
  </si>
  <si>
    <t xml:space="preserve">孫宗馨</t>
  </si>
  <si>
    <t xml:space="preserve">Box 4, Folder 199</t>
  </si>
  <si>
    <t xml:space="preserve">立出典契</t>
  </si>
  <si>
    <t xml:space="preserve">中華民國叁拾捌年</t>
  </si>
  <si>
    <t xml:space="preserve">東山許其</t>
  </si>
  <si>
    <t xml:space="preserve">劉泗寶</t>
  </si>
  <si>
    <t xml:space="preserve">母親許陳氏</t>
  </si>
  <si>
    <t xml:space="preserve">https://digital.library.pitt.edu/islandora/object/pitt:31735066267752</t>
  </si>
  <si>
    <r>
      <rPr>
        <sz val="10"/>
        <rFont val="Noto Sans CJK SC"/>
        <family val="2"/>
      </rPr>
      <t xml:space="preserve">中証人林金錫</t>
    </r>
    <r>
      <rPr>
        <sz val="10"/>
        <rFont val="Arial"/>
        <family val="0"/>
        <charset val="1"/>
      </rPr>
      <t xml:space="preserve">(</t>
    </r>
    <r>
      <rPr>
        <sz val="10"/>
        <rFont val="Noto Sans CJK SC"/>
        <family val="2"/>
      </rPr>
      <t xml:space="preserve">印</t>
    </r>
    <r>
      <rPr>
        <sz val="10"/>
        <rFont val="Arial"/>
        <family val="0"/>
        <charset val="1"/>
      </rPr>
      <t xml:space="preserve">)</t>
    </r>
    <r>
      <rPr>
        <sz val="10"/>
        <rFont val="Noto Sans CJK SC"/>
        <family val="2"/>
      </rPr>
      <t xml:space="preserve">知見母親許陳氏</t>
    </r>
    <r>
      <rPr>
        <sz val="10"/>
        <rFont val="Arial"/>
        <family val="0"/>
        <charset val="1"/>
      </rPr>
      <t xml:space="preserve">(</t>
    </r>
    <r>
      <rPr>
        <sz val="10"/>
        <rFont val="Noto Sans CJK SC"/>
        <family val="2"/>
      </rPr>
      <t xml:space="preserve">印</t>
    </r>
    <r>
      <rPr>
        <sz val="10"/>
        <rFont val="Arial"/>
        <family val="0"/>
        <charset val="1"/>
      </rPr>
      <t xml:space="preserve">)</t>
    </r>
    <r>
      <rPr>
        <sz val="10"/>
        <rFont val="Noto Sans CJK SC"/>
        <family val="2"/>
      </rPr>
      <t xml:space="preserve">中華民國叁拾捌年國曆拾月日立出典契人東山許其和</t>
    </r>
    <r>
      <rPr>
        <sz val="10"/>
        <rFont val="Arial"/>
        <family val="0"/>
        <charset val="1"/>
      </rPr>
      <t xml:space="preserve">(</t>
    </r>
    <r>
      <rPr>
        <sz val="10"/>
        <rFont val="Noto Sans CJK SC"/>
        <family val="2"/>
      </rPr>
      <t xml:space="preserve">印</t>
    </r>
    <r>
      <rPr>
        <sz val="10"/>
        <rFont val="Arial"/>
        <family val="0"/>
        <charset val="1"/>
      </rPr>
      <t xml:space="preserve">)</t>
    </r>
    <r>
      <rPr>
        <sz val="10"/>
        <rFont val="Noto Sans CJK SC"/>
        <family val="2"/>
      </rPr>
      <t xml:space="preserve">代筆劉泗寶</t>
    </r>
    <r>
      <rPr>
        <sz val="10"/>
        <rFont val="Arial"/>
        <family val="0"/>
        <charset val="1"/>
      </rPr>
      <t xml:space="preserve">(</t>
    </r>
    <r>
      <rPr>
        <sz val="10"/>
        <rFont val="Noto Sans CJK SC"/>
        <family val="2"/>
      </rPr>
      <t xml:space="preserve">印</t>
    </r>
    <r>
      <rPr>
        <sz val="10"/>
        <rFont val="Arial"/>
        <family val="0"/>
        <charset val="1"/>
      </rPr>
      <t xml:space="preserve">)</t>
    </r>
    <r>
      <rPr>
        <sz val="10"/>
        <rFont val="Noto Sans CJK SC"/>
        <family val="2"/>
      </rPr>
      <t xml:space="preserve">即日全中親收通契內足赤金旧</t>
    </r>
  </si>
  <si>
    <t xml:space="preserve">31735066267752_002</t>
  </si>
  <si>
    <t xml:space="preserve">31735066267760_001</t>
  </si>
  <si>
    <t xml:space="preserve">31735066267760</t>
  </si>
  <si>
    <t xml:space="preserve">1916</t>
  </si>
  <si>
    <t xml:space="preserve">長忠</t>
  </si>
  <si>
    <t xml:space="preserve">Box 2, Folder 104</t>
  </si>
  <si>
    <t xml:space="preserve">兄長忠</t>
  </si>
  <si>
    <t xml:space="preserve">價錢伍拾仟文正</t>
  </si>
  <si>
    <t xml:space="preserve">本都尾寮下邊等處</t>
  </si>
  <si>
    <r>
      <rPr>
        <sz val="10"/>
        <rFont val="Noto Sans CJK SC"/>
        <family val="2"/>
      </rPr>
      <t xml:space="preserve">民田</t>
    </r>
    <r>
      <rPr>
        <sz val="10"/>
        <rFont val="Arial"/>
        <family val="0"/>
        <charset val="1"/>
      </rPr>
      <t xml:space="preserve">; </t>
    </r>
    <r>
      <rPr>
        <sz val="10"/>
        <rFont val="Noto Sans CJK SC"/>
        <family val="2"/>
      </rPr>
      <t xml:space="preserve">苗米</t>
    </r>
  </si>
  <si>
    <t xml:space="preserve">兄長其</t>
  </si>
  <si>
    <t xml:space="preserve">兄長芹</t>
  </si>
  <si>
    <t xml:space="preserve">https://digital.library.pitt.edu/islandora/object/pitt:31735066267760</t>
  </si>
  <si>
    <t xml:space="preserve">立典契弟長蕃令弟等承祖父園內有民田根面全壺號坐產本鄉本厝後門頭等處共式大坵受種柒升正受苗米肆升陸合陸勺式扎正立在邱弼盛戶下又有民田面租壺號坐產本都尾寮下邊等處土名墓棟受種壺斗正年載民租米捌斗五升五合正年載苗米捌升五合五勺正立詹方城戶下公因要用托中典與兄長忠處為業三面言議即日得訖田價錢伍拾仟文正其錢隨契交足其田听兄離佃耕作管業其粮听從過割入戶但此田係承祖父園內與別無干並未曾重典他人以及未歷不楚等情如有是情係弟云頭抵當不涉兄之事年限不拘遠近俟有力之日听弟備價照典契面錢文對期取贖兄不得執番今欲有憑立典契壺紙為憑其原契夾帶不便繳付再照光緒拾捌年拾壹月立典契弟長蕃令弟長萃長蓮此如方長莊長葦左見兄長芹中人兄長其大進苗</t>
  </si>
  <si>
    <t xml:space="preserve">31735066267760_002</t>
  </si>
  <si>
    <t xml:space="preserve">光緒二十一年</t>
  </si>
  <si>
    <t xml:space="preserve">價銀伍拾元</t>
  </si>
  <si>
    <t xml:space="preserve">本縣</t>
  </si>
  <si>
    <t xml:space="preserve">本厝后門</t>
  </si>
  <si>
    <t xml:space="preserve">長芹議定價銀伍拾</t>
  </si>
  <si>
    <r>
      <rPr>
        <sz val="10"/>
        <rFont val="Noto Sans CJK SC"/>
        <family val="2"/>
      </rPr>
      <t xml:space="preserve">福建財政廳 </t>
    </r>
    <r>
      <rPr>
        <sz val="10"/>
        <rFont val="Arial"/>
        <family val="0"/>
        <charset val="1"/>
      </rPr>
      <t xml:space="preserve">| </t>
    </r>
    <r>
      <rPr>
        <sz val="10"/>
        <rFont val="Noto Sans CJK SC"/>
        <family val="2"/>
      </rPr>
      <t xml:space="preserve">契 </t>
    </r>
    <r>
      <rPr>
        <sz val="10"/>
        <rFont val="Arial"/>
        <family val="0"/>
        <charset val="1"/>
      </rPr>
      <t xml:space="preserve">| </t>
    </r>
    <r>
      <rPr>
        <sz val="10"/>
        <rFont val="Noto Sans CJK SC"/>
        <family val="2"/>
      </rPr>
      <t xml:space="preserve">單</t>
    </r>
  </si>
  <si>
    <r>
      <rPr>
        <sz val="10"/>
        <rFont val="Noto Sans CJK SC"/>
        <family val="2"/>
      </rPr>
      <t xml:space="preserve">關清稅字第 李晉伍 號</t>
    </r>
    <r>
      <rPr>
        <sz val="10"/>
        <rFont val="Arial"/>
        <family val="0"/>
        <charset val="1"/>
      </rPr>
      <t xml:space="preserve">; </t>
    </r>
    <r>
      <rPr>
        <sz val="10"/>
        <rFont val="Noto Sans CJK SC"/>
        <family val="2"/>
      </rPr>
      <t xml:space="preserve">稅字第三千五百五五號</t>
    </r>
  </si>
  <si>
    <r>
      <rPr>
        <sz val="10"/>
        <rFont val="Noto Sans CJK SC"/>
        <family val="2"/>
      </rPr>
      <t xml:space="preserve">關清稅字第李晉伍號完稅銀元日福建財政廳為曲按契單給發契單事案查接管國稅廳籌備處卷內奉財政部飭開契稅條例於一月十一日公布並由本部按此本條例第十一條之規稅條例施行細則於一月二十九日以部令公布在案查契稅條例第一條第二項前項契約用紙由財政部定式頒行等語除契稅條例第二條所規定之特別印花由部製備另行頒發外隨飭發去契稅條例暨契稅條例施行細則並契紙及各種收據清冊格式應即照式先行製備仰該遵照辦理可也等因奉此查契稅條例施行細則第二十條本條例公布後各徵稅官署未奉到部頒契紙特別印花出示曉諭以前所有田房稅契應仍照向章辦理等語令據閩清戶長忠於光緒二十一年十一月日典受長蕃田程又升坐落本縣土名本厝后門地方東至南至西至北至坐向橫大尺直大尺邀同中證長芹議定價銀伍拾元依限投稅應納稅銀貳元業已如數收訖合填契單粘連原契印給收執管業須至契單者右給業戶長忠准此洪憲九年一月日給稅字第三千五百五五號月</t>
    </r>
    <r>
      <rPr>
        <sz val="10"/>
        <rFont val="Arial"/>
        <family val="0"/>
        <charset val="1"/>
      </rPr>
      <t xml:space="preserve">','</t>
    </r>
    <r>
      <rPr>
        <sz val="10"/>
        <rFont val="Noto Sans CJK SC"/>
        <family val="2"/>
      </rPr>
      <t xml:space="preserve">五</t>
    </r>
    <r>
      <rPr>
        <sz val="10"/>
        <rFont val="Arial"/>
        <family val="0"/>
        <charset val="1"/>
      </rPr>
      <t xml:space="preserve">','</t>
    </r>
    <r>
      <rPr>
        <sz val="10"/>
        <rFont val="Noto Sans CJK SC"/>
        <family val="2"/>
      </rPr>
      <t xml:space="preserve">五</t>
    </r>
    <r>
      <rPr>
        <sz val="10"/>
        <rFont val="Arial"/>
        <family val="0"/>
        <charset val="1"/>
      </rPr>
      <t xml:space="preserve">','</t>
    </r>
    <r>
      <rPr>
        <sz val="10"/>
        <rFont val="Noto Sans CJK SC"/>
        <family val="2"/>
      </rPr>
      <t xml:space="preserve">五</t>
    </r>
    <r>
      <rPr>
        <sz val="10"/>
        <rFont val="Arial"/>
        <family val="0"/>
        <charset val="1"/>
      </rPr>
      <t xml:space="preserve">'.</t>
    </r>
  </si>
  <si>
    <t xml:space="preserve">31735066267778_001</t>
  </si>
  <si>
    <t xml:space="preserve">31735066267778</t>
  </si>
  <si>
    <t xml:space="preserve">遼寧省新金縣</t>
  </si>
  <si>
    <t xml:space="preserve">嬌世范</t>
  </si>
  <si>
    <t xml:space="preserve">Box 4, Folder 189</t>
  </si>
  <si>
    <t xml:space="preserve">中華民國三十八年</t>
  </si>
  <si>
    <t xml:space="preserve">土地執照</t>
  </si>
  <si>
    <r>
      <rPr>
        <sz val="10"/>
        <rFont val="Noto Sans CJK SC"/>
        <family val="2"/>
      </rPr>
      <t xml:space="preserve">靠字第 </t>
    </r>
    <r>
      <rPr>
        <sz val="10"/>
        <rFont val="Arial"/>
        <family val="0"/>
        <charset val="1"/>
      </rPr>
      <t xml:space="preserve">003450 </t>
    </r>
    <r>
      <rPr>
        <sz val="10"/>
        <rFont val="Noto Sans CJK SC"/>
        <family val="2"/>
      </rPr>
      <t xml:space="preserve">號</t>
    </r>
  </si>
  <si>
    <t xml:space="preserve">https://digital.library.pitt.edu/islandora/object/pitt:31735066267778</t>
  </si>
  <si>
    <r>
      <rPr>
        <sz val="10"/>
        <rFont val="Noto Sans CJK SC"/>
        <family val="2"/>
      </rPr>
      <t xml:space="preserve">土地執照寧省新金縣靠字第</t>
    </r>
    <r>
      <rPr>
        <sz val="10"/>
        <rFont val="Arial"/>
        <family val="0"/>
        <charset val="1"/>
      </rPr>
      <t xml:space="preserve">003450</t>
    </r>
    <r>
      <rPr>
        <sz val="10"/>
        <rFont val="Noto Sans CJK SC"/>
        <family val="2"/>
      </rPr>
      <t xml:space="preserve">號根據中國土地法大綱平分土地以後，人民政府為確保農民土地所有權，發給此執照。戶主姓名住址共有人姓名矯世範孤山區矯沟村矯沟屯矯世範矯小東矯劉氏矯二周矯李氏亡矯恒安項目地段座落地號種類畝數至至東至西至南至北一東河套一級旱田四分九河道道本界二東河套二級旱田一畝四分一界石道道本界三北大地一三級旱田二畝五分九界石界石道道四北大地一二級旱田一畝三分八界石界石水沟水沟共計五畝八分七東北行政委員會頒發中華民國三十八年三月二十六日</t>
    </r>
  </si>
  <si>
    <t xml:space="preserve">31735066267786_001</t>
  </si>
  <si>
    <t xml:space="preserve">31735066267786</t>
  </si>
  <si>
    <t xml:space="preserve">1584</t>
  </si>
  <si>
    <t xml:space="preserve">張炳財</t>
  </si>
  <si>
    <t xml:space="preserve">Box 1, Folder 1</t>
  </si>
  <si>
    <t xml:space="preserve">表席里參畝大</t>
  </si>
  <si>
    <t xml:space="preserve">清 丈 歸 戶 單 </t>
  </si>
  <si>
    <t xml:space="preserve">https://digital.library.pitt.edu/islandora/object/pitt:31735066267786</t>
  </si>
  <si>
    <t xml:space="preserve">清丈歸戶單呂字壹千伍百柒拾捌號連城縣坐落表席里參畝大土名蓮花坑小土名赤岭壹畝表席里參畝貳甲戶長張炳財戶丁張萬殿執業納糧佃戶自係氏應照上田起科東壹一千五百七十二號吳世源界西壹一千五百七十四號吳大傳界舊額原畝分厘丈係字號畝分厘厘今表丈畝分厘南壹一千六百五十七號吳光裕界北壹一千五百六十八號張族質界萬曆十二年十二月日公正余彙書笑吳志祥此項地畝係台邑之屬三下天考也東丈中直貳拾參號壹尺西丈一廣參號南丈二廣陸號伍尺北丈三廣捌號通計子積年壹百肆拾陸號參共畝田丁畝肆分陸貳號</t>
  </si>
  <si>
    <t xml:space="preserve">31735066267794_001</t>
  </si>
  <si>
    <t xml:space="preserve">31735066267794</t>
  </si>
  <si>
    <t xml:space="preserve">劉隹</t>
  </si>
  <si>
    <t xml:space="preserve">沙延德</t>
  </si>
  <si>
    <t xml:space="preserve">Box 4, Folder 193</t>
  </si>
  <si>
    <t xml:space="preserve">立借厝合約</t>
  </si>
  <si>
    <t xml:space="preserve">林啓昌</t>
  </si>
  <si>
    <t xml:space="preserve">https://digital.library.pitt.edu/islandora/object/pitt:31735066267794</t>
  </si>
  <si>
    <r>
      <rPr>
        <sz val="10"/>
        <rFont val="Noto Sans CJK SC"/>
        <family val="2"/>
      </rPr>
      <t xml:space="preserve">立借厝合約字人劉匡緣此次厝乏厝沙近德住眷即日托中有借過沙近德之厝厝壹相帶樓又後房壹棟另配天井公用住址土名西門墘茄藍公廟地三面言議厝即付交沙近德素金舊秤重柒錢正借期限至叁年終若屆期厝金倘相交換以完手續以憑約施行均不得違背口恐無憑特立合約一樣式紙各地一紙存照立借厝合約字人劉匡沙近德中證人張鐘薯代書人林啓昌認民國廿八年古曆柒月廿日齊逢合</t>
    </r>
    <r>
      <rPr>
        <sz val="10"/>
        <rFont val="Arial"/>
        <family val="0"/>
        <charset val="1"/>
      </rPr>
      <t xml:space="preserve">59</t>
    </r>
  </si>
  <si>
    <t xml:space="preserve">31735066267794_002</t>
  </si>
  <si>
    <r>
      <rPr>
        <sz val="10"/>
        <rFont val="Noto Sans CJK SC"/>
        <family val="2"/>
      </rPr>
      <t xml:space="preserve">民國三十八年</t>
    </r>
    <r>
      <rPr>
        <sz val="10"/>
        <rFont val="Arial"/>
        <family val="0"/>
        <charset val="1"/>
      </rPr>
      <t xml:space="preserve">; </t>
    </r>
    <r>
      <rPr>
        <sz val="10"/>
        <rFont val="Noto Sans CJK SC"/>
        <family val="2"/>
      </rPr>
      <t xml:space="preserve">公元一九五二年</t>
    </r>
  </si>
  <si>
    <t xml:space="preserve">或由</t>
  </si>
  <si>
    <r>
      <rPr>
        <sz val="10"/>
        <rFont val="Noto Sans CJK SC"/>
        <family val="2"/>
      </rPr>
      <t xml:space="preserve">幣零億零千零百柒拾五萬貳千元</t>
    </r>
    <r>
      <rPr>
        <sz val="10"/>
        <rFont val="Arial"/>
        <family val="0"/>
        <charset val="1"/>
      </rPr>
      <t xml:space="preserve">; </t>
    </r>
    <r>
      <rPr>
        <sz val="10"/>
        <rFont val="Noto Sans CJK SC"/>
        <family val="2"/>
      </rPr>
      <t xml:space="preserve">幣零千零百零貳萬貳千零拾元</t>
    </r>
  </si>
  <si>
    <t xml:space="preserve">面積四至屋式典價繳納稅額劉佳西門</t>
  </si>
  <si>
    <r>
      <rPr>
        <sz val="10"/>
        <rFont val="Noto Sans CJK SC"/>
        <family val="2"/>
      </rPr>
      <t xml:space="preserve">契稅暫行條例第一條一九五〇年三月廿一日政務會議第二十六次會議通過本條例施行區域以完成土地改革地區為限</t>
    </r>
    <r>
      <rPr>
        <sz val="10"/>
        <rFont val="Arial"/>
        <family val="0"/>
        <charset val="1"/>
      </rPr>
      <t xml:space="preserve">(</t>
    </r>
    <r>
      <rPr>
        <sz val="10"/>
        <rFont val="Noto Sans CJK SC"/>
        <family val="2"/>
      </rPr>
      <t xml:space="preserve">城市全國通用</t>
    </r>
    <r>
      <rPr>
        <sz val="10"/>
        <rFont val="Arial"/>
        <family val="0"/>
        <charset val="1"/>
      </rPr>
      <t xml:space="preserve">)</t>
    </r>
    <r>
      <rPr>
        <sz val="10"/>
        <rFont val="Noto Sans CJK SC"/>
        <family val="2"/>
      </rPr>
      <t xml:space="preserve">凡土地房屋之買賣或租賃或交換或抵押或遺贈或立契或由承受人承受者均應依照本條例辦理第二條本條例施行區域以完成土地改革地區為限</t>
    </r>
    <r>
      <rPr>
        <sz val="10"/>
        <rFont val="Arial"/>
        <family val="0"/>
        <charset val="1"/>
      </rPr>
      <t xml:space="preserve">(</t>
    </r>
    <r>
      <rPr>
        <sz val="10"/>
        <rFont val="Noto Sans CJK SC"/>
        <family val="2"/>
      </rPr>
      <t xml:space="preserve">城市全國通用</t>
    </r>
    <r>
      <rPr>
        <sz val="10"/>
        <rFont val="Arial"/>
        <family val="0"/>
        <charset val="1"/>
      </rPr>
      <t xml:space="preserve">)</t>
    </r>
    <r>
      <rPr>
        <sz val="10"/>
        <rFont val="Noto Sans CJK SC"/>
        <family val="2"/>
      </rPr>
      <t xml:space="preserve">凡土地房屋之買賣或租賃或交換或抵押或遺贈或立契或由承受人承受者均應依照本條例辦理第三條契稅之徵收以契價為標準一、買賣契稅按契價百分之三徵收二、贈與契稅按契價百分之三徵收三、立契契稅按契價百分之三徵收第四條契稅之徵收以契價為標準一、買賣契稅按契價百分之三徵收二、贈與契稅按契價百分之三徵收三、立契契稅按契價百分之三徵收第五條契稅之徵收以契價為標準一、買賣契稅按契價百分之三徵收二、贈與契稅按契價百分之三徵收三、立契契稅按契價百分之三徵收第六條契稅之徵收以契價為標準一、買賣契稅按契價百分之三徵收二、贈與契稅按契價百分之三徵收三、立契契稅按契價百分之三徵收第七條契稅之徵收以契價為標準一、買賣契稅按契價百分之三徵收二、贈與契稅按契價百分之三徵收三、立契契稅按契價百分之三徵收第八條契稅之徵收以契價為標準一、買賣契稅按契價百分之三徵收二、贈與契稅按契價百分之三徵收三、立契契稅按契價百分之三徵收第九條契稅之徵收以契價為標準一、買賣契稅按契價百分之三徵收二、贈與契稅按契價百分之三徵收三、立契契稅按契價百分之三徵收第十條契稅之徵收以契價為標準一、買賣契稅按契價百分之三徵收二、贈與契稅按契價百分之三徵收三、立契契稅按契價百分之三徵收第十一條契稅之徵收以契價為標準一、買賣契稅按契價百分之三徵收二、贈與契稅按契價百分之三徵收三、立契契稅按契價百分之三徵收第十二條契稅之徵收以契價為標準一、買賣契稅按契價百分之三徵收二、贈與契稅按契價百分之三徵收三、立契契稅按契價百分之三徵收第十三條契稅之徵收以契價為標準一、買賣契稅按契價百分之三徵收二、贈與契稅按契價百分之三徵收三、立契契稅按契價百分之三徵收第十四條契稅之徵收以契價為標準一、買賣契稅按契價百分之三徵收二、贈與契稅按契價百分之三徵收三、立契契稅按契價百分之三徵收第十五條契稅之徵收以契價為標準一、買賣契稅按契價百分之三徵收二、贈與契稅按契價百分之三徵收三、立契契稅按契價百分之三徵收第十六條契稅之徵收以契價為標準一、買賣契稅按契價百分之三徵收二、贈與契稅按契價百分之三徵收三、立契契稅按契價百分之三徵收福建省人民政府公定契典承受人坐落面積四至屋式典價繳納稅額劉佳西門堦零畝零分叁厘陸毫東至沙奕謙所邊共牆南至路邊西至巷邊北至沙奕謙前房共牆平房壹間并半樓另配天井水井公用人幣零億零千零百柒拾五萬貳千元人幣零千零百零貳萬貳千零拾元原所有人段別上手原契立契日期中證人監證人附記沙延德</t>
    </r>
    <r>
      <rPr>
        <sz val="10"/>
        <rFont val="Arial"/>
        <family val="0"/>
        <charset val="1"/>
      </rPr>
      <t xml:space="preserve">(</t>
    </r>
    <r>
      <rPr>
        <sz val="10"/>
        <rFont val="Noto Sans CJK SC"/>
        <family val="2"/>
      </rPr>
      <t xml:space="preserve">沙奕謙</t>
    </r>
    <r>
      <rPr>
        <sz val="10"/>
        <rFont val="Arial"/>
        <family val="0"/>
        <charset val="1"/>
      </rPr>
      <t xml:space="preserve">)</t>
    </r>
    <r>
      <rPr>
        <sz val="10"/>
        <rFont val="Noto Sans CJK SC"/>
        <family val="2"/>
      </rPr>
      <t xml:space="preserve">段別上手原契民國三十八年七月立張鐘芝街長陳壽卿期限叁年姓名等級地號簽名蓋章簽名蓋章簽名蓋章簽名蓋章公元一九五二年作唐東山縣縣長張世國日發給收執</t>
    </r>
    <r>
      <rPr>
        <sz val="10"/>
        <rFont val="Arial"/>
        <family val="0"/>
        <charset val="1"/>
      </rPr>
      <t xml:space="preserve">(</t>
    </r>
    <r>
      <rPr>
        <sz val="10"/>
        <rFont val="Noto Sans CJK SC"/>
        <family val="2"/>
      </rPr>
      <t xml:space="preserve">執存人受承權有所請申交聯此</t>
    </r>
    <r>
      <rPr>
        <sz val="10"/>
        <rFont val="Arial"/>
        <family val="0"/>
        <charset val="1"/>
      </rPr>
      <t xml:space="preserve">)</t>
    </r>
  </si>
  <si>
    <t xml:space="preserve">31735066267794_003</t>
  </si>
  <si>
    <r>
      <rPr>
        <sz val="10"/>
        <rFont val="Noto Sans CJK SC"/>
        <family val="2"/>
      </rPr>
      <t xml:space="preserve">字第 </t>
    </r>
    <r>
      <rPr>
        <sz val="10"/>
        <rFont val="Arial"/>
        <family val="0"/>
        <charset val="1"/>
      </rPr>
      <t xml:space="preserve">2558 </t>
    </r>
    <r>
      <rPr>
        <sz val="10"/>
        <rFont val="Noto Sans CJK SC"/>
        <family val="2"/>
      </rPr>
      <t xml:space="preserve">號</t>
    </r>
  </si>
  <si>
    <r>
      <rPr>
        <sz val="10"/>
        <rFont val="Noto Sans CJK SC"/>
        <family val="2"/>
      </rPr>
      <t xml:space="preserve">繳款書第一聯收據東財字第</t>
    </r>
    <r>
      <rPr>
        <sz val="10"/>
        <rFont val="Arial"/>
        <family val="0"/>
        <charset val="1"/>
      </rPr>
      <t xml:space="preserve">2558</t>
    </r>
    <r>
      <rPr>
        <sz val="10"/>
        <rFont val="Noto Sans CJK SC"/>
        <family val="2"/>
      </rPr>
      <t xml:space="preserve">號預算科目年度月份金額繳款人或繳納單位收入機關或繳納單位款項目億十百十萬千百十元稅收入</t>
    </r>
    <r>
      <rPr>
        <sz val="10"/>
        <rFont val="Arial"/>
        <family val="0"/>
        <charset val="1"/>
      </rPr>
      <t xml:space="preserve">52</t>
    </r>
    <r>
      <rPr>
        <sz val="10"/>
        <rFont val="Noto Sans CJK SC"/>
        <family val="2"/>
      </rPr>
      <t xml:space="preserve">合計金額</t>
    </r>
    <r>
      <rPr>
        <sz val="10"/>
        <rFont val="Arial"/>
        <family val="0"/>
        <charset val="1"/>
      </rPr>
      <t xml:space="preserve">(</t>
    </r>
    <r>
      <rPr>
        <sz val="10"/>
        <rFont val="Noto Sans CJK SC"/>
        <family val="2"/>
      </rPr>
      <t xml:space="preserve">大寫</t>
    </r>
    <r>
      <rPr>
        <sz val="10"/>
        <rFont val="Arial"/>
        <family val="0"/>
        <charset val="1"/>
      </rPr>
      <t xml:space="preserve">)</t>
    </r>
    <r>
      <rPr>
        <sz val="10"/>
        <rFont val="Noto Sans CJK SC"/>
        <family val="2"/>
      </rPr>
      <t xml:space="preserve">備註收入</t>
    </r>
    <r>
      <rPr>
        <sz val="10"/>
        <rFont val="Arial"/>
        <family val="0"/>
        <charset val="1"/>
      </rPr>
      <t xml:space="preserve">(</t>
    </r>
    <r>
      <rPr>
        <sz val="10"/>
        <rFont val="Noto Sans CJK SC"/>
        <family val="2"/>
      </rPr>
      <t xml:space="preserve">或填發</t>
    </r>
    <r>
      <rPr>
        <sz val="10"/>
        <rFont val="Arial"/>
        <family val="0"/>
        <charset val="1"/>
      </rPr>
      <t xml:space="preserve">)</t>
    </r>
    <r>
      <rPr>
        <sz val="10"/>
        <rFont val="Noto Sans CJK SC"/>
        <family val="2"/>
      </rPr>
      <t xml:space="preserve">機關收款金庫繳款契稅負責人蓋章負責人蓋章經手人蓋章經手人蓋章填發日期一九五二年九月六日收訖日期圖章本聯交繳款人</t>
    </r>
    <r>
      <rPr>
        <sz val="10"/>
        <rFont val="Arial"/>
        <family val="0"/>
        <charset val="1"/>
      </rPr>
      <t xml:space="preserve">1952</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8</t>
    </r>
    <r>
      <rPr>
        <sz val="10"/>
        <rFont val="Noto Sans CJK SC"/>
        <family val="2"/>
      </rPr>
      <t xml:space="preserve">日</t>
    </r>
  </si>
  <si>
    <t xml:space="preserve">31735066267802_001</t>
  </si>
  <si>
    <t xml:space="preserve">31735066267802</t>
  </si>
  <si>
    <t xml:space="preserve">1854/1913</t>
  </si>
  <si>
    <t xml:space="preserve">福建省閩侯縣和侯官縣</t>
  </si>
  <si>
    <t xml:space="preserve">Box 1, Folder 34</t>
  </si>
  <si>
    <t xml:space="preserve">價銀壹百兩</t>
  </si>
  <si>
    <t xml:space="preserve">用價銀壹百兩納銀參兩布百玖號右侯</t>
  </si>
  <si>
    <t xml:space="preserve">落則榮</t>
  </si>
  <si>
    <t xml:space="preserve">https://digital.library.pitt.edu/islandora/object/pitt:31735066267802</t>
  </si>
  <si>
    <t xml:space="preserve">大清代筆落則榮林道吉地勤慎福建等處承宣布政使司言議奏事乾隆十五年正月十四日奉駐戶部春河南司察星所有大部議覆河東改以當非條奏買賣田產將契尾帖庫有印存貯印送府州藩司等因一捐于本年十二月十二日奉本日奉旨及議次此因應少銀原奉發式行文高定巡撫欽遵辦理也計帖單一紙內開該臣等查早支收使當明奏稱部議多項請旨以故取病民銀業戶契尾例不與照根同申上司查驗于省有具與給民契尾則按數發給而于存官照根或將價銀冊改請後州縣于業戶納稅時將契粘連用印存貯每遇十季送知府直隸州查對如姓氏銀數相符即將應給業戶之契尾并州縣備案之照根于虧縫截發分別給存去免由滋派根平季報時府州彙送三司票州經收稅契照州縣中送府州之例徑送藩司等語查將稅契正賦均由州縣造報督府州核轉完納正賦填為聯三司票從未議將花紅收去一經申繳上司府分送府以查驗誠以花戶照票一繳時則給領無時弊端易起今稅契雜項契尾與照根并送查發之查又古至實屬投稅為最遠觀皇王府州查發并為變通臣等干後半場于收執後照止以省業戶等實林厚成等店屋坐落用價銀壹百兩納銀參兩布百玖號右侯官縣葉成桂此宣統戊午年正月宣統</t>
  </si>
  <si>
    <t xml:space="preserve">31735066267802_002</t>
  </si>
  <si>
    <r>
      <rPr>
        <sz val="10"/>
        <rFont val="Noto Sans CJK SC"/>
        <family val="2"/>
      </rPr>
      <t xml:space="preserve">道光貳拾伍年</t>
    </r>
    <r>
      <rPr>
        <sz val="10"/>
        <rFont val="Arial"/>
        <family val="0"/>
        <charset val="1"/>
      </rPr>
      <t xml:space="preserve">; </t>
    </r>
    <r>
      <rPr>
        <sz val="10"/>
        <rFont val="Noto Sans CJK SC"/>
        <family val="2"/>
      </rPr>
      <t xml:space="preserve">中華民國 貳 年</t>
    </r>
    <r>
      <rPr>
        <sz val="10"/>
        <rFont val="Arial"/>
        <family val="0"/>
        <charset val="1"/>
      </rPr>
      <t xml:space="preserve">; </t>
    </r>
    <r>
      <rPr>
        <sz val="10"/>
        <rFont val="Noto Sans CJK SC"/>
        <family val="2"/>
      </rPr>
      <t xml:space="preserve">民國十五年</t>
    </r>
  </si>
  <si>
    <t xml:space="preserve">銀百肆拾柒元</t>
  </si>
  <si>
    <t xml:space="preserve">閩侯縣魁輔里</t>
  </si>
  <si>
    <r>
      <rPr>
        <sz val="10"/>
        <rFont val="Noto Sans CJK SC"/>
        <family val="2"/>
      </rPr>
      <t xml:space="preserve">福建國稅廳籌備處 </t>
    </r>
    <r>
      <rPr>
        <sz val="10"/>
        <rFont val="Arial"/>
        <family val="0"/>
        <charset val="1"/>
      </rPr>
      <t xml:space="preserve">| </t>
    </r>
    <r>
      <rPr>
        <sz val="10"/>
        <rFont val="Noto Sans CJK SC"/>
        <family val="2"/>
      </rPr>
      <t xml:space="preserve">斷 </t>
    </r>
    <r>
      <rPr>
        <sz val="10"/>
        <rFont val="Arial"/>
        <family val="0"/>
        <charset val="1"/>
      </rPr>
      <t xml:space="preserve">| </t>
    </r>
    <r>
      <rPr>
        <sz val="10"/>
        <rFont val="Noto Sans CJK SC"/>
        <family val="2"/>
      </rPr>
      <t xml:space="preserve">契 </t>
    </r>
    <r>
      <rPr>
        <sz val="10"/>
        <rFont val="Arial"/>
        <family val="0"/>
        <charset val="1"/>
      </rPr>
      <t xml:space="preserve">| </t>
    </r>
    <r>
      <rPr>
        <sz val="10"/>
        <rFont val="Noto Sans CJK SC"/>
        <family val="2"/>
      </rPr>
      <t xml:space="preserve">單</t>
    </r>
  </si>
  <si>
    <t xml:space="preserve">驗字第 萬四千四百十七號</t>
  </si>
  <si>
    <t xml:space="preserve">第一號福建國稅廳籌備處給發契單事案奉為財政部電行劃一契紙章程內開本章程施行以前成立之不動產舊契無論已稅契未稅契均應一律限期呈驗逾限不呈驗者於訴訟時不能作為憑據一併函知司法機關認真辦理以為匿驗者戒等因奉此當經擬定分別徵收方法已稅之舊契每張收紙價壹元未稅之舊契每產價百元收紙價壹元其光復後新契已稅者不收紙價酌定正限三個月餘限兩個月逾期呈驗者分別加徵嚴罰經已電奉財政部核准照辦並通飭遵照在案今據閩侯縣業戶葉成於清道光貳拾伍年陸月日買受林厚成店屋壹間坐落閩侯縣魁輔里地方東至南至西至北至坐南向北橫丈尺直丈尺中斷證陳元海壹百兩中銀百肆拾柒元原契已稅遵章依限呈驗應納紙價如數收訖合填契單至契單者契右給業戶葉成准此單中華民國貳年拾貳月叁拾日給民國十五年三月九日財政廳發明業成驗字第萬四千四百十七號</t>
  </si>
  <si>
    <t xml:space="preserve">31735066267810_001</t>
  </si>
  <si>
    <t xml:space="preserve">31735066267810</t>
  </si>
  <si>
    <t xml:space="preserve">1892/1894</t>
  </si>
  <si>
    <r>
      <rPr>
        <sz val="10"/>
        <rFont val="Noto Sans CJK SC"/>
        <family val="2"/>
      </rPr>
      <t xml:space="preserve">陳亮 </t>
    </r>
    <r>
      <rPr>
        <sz val="10"/>
        <rFont val="Arial"/>
        <family val="0"/>
        <charset val="1"/>
      </rPr>
      <t xml:space="preserve">| </t>
    </r>
    <r>
      <rPr>
        <sz val="10"/>
        <rFont val="Noto Sans CJK SC"/>
        <family val="2"/>
      </rPr>
      <t xml:space="preserve">李清</t>
    </r>
  </si>
  <si>
    <t xml:space="preserve">Box 2, Folder 75</t>
  </si>
  <si>
    <r>
      <rPr>
        <sz val="10"/>
        <rFont val="Noto Sans CJK SC"/>
        <family val="2"/>
      </rPr>
      <t xml:space="preserve">光緒拾玖年</t>
    </r>
    <r>
      <rPr>
        <sz val="10"/>
        <rFont val="Arial"/>
        <family val="0"/>
        <charset val="1"/>
      </rPr>
      <t xml:space="preserve">; </t>
    </r>
    <r>
      <rPr>
        <sz val="10"/>
        <rFont val="Noto Sans CJK SC"/>
        <family val="2"/>
      </rPr>
      <t xml:space="preserve">光緒貳拾年</t>
    </r>
  </si>
  <si>
    <t xml:space="preserve">築字第 の、卅三 號</t>
  </si>
  <si>
    <t xml:space="preserve">https://digital.library.pitt.edu/islandora/object/pitt:31735066267810</t>
  </si>
  <si>
    <t xml:space="preserve">版串執照鈐同知縣署理照府優賞及級尋常級錄次張都故軍李清的戶凍為徵收屯銀事光緒拾玖年正月銀錢正照合給執照須知照者光緒貳拾年城鄉設柜徵收業戶開單投完或有短缺多完重完者在城限五日在鄉限十日許糧戶報出面前退還銷串換給以免混淆縣丞伍相鄉伍築字第の、卅三號</t>
  </si>
  <si>
    <t xml:space="preserve">31735066267810_002</t>
  </si>
  <si>
    <t xml:space="preserve">版串執照案前發署通曉傳令縣及帶黨務務張為徵收屯銀事據都故軍李清的戶陳亮光納光緒拾玖年益丁屯銀五分玖厘合給執照須于過期光緒貳拾年月日城鄉設柜徵收業戶即單投完或不允多完重完者在城限五日在鄉限十日許糧戶將出單前退還銷出換給以免混淆縣</t>
  </si>
  <si>
    <t xml:space="preserve">31735066267810_003</t>
  </si>
  <si>
    <t xml:space="preserve">版車執照</t>
  </si>
  <si>
    <r>
      <rPr>
        <sz val="10"/>
        <rFont val="Noto Sans CJK SC"/>
        <family val="2"/>
      </rPr>
      <t xml:space="preserve">版車執照務同知行署福州府侯官縣及金永張都故軍李清的戶陳光緒拾玖年拾玖年拾玖年拾玖年壹斗正照倉給執照光緒貳拾年月日城鄉設相徵收業戶</t>
    </r>
    <r>
      <rPr>
        <sz val="10"/>
        <rFont val="Arial"/>
        <family val="0"/>
        <charset val="1"/>
      </rPr>
      <t xml:space="preserve">...</t>
    </r>
    <r>
      <rPr>
        <sz val="10"/>
        <rFont val="Noto Sans CJK SC"/>
        <family val="2"/>
      </rPr>
      <t xml:space="preserve">有外銷</t>
    </r>
    <r>
      <rPr>
        <sz val="10"/>
        <rFont val="Arial"/>
        <family val="0"/>
        <charset val="1"/>
      </rPr>
      <t xml:space="preserve">...</t>
    </r>
    <r>
      <rPr>
        <sz val="10"/>
        <rFont val="Noto Sans CJK SC"/>
        <family val="2"/>
      </rPr>
      <t xml:space="preserve">多完重完者在城限五斤</t>
    </r>
    <r>
      <rPr>
        <sz val="10"/>
        <rFont val="Arial"/>
        <family val="0"/>
        <charset val="1"/>
      </rPr>
      <t xml:space="preserve">...</t>
    </r>
    <r>
      <rPr>
        <sz val="10"/>
        <rFont val="Noto Sans CJK SC"/>
        <family val="2"/>
      </rPr>
      <t xml:space="preserve">有外銷</t>
    </r>
    <r>
      <rPr>
        <sz val="10"/>
        <rFont val="Arial"/>
        <family val="0"/>
        <charset val="1"/>
      </rPr>
      <t xml:space="preserve">...</t>
    </r>
    <r>
      <rPr>
        <sz val="10"/>
        <rFont val="Noto Sans CJK SC"/>
        <family val="2"/>
      </rPr>
      <t xml:space="preserve">有外銷</t>
    </r>
    <r>
      <rPr>
        <sz val="10"/>
        <rFont val="Arial"/>
        <family val="0"/>
        <charset val="1"/>
      </rPr>
      <t xml:space="preserve">...</t>
    </r>
    <r>
      <rPr>
        <sz val="10"/>
        <rFont val="Noto Sans CJK SC"/>
        <family val="2"/>
      </rPr>
      <t xml:space="preserve">有外銷</t>
    </r>
    <r>
      <rPr>
        <sz val="10"/>
        <rFont val="Arial"/>
        <family val="0"/>
        <charset val="1"/>
      </rPr>
      <t xml:space="preserve">...</t>
    </r>
    <r>
      <rPr>
        <sz val="10"/>
        <rFont val="Noto Sans CJK SC"/>
        <family val="2"/>
      </rPr>
      <t xml:space="preserve">縣丞伍伍相鄉伍場</t>
    </r>
    <r>
      <rPr>
        <sz val="10"/>
        <rFont val="Arial"/>
        <family val="0"/>
        <charset val="1"/>
      </rPr>
      <t xml:space="preserve">1/2</t>
    </r>
    <r>
      <rPr>
        <sz val="10"/>
        <rFont val="Noto Sans CJK SC"/>
        <family val="2"/>
      </rPr>
      <t xml:space="preserve">亮詒納</t>
    </r>
  </si>
  <si>
    <t xml:space="preserve">31735066267810_004</t>
  </si>
  <si>
    <t xml:space="preserve">版串執照繁簡知益籌辦州府各縣業經彙錄次張為徵收米事據都故軍李清的戶陳完納光緒拾玖年拾月拾日伍升正食給執照須至票光緒貳拾年月日多完者在城限五日在鄉限十日其縣</t>
  </si>
  <si>
    <t xml:space="preserve">31735066267810_005</t>
  </si>
  <si>
    <t xml:space="preserve">版串執照鈐同知鈐署到福安縣暨華加級尋常及銀錢張為徵收屯銀事據都故軍李清的戶陳亮完納</t>
  </si>
  <si>
    <t xml:space="preserve">31735066267810_006</t>
  </si>
  <si>
    <t xml:space="preserve">版串執照籍同登署理得憑票及憑票及銀張都故軍李清的戶陳為徵收地銀事據光緒貳拾年地產銀參分玖厘訖完納合給執照須至照者光緒貳拾年縣</t>
  </si>
  <si>
    <t xml:space="preserve">31735066267810_007</t>
  </si>
  <si>
    <t xml:space="preserve">版串執照繁簡知益署編列名錄卷張為徵收地米事據都故軍李清的戶陳亮完納光緒貳拾年壹斗正照倉給執照須至署光緒貳拾年月城鄉設相徵收業戶開單投完或有舛錯多完重完者在城限五百在鄉限十日許日限戶精出稟明退還銷串換給以免混淆縣</t>
  </si>
  <si>
    <t xml:space="preserve">31735066267810_008</t>
  </si>
  <si>
    <t xml:space="preserve">版串執照欽命知府署福州府僉書鄭嘉祥等為照得各縣已錄次張為徵收屯米事據都故軍李清的戶凍亮完納光緒貳拾年叁月叁拾伍日正照合給執照須至照者光緒貳拾年月日多完重完者在城限五日在鄉限十日許城鄉各處如有外錯糧戶粘用稟明退還銷串換給以免混淆</t>
  </si>
  <si>
    <t xml:space="preserve">31735066267810_009</t>
  </si>
  <si>
    <t xml:space="preserve">版車執照繁同知行署福州府僉書嘉靖縣錄次張都故軍李清的戶陳為徵收米事據光緒貳拾年拾月拾日光緒貳拾年拾月拾日光緒貳拾年拾月拾日光緒貳拾年拾月拾日光緒貳拾年拾月拾日光緒貳拾年拾月拾日光緒貳拾年拾月拾日光緒貳拾年拾月拾日光緒貳拾年拾月拾日光緒貳拾年拾月拾日合給執照須至照者光緒貳拾年月日城鄉設柜徵收業戶開單投完三有舛錯多完重完者在城限五百在鄉限十日許糧戶粘出稟明退還銷串換給以免混淆縣丞伍相鄉伍鬱第十三號</t>
  </si>
  <si>
    <t xml:space="preserve">31735066267810_010</t>
  </si>
  <si>
    <t xml:space="preserve">版串執照繁簡知行署理州府候官縣廳加辦彙編及錄次張都故軍李清的戶陳為徵收屯米事據亮訖完納光緒貳拾年柒合捌勺合給執照須至署光緒貳拾年月日城鄉設柜徵收業戶關單投完或有外銷多完重完者在城限五日在鄉限十日許類戶粘串稟明退還銷串換給以免混淆縣伍柜鄉伍鬱子第のゝ七五號</t>
  </si>
  <si>
    <t xml:space="preserve">31735066267810_011</t>
  </si>
  <si>
    <r>
      <rPr>
        <sz val="10"/>
        <rFont val="Noto Sans CJK SC"/>
        <family val="2"/>
      </rPr>
      <t xml:space="preserve">光緒拾捌年</t>
    </r>
    <r>
      <rPr>
        <sz val="10"/>
        <rFont val="Arial"/>
        <family val="0"/>
        <charset val="1"/>
      </rPr>
      <t xml:space="preserve">; </t>
    </r>
    <r>
      <rPr>
        <sz val="10"/>
        <rFont val="Noto Sans CJK SC"/>
        <family val="2"/>
      </rPr>
      <t xml:space="preserve">光緒 捌年</t>
    </r>
  </si>
  <si>
    <t xml:space="preserve">版市執照</t>
  </si>
  <si>
    <t xml:space="preserve">版市執照欽加同知銜特授福州府候官縣正堂李清的戶康光緒拾捌年正月壹斗正照合給執照光緒捌年縣署</t>
  </si>
  <si>
    <t xml:space="preserve">31735066267810_012</t>
  </si>
  <si>
    <t xml:space="preserve">照執市販</t>
  </si>
  <si>
    <t xml:space="preserve">照執市販欽加同知銜特選府候官縣工章李李請的陳光緒拾捌年伍升正照合給執照第光緒拾捌年縣伍升伍升伍升伍升伍升伍升伍升伍升伍升伍升伍升伍升</t>
  </si>
  <si>
    <t xml:space="preserve">31735066267810_013</t>
  </si>
  <si>
    <r>
      <rPr>
        <sz val="10"/>
        <rFont val="Noto Sans CJK SC"/>
        <family val="2"/>
      </rPr>
      <t xml:space="preserve">光緒拾捌 年</t>
    </r>
    <r>
      <rPr>
        <sz val="10"/>
        <rFont val="Arial"/>
        <family val="0"/>
        <charset val="1"/>
      </rPr>
      <t xml:space="preserve">; </t>
    </r>
    <r>
      <rPr>
        <sz val="10"/>
        <rFont val="Noto Sans CJK SC"/>
        <family val="2"/>
      </rPr>
      <t xml:space="preserve">光緒拾捌年</t>
    </r>
  </si>
  <si>
    <t xml:space="preserve">版車號票欽加同知銜特授福州府候官縣正堂李故軍李清的戶陳蔚徵貽也光緒拾捌年三月廿日收銀伍光緒拾捌年月城鄉穀糧稅收業戶開單投完或有欠銀多完重完者在城限五日在鄉限十日許根戶結單票面退還鈔串換給以免混淆銀</t>
  </si>
  <si>
    <t xml:space="preserve">31735066267810_014</t>
  </si>
  <si>
    <t xml:space="preserve">版中執照</t>
  </si>
  <si>
    <t xml:space="preserve">版中執照欽加同知銜特授福州府侯官縣正堂李為徵收屯故軍李請的戶陳亮光緒拾捌分也肆分⑧厘光緒拾捌年縣伍伍伍伍伍銀城內設稅徵收業戶開辦投納或有另銀多完重者任城限五日在無限下升許銀戶粘小票明道還納申換給以免誤者號</t>
  </si>
  <si>
    <t xml:space="preserve">31735066267810_015</t>
  </si>
  <si>
    <t xml:space="preserve">版中執照欽加同知銜特升少府侯官縣正堂李陳亮李清光緒捌拾叁捌正冊合給執照光緒縣伍粉之號</t>
  </si>
  <si>
    <t xml:space="preserve">31735066267828_001</t>
  </si>
  <si>
    <t xml:space="preserve">31735066267828</t>
  </si>
  <si>
    <t xml:space="preserve">1886/1913</t>
  </si>
  <si>
    <t xml:space="preserve">王師禮</t>
  </si>
  <si>
    <t xml:space="preserve">許大華</t>
  </si>
  <si>
    <t xml:space="preserve">Box 2, Folder 62</t>
  </si>
  <si>
    <t xml:space="preserve">光緒貳貳年</t>
  </si>
  <si>
    <t xml:space="preserve">閩邑嘉崇里下陣洋</t>
  </si>
  <si>
    <t xml:space="preserve">倒模坵中則</t>
  </si>
  <si>
    <t xml:space="preserve">林天送</t>
  </si>
  <si>
    <t xml:space="preserve">黃杰</t>
  </si>
  <si>
    <t xml:space="preserve">胞兄師義弟師智</t>
  </si>
  <si>
    <t xml:space="preserve">冊載青字第式區第九號</t>
  </si>
  <si>
    <t xml:space="preserve">https://digital.library.pitt.edu/islandora/object/pitt:31735066267828</t>
  </si>
  <si>
    <t xml:space="preserve">立賣斷契王師禮承父閻分份下有民田根面全式號坐產閩邑嘉崇里下陣洋地方冊載青字第式區第九號土名倒模坵中則田計官文式畝捌分伍厘零東至浦西至林家田南至吳家田北至浦四至來歷俱載明白其糧色掛在嘉崇里叁番拾甲王士全戶下歷掌無異今因乏用托中將此民田根面全賣斷與許大華處永遠為業三面言議本日得訖賣斷價銀陸拾伍兩正其紋廣銀即日收足其田根面即昨買主管業翻犁耕作召佃收租完課了納糧色照縣例科派過甲入戶勿致兩懸禮自賣斷之後價足心愿永斷葛籐不得別生枝節亦不得言湊言贖異說之理但此田根面全係禮出頭承當不涉買主之事兩相允愿各勿反悔今欲有憑立賣斷契壹紙付執永遠為照所有上手老契出傷龜蛙不得繳付榜身此田水圳由本田東邊出入後中人林天送知契母陳氏光緒貳貳年拾壹月吉日立賣斷契王師禮在見胞兄師義弟師智代筆黃杰福建國稅廳籌備處為</t>
  </si>
  <si>
    <t xml:space="preserve">31735066267828_002</t>
  </si>
  <si>
    <r>
      <rPr>
        <sz val="10"/>
        <rFont val="Noto Sans CJK SC"/>
        <family val="2"/>
      </rPr>
      <t xml:space="preserve">光緒拾貳年</t>
    </r>
    <r>
      <rPr>
        <sz val="10"/>
        <rFont val="Arial"/>
        <family val="0"/>
        <charset val="1"/>
      </rPr>
      <t xml:space="preserve">; </t>
    </r>
    <r>
      <rPr>
        <sz val="10"/>
        <rFont val="Noto Sans CJK SC"/>
        <family val="2"/>
      </rPr>
      <t xml:space="preserve">中華民國 貳年</t>
    </r>
  </si>
  <si>
    <r>
      <rPr>
        <sz val="10"/>
        <rFont val="Noto Sans CJK SC"/>
        <family val="2"/>
      </rPr>
      <t xml:space="preserve">價銀陸拾伍兩</t>
    </r>
    <r>
      <rPr>
        <sz val="10"/>
        <rFont val="Arial"/>
        <family val="0"/>
        <charset val="1"/>
      </rPr>
      <t xml:space="preserve">; </t>
    </r>
    <r>
      <rPr>
        <sz val="10"/>
        <rFont val="Noto Sans CJK SC"/>
        <family val="2"/>
      </rPr>
      <t xml:space="preserve">銀玖拾伍元</t>
    </r>
  </si>
  <si>
    <t xml:space="preserve">閩侯縣下俾洋倒棋坵</t>
  </si>
  <si>
    <t xml:space="preserve">驗字第萬九千五百三十一號</t>
  </si>
  <si>
    <t xml:space="preserve">斷賣契單福建國稅廳籌備處給發契單事業奉財政部電行劃一契紙章程內開本章程施行以前成立之不動產舊契無論已稅契未稅契均應一律限期呈驗逾限不呈驗者於訴訟時不能作為憑據一併函知司法機關認真辦理以為匿驗者戒等因奉此當經擬定分別徵收方法已稅之舊契每收紙價壹元未稅之舊契每產價百元收紙價壹元其光復後新契已稅者不收紙價酌定正限三個月餘限兩個月逾期呈驗者分別加徵嚴罰經已電奉財政部核准照辦並通飭遵照在案今據閩侯縣業戶許大華於清光緒拾貳年拾壹月日買受王師禮田地貳畝捌分坐落閩侯縣下俾洋倒棋坵地方東至南至西至北至坐向橫大尺直大尺中證林天送原價銀陸拾伍兩申銀玖拾伍元原契未稅遵章依限呈驗應納紙價壹元業已如數收訖合填契單粘連原契印給收執管業須至契單者右給業戶許大華准此中華民國貳年拾壹月叁拾日給驗字第萬九千五百三十一號</t>
  </si>
  <si>
    <t xml:space="preserve">31735066267836_001</t>
  </si>
  <si>
    <t xml:space="preserve">31735066267836</t>
  </si>
  <si>
    <t xml:space="preserve">熾原</t>
  </si>
  <si>
    <t xml:space="preserve">尚堃</t>
  </si>
  <si>
    <t xml:space="preserve">Box 2, Folder 90</t>
  </si>
  <si>
    <t xml:space="preserve">胞兄家</t>
  </si>
  <si>
    <t xml:space="preserve">壇前受種春斗春坵</t>
  </si>
  <si>
    <t xml:space="preserve">胞弟尚望上</t>
  </si>
  <si>
    <t xml:space="preserve">https://digital.library.pitt.edu/islandora/object/pitt:31735066267836</t>
  </si>
  <si>
    <t xml:space="preserve">立賣斷契胞兄家織原自己國分份下有民田妻號坐驗此塘口洋土名壇前受種春斗春坵其糯米掛在集書番書甲吳玉曲干粮必書俟零捌厘正人君米書非茶金正併勻丁在內並無絲毫短少今因要用托中引到胞弟尚然處諸面言議賣斷得出田價紋唐銀式拾兩正其銀即日親手收足其日胞弟官業召佃耕作收租捌千完課此田係織原自己國分份下物業由本房內諸人無干並未重張典當他人財物中有不明係織自己抵當不涉胞弟之事自賣斷以後永為胞弟久遠實業市替丰點無干並不敢言說取贖贖貼男生枝節之理此乃價足心愿各無反悔今故有憑立賣斷契書紙為據在見胞弟尚望上宣統元年拾月吉日立賣斷契胞兄家織①代筆中陳端率後代筆中第</t>
  </si>
  <si>
    <t xml:space="preserve">31735066267844_001</t>
  </si>
  <si>
    <t xml:space="preserve">31735066267844</t>
  </si>
  <si>
    <t xml:space="preserve">可翅</t>
  </si>
  <si>
    <t xml:space="preserve">Box 1, Folder 10</t>
  </si>
  <si>
    <t xml:space="preserve">立繳典契</t>
  </si>
  <si>
    <t xml:space="preserve">乾隆四十七年</t>
  </si>
  <si>
    <t xml:space="preserve">叔可翹</t>
  </si>
  <si>
    <t xml:space="preserve">姪欽密</t>
  </si>
  <si>
    <t xml:space="preserve">廿五都</t>
  </si>
  <si>
    <t xml:space="preserve">廖四</t>
  </si>
  <si>
    <r>
      <rPr>
        <sz val="10"/>
        <rFont val="Noto Sans CJK SC"/>
        <family val="2"/>
      </rPr>
      <t xml:space="preserve">民田</t>
    </r>
    <r>
      <rPr>
        <sz val="10"/>
        <rFont val="Arial"/>
        <family val="0"/>
        <charset val="1"/>
      </rPr>
      <t xml:space="preserve">; </t>
    </r>
    <r>
      <rPr>
        <sz val="10"/>
        <rFont val="Noto Sans CJK SC"/>
        <family val="2"/>
      </rPr>
      <t xml:space="preserve">根面全田</t>
    </r>
  </si>
  <si>
    <t xml:space="preserve">程叔順</t>
  </si>
  <si>
    <t xml:space="preserve">世隆氏</t>
  </si>
  <si>
    <t xml:space="preserve">六</t>
  </si>
  <si>
    <t xml:space="preserve">載在海字第千九百零拾參號</t>
  </si>
  <si>
    <t xml:space="preserve">https://digital.library.pitt.edu/islandora/object/pitt:31735066267844</t>
  </si>
  <si>
    <t xml:space="preserve">立繳典契叔可翹承祖手置得潘亨選根面全民田重編坐落廿五都土名廖四田地方丈計收分零札載在海字第千九百零拾參號歷年收掌無弄今因三用將此根面全田繳典與姪欽密處三面言議典出價銀拾兩正收其銀即日交足其田所經前去翻契畔作其外立在廿五都四甲林大鵬戶下不時所經過甲入戶了納卦色面約六年為限俟限滿之日所收照契銀兩依期取贖不得挑苗其田係翹與分物業兩房內伯叔兄弟姪一葉無干並未曾重傳典當他人財物如有未歷者仍係翹出頭承當不得買主之事其原契契契別業不便繳付兩家之處各無反悔今行有憑立繳典契易紙為憑乾隆四十七年十春知契世隆氏贊日立繳典契叔可翹贊在是兄可森贊中人程叔順贊金是叔志涵贊甘華贊大誠</t>
  </si>
  <si>
    <t xml:space="preserve">31735066267851_001</t>
  </si>
  <si>
    <t xml:space="preserve">31735066267851</t>
  </si>
  <si>
    <t xml:space="preserve">1903</t>
  </si>
  <si>
    <t xml:space="preserve">林與清</t>
  </si>
  <si>
    <t xml:space="preserve">Box 2, Folder 84</t>
  </si>
  <si>
    <t xml:space="preserve">光緒貳拾玖年</t>
  </si>
  <si>
    <t xml:space="preserve">林興清</t>
  </si>
  <si>
    <t xml:space="preserve">程貞雨</t>
  </si>
  <si>
    <r>
      <rPr>
        <sz val="10"/>
        <rFont val="Noto Sans CJK SC"/>
        <family val="2"/>
      </rPr>
      <t xml:space="preserve">價銀肆拾伍兩正</t>
    </r>
    <r>
      <rPr>
        <sz val="10"/>
        <rFont val="Arial"/>
        <family val="0"/>
        <charset val="1"/>
      </rPr>
      <t xml:space="preserve">; </t>
    </r>
    <r>
      <rPr>
        <sz val="10"/>
        <rFont val="Noto Sans CJK SC"/>
        <family val="2"/>
      </rPr>
      <t xml:space="preserve">銀折銅錢捌百伍拾文</t>
    </r>
  </si>
  <si>
    <t xml:space="preserve">卅都土田庄裡</t>
  </si>
  <si>
    <t xml:space="preserve">程本容</t>
  </si>
  <si>
    <t xml:space="preserve">自筆</t>
  </si>
  <si>
    <t xml:space="preserve">能叔克院</t>
  </si>
  <si>
    <t xml:space="preserve">母洪氏</t>
  </si>
  <si>
    <t xml:space="preserve">https://digital.library.pitt.edu/islandora/object/pitt:31735066267851</t>
  </si>
  <si>
    <t xml:space="preserve">立繳典契林興清全胞弟興田承父在日自已手置有根高全民屯田叁號坐產卅都土田庄裡地方冊載海字式千八十三号田壹畝叁分叁毛又式千八十四号田壹畝肆分零歷年收掌耕作完課無異今因別用托中將此屯田併荒田統繳典與程貞雨處為業三面言議繳典出價銀肆拾伍兩正攷廣其銀即日收足其田叶雨前去翻犁作召佃收租了納糧色理其根色不時叶雨照縣例科派過甲入戶毋致兩懸自繳典之後而約伍年為限俟限滿之日叶林備價照契面銀兩依期取贖每兩銀折銅錢捌百伍拾文算雨不得執留倘有原主取贖不在限內但此田係清承父在日自已手置物業與房內伯叔兄弟侄一概無干並未曾重典他人財物以及歷來歷不明等情如有此情係清出頭承當與程無涉雨允勿悔今欲有憑立繳典契壹帛併繳林興火典契壹帛又興火典程貞繳典契壹帛黃來寶典契壹帛詹黃二姓合約字壹帛共成伍帛統付為照光緒貳拾玖年十二月知契母洪氏日立繳典契林興清全胞弟興佃在見能叔克院中人程本容代字自筆大熱</t>
  </si>
  <si>
    <t xml:space="preserve">31735066267869_001</t>
  </si>
  <si>
    <t xml:space="preserve">31735066267869</t>
  </si>
  <si>
    <t xml:space="preserve">陳傳京</t>
  </si>
  <si>
    <t xml:space="preserve">陈成餘</t>
  </si>
  <si>
    <t xml:space="preserve">Box 3, Folder 140</t>
  </si>
  <si>
    <t xml:space="preserve">立白契</t>
  </si>
  <si>
    <t xml:space="preserve">民國十八年</t>
  </si>
  <si>
    <t xml:space="preserve">價銀書叁拾元</t>
  </si>
  <si>
    <t xml:space="preserve">浮村不動產面積式欲棟分零四至東至</t>
  </si>
  <si>
    <r>
      <rPr>
        <sz val="10"/>
        <rFont val="Noto Sans CJK SC"/>
        <family val="2"/>
      </rPr>
      <t xml:space="preserve">賣 </t>
    </r>
    <r>
      <rPr>
        <sz val="10"/>
        <rFont val="Arial"/>
        <family val="0"/>
        <charset val="1"/>
      </rPr>
      <t xml:space="preserve">| </t>
    </r>
    <r>
      <rPr>
        <sz val="10"/>
        <rFont val="Noto Sans CJK SC"/>
        <family val="2"/>
      </rPr>
      <t xml:space="preserve">契</t>
    </r>
  </si>
  <si>
    <t xml:space="preserve">https://digital.library.pitt.edu/islandora/object/pitt:31735066267869</t>
  </si>
  <si>
    <t xml:space="preserve">寫真新舊契稅賣契福建省政府財政廳為印給賣契事茲據業陳傳京申報憑中買受後開不動產物業並將所立白契連同上手原契繳請印稅前來自應照准除將稅卡核收及將上手原契先行發還外合即按契逐款填明粘連蓋印交收執以資管業須至賣契者在契稅正稅項計開不動產種類田坐落浮村不動產面積式欲棟分零四至東至南至西至北至賣主姓名陳成餘中證人姓名危聰立契年月日民國十八年十月上手原契幾張該產價銀書叁拾元該契稅銀叁元玖角廳頒賣契氏縣</t>
  </si>
  <si>
    <t xml:space="preserve">31735066267877_001</t>
  </si>
  <si>
    <t xml:space="preserve">31735066267877</t>
  </si>
  <si>
    <t xml:space="preserve">Box 4, Folder 195</t>
  </si>
  <si>
    <r>
      <rPr>
        <sz val="10"/>
        <rFont val="Noto Sans CJK SC"/>
        <family val="2"/>
      </rPr>
      <t xml:space="preserve">土地房產有所證 </t>
    </r>
    <r>
      <rPr>
        <sz val="10"/>
        <rFont val="Arial"/>
        <family val="0"/>
        <charset val="1"/>
      </rPr>
      <t xml:space="preserve">| </t>
    </r>
    <r>
      <rPr>
        <sz val="10"/>
        <rFont val="Noto Sans CJK SC"/>
        <family val="2"/>
      </rPr>
      <t xml:space="preserve">福建省閩侯縣土地房產所有證 </t>
    </r>
    <r>
      <rPr>
        <sz val="10"/>
        <rFont val="Arial"/>
        <family val="0"/>
        <charset val="1"/>
      </rPr>
      <t xml:space="preserve">| </t>
    </r>
    <r>
      <rPr>
        <sz val="10"/>
        <rFont val="Noto Sans CJK SC"/>
        <family val="2"/>
      </rPr>
      <t xml:space="preserve">計開</t>
    </r>
  </si>
  <si>
    <r>
      <rPr>
        <sz val="10"/>
        <rFont val="Noto Sans CJK SC"/>
        <family val="2"/>
      </rPr>
      <t xml:space="preserve">閩侯四字第 </t>
    </r>
    <r>
      <rPr>
        <sz val="10"/>
        <rFont val="Arial"/>
        <family val="0"/>
        <charset val="1"/>
      </rPr>
      <t xml:space="preserve">82910 </t>
    </r>
    <r>
      <rPr>
        <sz val="10"/>
        <rFont val="Noto Sans CJK SC"/>
        <family val="2"/>
      </rPr>
      <t xml:space="preserve">號</t>
    </r>
  </si>
  <si>
    <t xml:space="preserve">https://digital.library.pitt.edu/islandora/object/pitt:31735066267877</t>
  </si>
  <si>
    <r>
      <rPr>
        <sz val="10"/>
        <rFont val="Noto Sans CJK SC"/>
        <family val="2"/>
      </rPr>
      <t xml:space="preserve">土地房產有所證福建省閩侯縣土地房產所有證第區鄉</t>
    </r>
    <r>
      <rPr>
        <sz val="10"/>
        <rFont val="Arial"/>
        <family val="0"/>
        <charset val="1"/>
      </rPr>
      <t xml:space="preserve">(</t>
    </r>
    <r>
      <rPr>
        <sz val="10"/>
        <rFont val="Noto Sans CJK SC"/>
        <family val="2"/>
      </rPr>
      <t xml:space="preserve">鎮</t>
    </r>
    <r>
      <rPr>
        <sz val="10"/>
        <rFont val="Arial"/>
        <family val="0"/>
        <charset val="1"/>
      </rPr>
      <t xml:space="preserve">)</t>
    </r>
    <r>
      <rPr>
        <sz val="10"/>
        <rFont val="Noto Sans CJK SC"/>
        <family val="2"/>
      </rPr>
      <t xml:space="preserve">村裡村居民黃生官黃寶寬黃寶寬海閩侯四字第</t>
    </r>
    <r>
      <rPr>
        <sz val="10"/>
        <rFont val="Arial"/>
        <family val="0"/>
        <charset val="1"/>
      </rPr>
      <t xml:space="preserve">82910</t>
    </r>
    <r>
      <rPr>
        <sz val="10"/>
        <rFont val="Noto Sans CJK SC"/>
        <family val="2"/>
      </rPr>
      <t xml:space="preserve">號依據中國人民政治協商會議共同綱領第二十七條「保護農民已得土地所有權」暨中華人民共和國土地改革法第三十條「土地改革完成後由政府發給土地所有證」之規定確定本戶全家所有土地共計段</t>
    </r>
    <r>
      <rPr>
        <sz val="10"/>
        <rFont val="Arial"/>
        <family val="0"/>
        <charset val="1"/>
      </rPr>
      <t xml:space="preserve">(</t>
    </r>
    <r>
      <rPr>
        <sz val="10"/>
        <rFont val="Noto Sans CJK SC"/>
        <family val="2"/>
      </rPr>
      <t xml:space="preserve">址</t>
    </r>
    <r>
      <rPr>
        <sz val="10"/>
        <rFont val="Arial"/>
        <family val="0"/>
        <charset val="1"/>
      </rPr>
      <t xml:space="preserve">)</t>
    </r>
    <r>
      <rPr>
        <sz val="10"/>
        <rFont val="Noto Sans CJK SC"/>
        <family val="2"/>
      </rPr>
      <t xml:space="preserve">肆畝壹分式陸零壹毫房產共計房屋叁間地基段</t>
    </r>
    <r>
      <rPr>
        <sz val="10"/>
        <rFont val="Arial"/>
        <family val="0"/>
        <charset val="1"/>
      </rPr>
      <t xml:space="preserve">(</t>
    </r>
    <r>
      <rPr>
        <sz val="10"/>
        <rFont val="Noto Sans CJK SC"/>
        <family val="2"/>
      </rPr>
      <t xml:space="preserve">址</t>
    </r>
    <r>
      <rPr>
        <sz val="10"/>
        <rFont val="Arial"/>
        <family val="0"/>
        <charset val="1"/>
      </rPr>
      <t xml:space="preserve">)</t>
    </r>
    <r>
      <rPr>
        <sz val="10"/>
        <rFont val="Noto Sans CJK SC"/>
        <family val="2"/>
      </rPr>
      <t xml:space="preserve">零畝零分陸釐零毫均作為非耕地段</t>
    </r>
    <r>
      <rPr>
        <sz val="10"/>
        <rFont val="Arial"/>
        <family val="0"/>
        <charset val="1"/>
      </rPr>
      <t xml:space="preserve">(</t>
    </r>
    <r>
      <rPr>
        <sz val="10"/>
        <rFont val="Noto Sans CJK SC"/>
        <family val="2"/>
      </rPr>
      <t xml:space="preserve">址</t>
    </r>
    <r>
      <rPr>
        <sz val="10"/>
        <rFont val="Arial"/>
        <family val="0"/>
        <charset val="1"/>
      </rPr>
      <t xml:space="preserve">)</t>
    </r>
    <r>
      <rPr>
        <sz val="10"/>
        <rFont val="Noto Sans CJK SC"/>
        <family val="2"/>
      </rPr>
      <t xml:space="preserve">零畝零分伍釐陸毫有產業有耕種居住典賣轉讓贈與出租等完全自由任何人不得侵犯特此證計開</t>
    </r>
  </si>
  <si>
    <t xml:space="preserve">31735066267885_001</t>
  </si>
  <si>
    <t xml:space="preserve">31735066267885</t>
  </si>
  <si>
    <t xml:space="preserve">1858</t>
  </si>
  <si>
    <t xml:space="preserve">陳士曾</t>
  </si>
  <si>
    <t xml:space="preserve">Box 1, Folder 35</t>
  </si>
  <si>
    <t xml:space="preserve">立賣斷田契</t>
  </si>
  <si>
    <t xml:space="preserve">咸豐八年</t>
  </si>
  <si>
    <t xml:space="preserve">錢票壹百叁拾千文正</t>
  </si>
  <si>
    <t xml:space="preserve">俟邑州八都富村</t>
  </si>
  <si>
    <t xml:space="preserve">烙中根</t>
  </si>
  <si>
    <t xml:space="preserve">族叔開文</t>
  </si>
  <si>
    <t xml:space="preserve">危忠高</t>
  </si>
  <si>
    <t xml:space="preserve">胞弟士美</t>
  </si>
  <si>
    <t xml:space="preserve">https://digital.library.pitt.edu/islandora/object/pitt:31735066267885</t>
  </si>
  <si>
    <t xml:space="preserve">立賣斷田契陳士曾原自己闔分份下有根面全田根參鄉坐產俟邑州八都富村地方土名過圳計官丈畝畝捌分零根掛本畝捌分都四圍四甲陳孟壽戶下銀米照縣例科派又一師土名烙中根田今因別置托中將此田參鄉賣與與堂兄士慶處永遠為業三面議定南衙銅錢票壹百叁拾千文正其錢即日收足其田永听慶翻犁畊作完根管業曾自賣斷後償足心願永掛葛藤不得別生枝節但留像曾祖遺與本別房親疏人等無干亦未曾重張典當他人財物如有來歷不明係曾承當與買主無涉兩相允願各允及悔其原契多業株連未便繳付今欲有原立賣新根面全田根田契書紙為據內有池壹口其水永听俾派足用標照驗在見胞弟士美寶咸豐八年十二月吉日立賣斷根面全田根田契陳士曾啟中人族叔開文女代字危忠高鑒永記</t>
  </si>
  <si>
    <t xml:space="preserve">31735066267893_001</t>
  </si>
  <si>
    <t xml:space="preserve">31735066267893</t>
  </si>
  <si>
    <t xml:space="preserve">Box 2, Folder 64</t>
  </si>
  <si>
    <t xml:space="preserve">價贖銀貳百兩正</t>
  </si>
  <si>
    <t xml:space="preserve">閩邑嘉崇里橫街舖惠澤境茶葉街</t>
  </si>
  <si>
    <t xml:space="preserve">友劉志潮</t>
  </si>
  <si>
    <t xml:space="preserve">方忠榮</t>
  </si>
  <si>
    <t xml:space="preserve">何鴻陞</t>
  </si>
  <si>
    <t xml:space="preserve">https://digital.library.pitt.edu/islandora/object/pitt:31735066267893</t>
  </si>
  <si>
    <t xml:space="preserve">啟立典契陳必清原名下本屋牆後空地壹所自已起蓋牆屋全座坐產閩邑嘉崇里橫街舖惠澤境茶葉街地方伍柱肆欄四面風火牆橫濶肆丈貳尺零直深伍丈伍尺零牆外空地壹所橫濶肆丈貳尺零直深壹丈零並圍牆舊荒池門位前至前面牆後止後至龔家山界榕樹止左至本屋牆外右至路樹上至後街磚尾天下至礫石柱肆基地屋內門窗戶櫺橫直樹棚地棚廊石三夾地以及等物壹切具全其出入皆由前座牆屋天井水井大廳後聽併路徑吉吉時常通行通用法至具載明白今要用托中情息典與陳必清為業三面言議今日典出牆屋價贖銀貳百兩正庫底大礙白足色足兌其銀即日隨契清全中收足其牆屋等業即歸買主梁管業收租或自已居住若租代人悉從其便面約伍年為限俟至限滿之日聽清備契面銀兩照原價贖回外再加修理銀水肆兩正如有逾限未贖聽買主泉遵投稅其房資稅耗清贖屋之日一起算還不得異說之理若風水洪福不虞無聽買主泉改式起蓋外再加展限三年以酬土木石之費清不得以屋全地半地半半為詞但此牆屋係清自已闢分份下起蓋物業與別旁親疎伯叔兄弟侄等無干並未曾重張典與他人財物如有來歷不明清自已出頭承當無涉買主泉之事兩相允愿各無翻悔巷口無憑立典契壹紙併銀吳開楊典契司單貳紙吳開成斷契司單貳紙共成伍紙統付為照光緒拾叁年拾壹月吉日立典契陳必清其後進書通行通用標照以上毀契未會繳付標照其後進書通行通用標照全室中梁氏長男鍾祥侄男應祥在見何鴻陞中見友劉志潮呂光達代筆方忠榮啟萬壽仲子</t>
  </si>
  <si>
    <t xml:space="preserve">31735066267901_001</t>
  </si>
  <si>
    <t xml:space="preserve">31735066267901</t>
  </si>
  <si>
    <t xml:space="preserve">Box 2, Folder 69</t>
  </si>
  <si>
    <t xml:space="preserve">價鏡銀玖拾捌兩正</t>
  </si>
  <si>
    <t xml:space="preserve">外甥何鴻陞</t>
  </si>
  <si>
    <t xml:space="preserve">https://digital.library.pitt.edu/islandora/object/pitt:31735066267901</t>
  </si>
  <si>
    <t xml:space="preserve">立賣斷契陳必清原閩分份下本牆屋後空地壹所自己起蓋牆屋全座坐產閩邑嘉崇里橫街舖惠澤境茶葉街地方伍梓樓欄桃四面風火牆橫潤律文式尺直深伍丈伍尺零牆外空地壹所橫潤律文式尺零直深壹丈零並圍牆蓄共坑池壹所以及匡門位前至前面牆後止後至龔家山界榕樹止左至今屋牆外右至路街上至接桁磚瓦天下至礫石柱珠地墓地屋為門竈戶橫橫直樹樓棚地棚廊石三夾地以及等物具全其出入皆由前座牆屋天井水井大廳後廳至於路徑吉去時常通行通用法至具載明白今因急需六托原中情愿永遠賣斷與陳必泉處永遠為業二面言議今日永遠賣斷出屋牆厝價鏡銀玖拾捌兩正庫法大錠白足色足兌其銀清即日全中隨契收足其牆厝屋等業即聽永遠買斷主泉永遠為業享及祖或自己居住召租他人聽從泉其便刻原此業為價過等自永遠賣斷之後清價足心愿永斷劉簾不敢言贖言凌言盡之理以及別生枝節此屋牆厝幾因年久損壞倘買永遠斷主泉拆毀改式換向起蓋添造風火牆併後空地造作聽從買斷主泉其便清而不敢啟蓋索取花紅等情暨及等如有此情清自愿出頭承當但此牆屋係清閩分份下起蓋物業與別人財物以及來歷不明各等情獎如有此情係清等出頭承當不涉永遠買斷主泉之事西相允愿各無翻悔恐口無憑立永遠賣斷契壹紙併繳典契典契內標載以上殘契遺失未曾繳付又後突然取出不地行用標照吳開揚典契司單式紙揭開成斷契司單式紙共成法紙統付為憑光緒廿年八月廿日內署註受字字標照光緒拾年拾月吉日立永遠賣斷契陳必清光緒廿年八月廿日現管陳之福有東方達光為身理賬報並無與當胎押他人財物如案驗前此契不足為憑石壽快之軒全室中梁氏日長男鍾祥徐侄男應祥在見外甥何鴻陞兄友劉志潮呂光達方忠光緒廿年八月廿日謝得本如有光緒廿年八月廿日</t>
  </si>
  <si>
    <t xml:space="preserve">31735066267919_001</t>
  </si>
  <si>
    <t xml:space="preserve">31735066267919</t>
  </si>
  <si>
    <t xml:space="preserve">Box 2, Folder 99</t>
  </si>
  <si>
    <r>
      <rPr>
        <sz val="10"/>
        <rFont val="Noto Sans CJK SC"/>
        <family val="2"/>
      </rPr>
      <t xml:space="preserve">光緒拾肆年</t>
    </r>
    <r>
      <rPr>
        <sz val="10"/>
        <rFont val="Arial"/>
        <family val="0"/>
        <charset val="1"/>
      </rPr>
      <t xml:space="preserve">; </t>
    </r>
    <r>
      <rPr>
        <sz val="10"/>
        <rFont val="Noto Sans CJK SC"/>
        <family val="2"/>
      </rPr>
      <t xml:space="preserve">中華民國貳年</t>
    </r>
  </si>
  <si>
    <r>
      <rPr>
        <sz val="10"/>
        <rFont val="Noto Sans CJK SC"/>
        <family val="2"/>
      </rPr>
      <t xml:space="preserve">價銀叁百零貳兩</t>
    </r>
    <r>
      <rPr>
        <sz val="10"/>
        <rFont val="Arial"/>
        <family val="0"/>
        <charset val="1"/>
      </rPr>
      <t xml:space="preserve">; </t>
    </r>
    <r>
      <rPr>
        <sz val="10"/>
        <rFont val="Noto Sans CJK SC"/>
        <family val="2"/>
      </rPr>
      <t xml:space="preserve">銀肆百肆拾肆元</t>
    </r>
  </si>
  <si>
    <t xml:space="preserve">閩厝縣橫街舖惠澤境</t>
  </si>
  <si>
    <t xml:space="preserve">劉志潮原價銀叁百</t>
  </si>
  <si>
    <t xml:space="preserve">驗字第壹萬肆千壹百拾玖號</t>
  </si>
  <si>
    <t xml:space="preserve">https://digital.library.pitt.edu/islandora/object/pitt:31735066267919</t>
  </si>
  <si>
    <t xml:space="preserve">斷賣契單福建國稅廳籌備處給發契單事業奉財政部電行劃一契紙章程內開本章程施行以前成立之不動產契書其未稅契均應一律限期呈驗逾限不呈驗者於訴訟時不能作為憑據一併函知司法機關認真辦理以為匿驗者戒等因奉此當經擬定分別徵收方法已稅之舊契每張收紙價壹元未稅之舊契每產價百元收紙價壹元其光復後新契已稅者不收紙價酌定正限二個月餘限兩個月逾期呈驗者分別加徵嚴罰經已電奉財政部核各照辦並通飭遵照在案今據閩厝縣業戶陳必泉於清光緒拾肆年拾月日買受陳必清墻厝全座坐落閩厝縣橫街舖惠澤境地方東至西至北至坐向橫大尺直大尺中證劉志潮原價銀叁百零貳兩申銀肆百肆拾肆元原契已稅遵章依限呈驗應納紙價壹元業已如數收訖合填契單粘連原契印給收執管業須至契單者右給業戶陳必泉准此中華民國貳年拾壹月卷拾日給驗字第壹萬肆千壹百拾玖號閩厝縣業戶陳必泉准此</t>
  </si>
  <si>
    <t xml:space="preserve">31735066267927_001</t>
  </si>
  <si>
    <t xml:space="preserve">31735066267927</t>
  </si>
  <si>
    <t xml:space="preserve">福建省福州市</t>
  </si>
  <si>
    <t xml:space="preserve">Box 4, Folder 191</t>
  </si>
  <si>
    <t xml:space="preserve">https://digital.library.pitt.edu/islandora/object/pitt:31735066267927</t>
  </si>
  <si>
    <r>
      <rPr>
        <sz val="10"/>
        <rFont val="Noto Sans CJK SC"/>
        <family val="2"/>
      </rPr>
      <t xml:space="preserve">令調派該生職稱由附件事由擬辦批示交通部公路局第三區公路管理局令令車局福州工程處見習生賴騎濤茲調派該生為本局第十六總段見習生仍暫支原薪伍拾元此令中華民國廿八年四月廿日總人</t>
    </r>
    <r>
      <rPr>
        <sz val="10"/>
        <rFont val="Arial"/>
        <family val="0"/>
        <charset val="1"/>
      </rPr>
      <t xml:space="preserve">27309</t>
    </r>
    <r>
      <rPr>
        <sz val="10"/>
        <rFont val="Noto Sans CJK SC"/>
        <family val="2"/>
      </rPr>
      <t xml:space="preserve">收文字第號局長陳錦松林印泰德林對程雲華</t>
    </r>
  </si>
  <si>
    <t xml:space="preserve">31735066267935_001</t>
  </si>
  <si>
    <t xml:space="preserve">31735066267935</t>
  </si>
  <si>
    <t xml:space="preserve">陳潮寳</t>
  </si>
  <si>
    <t xml:space="preserve">陳敦清</t>
  </si>
  <si>
    <t xml:space="preserve">Box 4, Folder 187</t>
  </si>
  <si>
    <t xml:space="preserve">戶號地類姓名住址北至南至壹畝△分</t>
  </si>
  <si>
    <t xml:space="preserve">福建省林森縣賦糧管運處印發賣契本契</t>
  </si>
  <si>
    <t xml:space="preserve">https://digital.library.pitt.edu/islandora/object/pitt:31735066267935</t>
  </si>
  <si>
    <r>
      <rPr>
        <sz val="10"/>
        <rFont val="Noto Sans CJK SC"/>
        <family val="2"/>
      </rPr>
      <t xml:space="preserve">契稅條例摘要</t>
    </r>
    <r>
      <rPr>
        <sz val="10"/>
        <rFont val="Arial"/>
        <family val="0"/>
        <charset val="1"/>
      </rPr>
      <t xml:space="preserve">(</t>
    </r>
    <r>
      <rPr>
        <sz val="10"/>
        <rFont val="Noto Sans CJK SC"/>
        <family val="2"/>
      </rPr>
      <t xml:space="preserve">一</t>
    </r>
    <r>
      <rPr>
        <sz val="10"/>
        <rFont val="Arial"/>
        <family val="0"/>
        <charset val="1"/>
      </rPr>
      <t xml:space="preserve">)</t>
    </r>
    <r>
      <rPr>
        <sz val="10"/>
        <rFont val="Noto Sans CJK SC"/>
        <family val="2"/>
      </rPr>
      <t xml:space="preserve">契稅稅率規定如左</t>
    </r>
    <r>
      <rPr>
        <sz val="10"/>
        <rFont val="Arial"/>
        <family val="0"/>
        <charset val="1"/>
      </rPr>
      <t xml:space="preserve">1.</t>
    </r>
    <r>
      <rPr>
        <sz val="10"/>
        <rFont val="Noto Sans CJK SC"/>
        <family val="2"/>
      </rPr>
      <t xml:space="preserve">賣契稅為百分之六</t>
    </r>
    <r>
      <rPr>
        <sz val="10"/>
        <rFont val="Arial"/>
        <family val="0"/>
        <charset val="1"/>
      </rPr>
      <t xml:space="preserve">2.</t>
    </r>
    <r>
      <rPr>
        <sz val="10"/>
        <rFont val="Noto Sans CJK SC"/>
        <family val="2"/>
      </rPr>
      <t xml:space="preserve">典契稅為百分之五</t>
    </r>
    <r>
      <rPr>
        <sz val="10"/>
        <rFont val="Arial"/>
        <family val="0"/>
        <charset val="1"/>
      </rPr>
      <t xml:space="preserve">3.</t>
    </r>
    <r>
      <rPr>
        <sz val="10"/>
        <rFont val="Noto Sans CJK SC"/>
        <family val="2"/>
      </rPr>
      <t xml:space="preserve">交換契稅為百分之二</t>
    </r>
    <r>
      <rPr>
        <sz val="10"/>
        <rFont val="Arial"/>
        <family val="0"/>
        <charset val="1"/>
      </rPr>
      <t xml:space="preserve">4.</t>
    </r>
    <r>
      <rPr>
        <sz val="10"/>
        <rFont val="Noto Sans CJK SC"/>
        <family val="2"/>
      </rPr>
      <t xml:space="preserve">增與契稅為百分之十</t>
    </r>
    <r>
      <rPr>
        <sz val="10"/>
        <rFont val="Arial"/>
        <family val="0"/>
        <charset val="1"/>
      </rPr>
      <t xml:space="preserve">5.</t>
    </r>
    <r>
      <rPr>
        <sz val="10"/>
        <rFont val="Noto Sans CJK SC"/>
        <family val="2"/>
      </rPr>
      <t xml:space="preserve">分割契稅為百分之六</t>
    </r>
    <r>
      <rPr>
        <sz val="10"/>
        <rFont val="Arial"/>
        <family val="0"/>
        <charset val="1"/>
      </rPr>
      <t xml:space="preserve">6.</t>
    </r>
    <r>
      <rPr>
        <sz val="10"/>
        <rFont val="Noto Sans CJK SC"/>
        <family val="2"/>
      </rPr>
      <t xml:space="preserve">占有契稅為百分之十五</t>
    </r>
    <r>
      <rPr>
        <sz val="10"/>
        <rFont val="Arial"/>
        <family val="0"/>
        <charset val="1"/>
      </rPr>
      <t xml:space="preserve">(</t>
    </r>
    <r>
      <rPr>
        <sz val="10"/>
        <rFont val="Noto Sans CJK SC"/>
        <family val="2"/>
      </rPr>
      <t xml:space="preserve">二</t>
    </r>
    <r>
      <rPr>
        <sz val="10"/>
        <rFont val="Arial"/>
        <family val="0"/>
        <charset val="1"/>
      </rPr>
      <t xml:space="preserve">)</t>
    </r>
    <r>
      <rPr>
        <sz val="10"/>
        <rFont val="Noto Sans CJK SC"/>
        <family val="2"/>
      </rPr>
      <t xml:space="preserve">契紙工本費每張納國幣四元二角二分</t>
    </r>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完納契稅期間</t>
    </r>
    <r>
      <rPr>
        <sz val="10"/>
        <rFont val="Arial"/>
        <family val="0"/>
        <charset val="1"/>
      </rPr>
      <t xml:space="preserve">1.</t>
    </r>
    <r>
      <rPr>
        <sz val="10"/>
        <rFont val="Noto Sans CJK SC"/>
        <family val="2"/>
      </rPr>
      <t xml:space="preserve">應於契約成立後三個月內為之</t>
    </r>
    <r>
      <rPr>
        <sz val="10"/>
        <rFont val="Arial"/>
        <family val="0"/>
        <charset val="1"/>
      </rPr>
      <t xml:space="preserve">2.</t>
    </r>
    <r>
      <rPr>
        <sz val="10"/>
        <rFont val="Noto Sans CJK SC"/>
        <family val="2"/>
      </rPr>
      <t xml:space="preserve">逾期不納者科以百分之十之罰鍰</t>
    </r>
    <r>
      <rPr>
        <sz val="10"/>
        <rFont val="Arial"/>
        <family val="0"/>
        <charset val="1"/>
      </rPr>
      <t xml:space="preserve">3.</t>
    </r>
    <r>
      <rPr>
        <sz val="10"/>
        <rFont val="Noto Sans CJK SC"/>
        <family val="2"/>
      </rPr>
      <t xml:space="preserve">其後再逾二個月應納稅款同數為止</t>
    </r>
    <r>
      <rPr>
        <sz val="10"/>
        <rFont val="Arial"/>
        <family val="0"/>
        <charset val="1"/>
      </rPr>
      <t xml:space="preserve">(</t>
    </r>
    <r>
      <rPr>
        <sz val="10"/>
        <rFont val="Noto Sans CJK SC"/>
        <family val="2"/>
      </rPr>
      <t xml:space="preserve">四</t>
    </r>
    <r>
      <rPr>
        <sz val="10"/>
        <rFont val="Arial"/>
        <family val="0"/>
        <charset val="1"/>
      </rPr>
      <t xml:space="preserve">)</t>
    </r>
    <r>
      <rPr>
        <sz val="10"/>
        <rFont val="Noto Sans CJK SC"/>
        <family val="2"/>
      </rPr>
      <t xml:space="preserve">置報契價除另換契補稅外並科以左列處分</t>
    </r>
    <r>
      <rPr>
        <sz val="10"/>
        <rFont val="Arial"/>
        <family val="0"/>
        <charset val="1"/>
      </rPr>
      <t xml:space="preserve">1.</t>
    </r>
    <r>
      <rPr>
        <sz val="10"/>
        <rFont val="Noto Sans CJK SC"/>
        <family val="2"/>
      </rPr>
      <t xml:space="preserve">置價未滿百分之二十者科以短納稅額之同數</t>
    </r>
    <r>
      <rPr>
        <sz val="10"/>
        <rFont val="Arial"/>
        <family val="0"/>
        <charset val="1"/>
      </rPr>
      <t xml:space="preserve">2.</t>
    </r>
    <r>
      <rPr>
        <sz val="10"/>
        <rFont val="Noto Sans CJK SC"/>
        <family val="2"/>
      </rPr>
      <t xml:space="preserve">置價百分之二十至百分之五十者科以短納稅額之二倍</t>
    </r>
    <r>
      <rPr>
        <sz val="10"/>
        <rFont val="Arial"/>
        <family val="0"/>
        <charset val="1"/>
      </rPr>
      <t xml:space="preserve">3.</t>
    </r>
    <r>
      <rPr>
        <sz val="10"/>
        <rFont val="Noto Sans CJK SC"/>
        <family val="2"/>
      </rPr>
      <t xml:space="preserve">置價百分之五十以上者科以短納稅額之二倍</t>
    </r>
    <r>
      <rPr>
        <sz val="10"/>
        <rFont val="Arial"/>
        <family val="0"/>
        <charset val="1"/>
      </rPr>
      <t xml:space="preserve">(</t>
    </r>
    <r>
      <rPr>
        <sz val="10"/>
        <rFont val="Noto Sans CJK SC"/>
        <family val="2"/>
      </rPr>
      <t xml:space="preserve">五</t>
    </r>
    <r>
      <rPr>
        <sz val="10"/>
        <rFont val="Arial"/>
        <family val="0"/>
        <charset val="1"/>
      </rPr>
      <t xml:space="preserve">)</t>
    </r>
    <r>
      <rPr>
        <sz val="10"/>
        <rFont val="Noto Sans CJK SC"/>
        <family val="2"/>
      </rPr>
      <t xml:space="preserve">鄉鎮公所監証時按契價抽取百分之二監証費福建省林森縣賦糧管運處印發賣契本契第一冊號稅契賣任手中華民國廿八年十月房屋欄數產量田賦稅額科則稅率面積至坐落戶號地類姓名住址北至南至壹畝△分△厘東至西至蓮華鄉風塘保淳村用光圳字既田陳啟流附記賣主立契日期應納契稅原契字號中華民國廿五年年十二月日陳朝賢姓名住址管長楊簽名蓋章管長楊簽名蓋章日給執照大契稅賣任手五號號稅契賣任手元角分</t>
    </r>
    <r>
      <rPr>
        <sz val="10"/>
        <rFont val="Arial"/>
        <family val="0"/>
        <charset val="1"/>
      </rPr>
      <t xml:space="preserve">(</t>
    </r>
    <r>
      <rPr>
        <sz val="10"/>
        <rFont val="Noto Sans CJK SC"/>
        <family val="2"/>
      </rPr>
      <t xml:space="preserve">以卷人稅契賣任手</t>
    </r>
    <r>
      <rPr>
        <sz val="10"/>
        <rFont val="Arial"/>
        <family val="0"/>
        <charset val="1"/>
      </rPr>
      <t xml:space="preserve">)</t>
    </r>
  </si>
  <si>
    <t xml:space="preserve">31735066267943_001</t>
  </si>
  <si>
    <t xml:space="preserve">31735066267943</t>
  </si>
  <si>
    <t xml:space="preserve">陳敬侯</t>
  </si>
  <si>
    <t xml:space="preserve">子秀</t>
  </si>
  <si>
    <t xml:space="preserve">Box 3, Folder 121</t>
  </si>
  <si>
    <r>
      <rPr>
        <sz val="10"/>
        <rFont val="Noto Sans CJK SC"/>
        <family val="2"/>
      </rPr>
      <t xml:space="preserve">乾隆二十四年</t>
    </r>
    <r>
      <rPr>
        <sz val="10"/>
        <rFont val="Arial"/>
        <family val="0"/>
        <charset val="1"/>
      </rPr>
      <t xml:space="preserve">; </t>
    </r>
    <r>
      <rPr>
        <sz val="10"/>
        <rFont val="Noto Sans CJK SC"/>
        <family val="2"/>
      </rPr>
      <t xml:space="preserve">中華民國 二十五年</t>
    </r>
  </si>
  <si>
    <t xml:space="preserve">價貳拾兩正</t>
  </si>
  <si>
    <t xml:space="preserve">嵩州三墟面積東至南至西至北至貳拾</t>
  </si>
  <si>
    <t xml:space="preserve">陸振盛</t>
  </si>
  <si>
    <t xml:space="preserve">https://digital.library.pitt.edu/islandora/object/pitt:31735066267943</t>
  </si>
  <si>
    <t xml:space="preserve">古田契稅局此係普通華民稅用紙外國人永租動產契據未經依向章聲請派委香核准勝混投稅者作為無効特此明賣新須契紙契奉今自拾貳年拾月二十日起契紙加收善後捐大洋壹元正買主姓名子秀不動產種類民田賣價貳拾兩正應納稅額叁元原與幾張立契年月日乾隆二十四年三月例則摘要一不動產之買主或承典人須於契紙成立後六個月以內赴該管徵收官署投稅一訂立不動產買契或典契時須由賣主或出典人赴該管徵收官署填具申請書請領契紙繳納契紙費大洋五角前項之契紙費五角由賣主與買主或出典人與承典人分擔一不動產之賣主或出典人請領契紙後已逾兩月其契約尚未成立者原領契紙失其効力但一因有障礙致契約不能成立時得於限內赴徵收官署申明事由酌予寬限一原領契紙因遺失及其他事由須補領或更換時仍依第四條第一項之規定繳納契紙費一不動產之買主或承典人遺契紙成立後六個月之期限不依本條例繳納契紙者除納定稅一稅額外並處以應納稅額之十倍罰金一繳納契稅時應稅契價者除另換契紙改正契約繳納稅額外並處以左列之罰金一區報契價十分之二以上未滿十分之三者短納稅額之二倍一區報契價十分之三以上未滿十分之四者短納稅額之四倍一區報契價十分之四以上未滿十分之五者短納稅額之八倍一區報契價十分之五以上者短納稅額之十六倍或由徵稅官署依所報契價收買之一契約成立後六個月之納稅期間限於遵領官契紙者適用之其私紙所書之契約若事後不一換寫契紙以通限論一賣主或出典人以私紙訂立契約者得由徵稅官署處以五元以上五十元以下之罰金一逾限未稅之契訴訟時無憑證之效力中華民國二十五年六月廿五日賣主陳敬侯中人陸振盛坐落嵩州三墟面積東至南至西至北至貳拾兩正縣給</t>
  </si>
  <si>
    <t xml:space="preserve">31735066267976_001</t>
  </si>
  <si>
    <t xml:space="preserve">31735066267976</t>
  </si>
  <si>
    <t xml:space="preserve">1837</t>
  </si>
  <si>
    <t xml:space="preserve">義容</t>
  </si>
  <si>
    <t xml:space="preserve">Box 1, Folder 24-1</t>
  </si>
  <si>
    <t xml:space="preserve">道光拾柒年</t>
  </si>
  <si>
    <t xml:space="preserve">https://digital.library.pitt.edu/islandora/object/pitt:31735066267976</t>
  </si>
  <si>
    <t xml:space="preserve">道光拾柒年拾月吉日立</t>
  </si>
  <si>
    <t xml:space="preserve">31735066267976_002</t>
  </si>
  <si>
    <t xml:space="preserve">屋宇</t>
  </si>
  <si>
    <t xml:space="preserve">蓋聞父子主恩當盡慈愛兄弟貴和宜防爭競此固龐淳之俗長厚之風也予克勤克儉不辭胼胝之勞寸積累成幸有資餘之俗喜諸子長大成家立業即桂馥蘭馨亦可預卜矣吾思九世同居千載美談百口共嘆古今稀有况家事耗繁甚艱不若遍請宗親公見有屋宇田業拈閭為定分立詩舊易禮春秋六房各獎經理爾兄弟心服而爭端可塞也但父外有養膳田開列于後自分之後各置己業不得混爭念創業維艱思守成不易愛以為序</t>
  </si>
  <si>
    <t xml:space="preserve">31735066267976_003</t>
  </si>
  <si>
    <t xml:space="preserve">十七都曲山地</t>
  </si>
  <si>
    <t xml:space="preserve">大壩</t>
  </si>
  <si>
    <t xml:space="preserve">父抽養膳田畝一抽養膳民田根壺號坐產十七都曲山地土名大壩等處受種貳斗載租早米捌斗伍管禾米肆斗納在縣中候處</t>
  </si>
  <si>
    <t xml:space="preserve">31735066267976_004</t>
  </si>
  <si>
    <t xml:space="preserve">詩房一分上層本層左邊正橫層第直前畫橙</t>
  </si>
  <si>
    <t xml:space="preserve">31735066267976_005</t>
  </si>
  <si>
    <t xml:space="preserve">書房一分上厝本厝左邊正橫厝第直後壹櫳</t>
  </si>
  <si>
    <t xml:space="preserve">31735066267976_006</t>
  </si>
  <si>
    <t xml:space="preserve">易房一分上厝本厝左邊正橫厝第貳直前壹楹</t>
  </si>
  <si>
    <t xml:space="preserve">31735066267976_007</t>
  </si>
  <si>
    <t xml:space="preserve">禮房一分上厝本厝左邊正橫厝第貳直後壹櫓</t>
  </si>
  <si>
    <t xml:space="preserve">31735066267976_008</t>
  </si>
  <si>
    <t xml:space="preserve">春房一分上厝本厝左邊正橫厝第直前壹櫓</t>
  </si>
  <si>
    <t xml:space="preserve">31735066267976_009</t>
  </si>
  <si>
    <t xml:space="preserve">秋房一分上厝本厝左邊正橫厝第直後壘樫</t>
  </si>
  <si>
    <t xml:space="preserve">31735066267976_010</t>
  </si>
  <si>
    <t xml:space="preserve">道光拾柒年拾月日主閤父義容寶詩房長男良和書房次男良泰易房三男良吉禮房四男良祿春房五男良科秋房六男良提公見叔義安兄良光母舅王繩喜</t>
  </si>
  <si>
    <t xml:space="preserve">31735066267976_011</t>
  </si>
  <si>
    <t xml:space="preserve">叔公陳明</t>
  </si>
  <si>
    <t xml:space="preserve">表叔毛元斯代筆叔公陳明金稷</t>
  </si>
  <si>
    <t xml:space="preserve">31735066268024_001</t>
  </si>
  <si>
    <t xml:space="preserve">31735066268024</t>
  </si>
  <si>
    <t xml:space="preserve">1978</t>
  </si>
  <si>
    <t xml:space="preserve">順昌</t>
  </si>
  <si>
    <t xml:space="preserve">福建省順昌縣</t>
  </si>
  <si>
    <r>
      <rPr>
        <sz val="10"/>
        <rFont val="Noto Sans CJK SC"/>
        <family val="2"/>
      </rPr>
      <t xml:space="preserve">楊世平 </t>
    </r>
    <r>
      <rPr>
        <sz val="10"/>
        <rFont val="Arial"/>
        <family val="0"/>
        <charset val="1"/>
      </rPr>
      <t xml:space="preserve">| </t>
    </r>
    <r>
      <rPr>
        <sz val="10"/>
        <rFont val="Noto Sans CJK SC"/>
        <family val="2"/>
      </rPr>
      <t xml:space="preserve">陳道祥</t>
    </r>
  </si>
  <si>
    <t xml:space="preserve">Box 4, Folder 210</t>
  </si>
  <si>
    <t xml:space="preserve">顺昌县元坑公社红星造纸厂用笺</t>
  </si>
  <si>
    <t xml:space="preserve">https://digital.library.pitt.edu/islandora/object/pitt:31735066268024</t>
  </si>
  <si>
    <r>
      <rPr>
        <sz val="10"/>
        <rFont val="Noto Sans CJK SC"/>
        <family val="2"/>
      </rPr>
      <t xml:space="preserve">顺昌县元坑公社红星造纸厂用笺此照兹有本厂接平陈直祥二同志因云云差前代新办机器由布治金有关单位给予照顾安排为荷。此致收礼</t>
    </r>
    <r>
      <rPr>
        <sz val="10"/>
        <rFont val="Arial"/>
        <family val="0"/>
        <charset val="1"/>
      </rPr>
      <t xml:space="preserve">(</t>
    </r>
    <r>
      <rPr>
        <sz val="10"/>
        <rFont val="Noto Sans CJK SC"/>
        <family val="2"/>
      </rPr>
      <t xml:space="preserve">有效期</t>
    </r>
    <r>
      <rPr>
        <sz val="10"/>
        <rFont val="Arial"/>
        <family val="0"/>
        <charset val="1"/>
      </rPr>
      <t xml:space="preserve">15</t>
    </r>
    <r>
      <rPr>
        <sz val="10"/>
        <rFont val="Noto Sans CJK SC"/>
        <family val="2"/>
      </rPr>
      <t xml:space="preserve">天</t>
    </r>
    <r>
      <rPr>
        <sz val="10"/>
        <rFont val="Arial"/>
        <family val="0"/>
        <charset val="1"/>
      </rPr>
      <t xml:space="preserve">)</t>
    </r>
    <r>
      <rPr>
        <sz val="10"/>
        <rFont val="Noto Sans CJK SC"/>
        <family val="2"/>
      </rPr>
      <t xml:space="preserve">顺昌县元坑公社红星造纸厂啟</t>
    </r>
    <r>
      <rPr>
        <sz val="10"/>
        <rFont val="Arial"/>
        <family val="0"/>
        <charset val="1"/>
      </rPr>
      <t xml:space="preserve">78.5.</t>
    </r>
    <r>
      <rPr>
        <sz val="10"/>
        <rFont val="Noto Sans CJK SC"/>
        <family val="2"/>
      </rPr>
      <t xml:space="preserve">年月日</t>
    </r>
  </si>
  <si>
    <t xml:space="preserve">31735066268032_001</t>
  </si>
  <si>
    <t xml:space="preserve">31735066268032</t>
  </si>
  <si>
    <t xml:space="preserve">Box 4, Folder 214</t>
  </si>
  <si>
    <t xml:space="preserve">https://digital.library.pitt.edu/islandora/object/pitt:31735066268032</t>
  </si>
  <si>
    <t xml:space="preserve">庆贺用品连庄鞭炮闽侯县上街公社沙堤鞭炮厂出品振奋人心提高革命干劲团结起来争取更大胜利发扬正气祛除山岚瘴气厂址：福建省闽侯县上街公社沙堤大队连庄鞭炮</t>
  </si>
  <si>
    <t xml:space="preserve">31735066268040_001</t>
  </si>
  <si>
    <t xml:space="preserve">31735066268040</t>
  </si>
  <si>
    <t xml:space="preserve">1869/1899</t>
  </si>
  <si>
    <t xml:space="preserve">阮承苑</t>
  </si>
  <si>
    <r>
      <rPr>
        <sz val="10"/>
        <rFont val="Noto Sans CJK SC"/>
        <family val="2"/>
      </rPr>
      <t xml:space="preserve">黃象智 </t>
    </r>
    <r>
      <rPr>
        <sz val="10"/>
        <rFont val="Arial"/>
        <family val="0"/>
        <charset val="1"/>
      </rPr>
      <t xml:space="preserve">| </t>
    </r>
    <r>
      <rPr>
        <sz val="10"/>
        <rFont val="Noto Sans CJK SC"/>
        <family val="2"/>
      </rPr>
      <t xml:space="preserve">劉貞文</t>
    </r>
  </si>
  <si>
    <r>
      <rPr>
        <sz val="10"/>
        <rFont val="Noto Sans CJK SC"/>
        <family val="2"/>
      </rPr>
      <t xml:space="preserve">劉貞文 </t>
    </r>
    <r>
      <rPr>
        <sz val="10"/>
        <rFont val="Arial"/>
        <family val="0"/>
        <charset val="1"/>
      </rPr>
      <t xml:space="preserve">| </t>
    </r>
    <r>
      <rPr>
        <sz val="10"/>
        <rFont val="Noto Sans CJK SC"/>
        <family val="2"/>
      </rPr>
      <t xml:space="preserve">陸元盛</t>
    </r>
  </si>
  <si>
    <t xml:space="preserve">Box 1, Folder 47</t>
  </si>
  <si>
    <t xml:space="preserve">黃象智</t>
  </si>
  <si>
    <t xml:space="preserve">浙山村</t>
  </si>
  <si>
    <t xml:space="preserve">王清香</t>
  </si>
  <si>
    <t xml:space="preserve">堂叔</t>
  </si>
  <si>
    <t xml:space="preserve">https://digital.library.pitt.edu/islandora/object/pitt:31735066268040</t>
  </si>
  <si>
    <t xml:space="preserve">立賣斷山契黃象智全叔景元全弟象炬全有祖手置有本都場壹所坐址浙山村地方去名俗呼小溪南山境大崗其四至上至佔各下至田左至何家山右至利明山為界四至俱載明白今因無伐應因自情忽托中引在本都浙山村劉貞文兄弟邊入頭承賣為業番鹿樹木全中三面言議時值山價伐肆什父正其伐是智叔侄親收足訖無少隻父其山自賣之後隨契即退任與貞文兄弟永遠管業番鹿不敢異言與黃家子係無干倘有來歷不明是智叔侄出抵下涉貞文之事中間清楚並無抑勒俾算情由兩家允慰各無反悔今欲有憑立賣斷山契山弟為照其原契與別項相連難以閱切更有承山批山弟未繳向後堅出不敢行用再照外加伐五日父同治八年十一月立賣斷山契黃象智象坤象炬象元象蟾象運全弟象坤象炬象元象蟾象運全叔景榕象元象蟾象運執筆叔景元象元象蟾象運全弟象炬象元象蟾象運在見堂叔象蟾象運中人王清香人王王記</t>
  </si>
  <si>
    <t xml:space="preserve">31735066268040_002</t>
  </si>
  <si>
    <t xml:space="preserve">立當山契</t>
  </si>
  <si>
    <t xml:space="preserve">劉貞文</t>
  </si>
  <si>
    <t xml:space="preserve">錢肆仟文</t>
  </si>
  <si>
    <t xml:space="preserve">本屬小溪</t>
  </si>
  <si>
    <t xml:space="preserve">俗叫大崗左至利裕</t>
  </si>
  <si>
    <r>
      <rPr>
        <sz val="10"/>
        <rFont val="Noto Sans CJK SC"/>
        <family val="2"/>
      </rPr>
      <t xml:space="preserve">胞姪</t>
    </r>
    <r>
      <rPr>
        <sz val="10"/>
        <rFont val="Arial"/>
        <family val="0"/>
        <charset val="1"/>
      </rPr>
      <t xml:space="preserve">; </t>
    </r>
    <r>
      <rPr>
        <sz val="10"/>
        <rFont val="Noto Sans CJK SC"/>
        <family val="2"/>
      </rPr>
      <t xml:space="preserve">堂弟</t>
    </r>
  </si>
  <si>
    <t xml:space="preserve">立當山契劉貞文于上年間祖手有山塲壺所坐址本屬小溪地方土名俗叫大崗左至利裕山右上至貞旺山右下至田壠上至崗下至田為界四至俱載明白歷管無異今因無錢應用自情愿央托中向在本鄉陸處元盛邊當借出錢肆仟文本正全中三面言議利息加貳伍分長年算還俟至來年正月末備办本利已足送還不敢負欠如或負欠即將所當大崗山塲壺所與盛前去留櫟松杉木管業任山內有老楔拾根與盛留櫟鹿掌管出批買賣且文不敢霸阻異言等情其山中間愿當愿受並無抑勒俾算情由倘有來歷不明係文出頭抵當不涉盛之事兩家允愿各無反悔今欲有憑立當山契壺紙光緒拾捌年十月式月日立當山契劉貞文在見胞姪長清知見堂弟貞銓代筆中吳利潤立</t>
  </si>
  <si>
    <t xml:space="preserve">31735066268040_003</t>
  </si>
  <si>
    <t xml:space="preserve">尾契</t>
  </si>
  <si>
    <t xml:space="preserve">31735068223258_001</t>
  </si>
  <si>
    <t xml:space="preserve">31735068223258</t>
  </si>
  <si>
    <t xml:space="preserve">1850/1923</t>
  </si>
  <si>
    <t xml:space="preserve">游振梅</t>
  </si>
  <si>
    <t xml:space="preserve">楊坤貞</t>
  </si>
  <si>
    <t xml:space="preserve">Box 1, Folder 33A</t>
  </si>
  <si>
    <r>
      <rPr>
        <sz val="10"/>
        <rFont val="Noto Sans CJK SC"/>
        <family val="2"/>
      </rPr>
      <t xml:space="preserve">驗 稅 六 阻 </t>
    </r>
    <r>
      <rPr>
        <sz val="10"/>
        <rFont val="Arial"/>
        <family val="0"/>
        <charset val="1"/>
      </rPr>
      <t xml:space="preserve">| </t>
    </r>
    <r>
      <rPr>
        <sz val="10"/>
        <rFont val="Noto Sans CJK SC"/>
        <family val="2"/>
      </rPr>
      <t xml:space="preserve">福建財政廳</t>
    </r>
  </si>
  <si>
    <t xml:space="preserve">https://digital.library.pitt.edu/islandora/object/pitt:31735068223258</t>
  </si>
  <si>
    <t xml:space="preserve">驗稅六阻福建財政廳為</t>
  </si>
  <si>
    <t xml:space="preserve">31735068223266_001</t>
  </si>
  <si>
    <t xml:space="preserve">31735068223266</t>
  </si>
  <si>
    <t xml:space="preserve">1864</t>
  </si>
  <si>
    <t xml:space="preserve">吳開揚</t>
  </si>
  <si>
    <t xml:space="preserve">陳世旺</t>
  </si>
  <si>
    <t xml:space="preserve">Box 1, Folder 39A</t>
  </si>
  <si>
    <t xml:space="preserve">https://digital.library.pitt.edu/islandora/object/pitt:31735068223266</t>
  </si>
  <si>
    <r>
      <rPr>
        <sz val="10"/>
        <rFont val="Noto Sans CJK SC"/>
        <family val="2"/>
      </rPr>
      <t xml:space="preserve">契尾查得此項契尾係由河南布政使司</t>
    </r>
    <r>
      <rPr>
        <sz val="10"/>
        <rFont val="Arial"/>
        <family val="0"/>
        <charset val="1"/>
      </rPr>
      <t xml:space="preserve">...</t>
    </r>
    <r>
      <rPr>
        <sz val="10"/>
        <rFont val="Noto Sans CJK SC"/>
        <family val="2"/>
      </rPr>
      <t xml:space="preserve">查得此項契尾係由河南布政使司</t>
    </r>
    <r>
      <rPr>
        <sz val="10"/>
        <rFont val="Arial"/>
        <family val="0"/>
        <charset val="1"/>
      </rPr>
      <t xml:space="preserve">...</t>
    </r>
    <r>
      <rPr>
        <sz val="10"/>
        <rFont val="Noto Sans CJK SC"/>
        <family val="2"/>
      </rPr>
      <t xml:space="preserve">布字肆千壹百柒拾貳號右</t>
    </r>
    <r>
      <rPr>
        <sz val="10"/>
        <rFont val="Arial"/>
        <family val="0"/>
        <charset val="1"/>
      </rPr>
      <t xml:space="preserve">...</t>
    </r>
    <r>
      <rPr>
        <sz val="10"/>
        <rFont val="Noto Sans CJK SC"/>
        <family val="2"/>
      </rPr>
      <t xml:space="preserve">同治元年捌月計開葉戶陳世旺</t>
    </r>
    <r>
      <rPr>
        <sz val="10"/>
        <rFont val="Arial"/>
        <family val="0"/>
        <charset val="1"/>
      </rPr>
      <t xml:space="preserve">...</t>
    </r>
    <r>
      <rPr>
        <sz val="10"/>
        <rFont val="Noto Sans CJK SC"/>
        <family val="2"/>
      </rPr>
      <t xml:space="preserve">璽錄此同治元年</t>
    </r>
    <r>
      <rPr>
        <sz val="10"/>
        <rFont val="Arial"/>
        <family val="0"/>
        <charset val="1"/>
      </rPr>
      <t xml:space="preserve">...</t>
    </r>
  </si>
  <si>
    <t xml:space="preserve">31735068223290_001</t>
  </si>
  <si>
    <t xml:space="preserve">31735068223290</t>
  </si>
  <si>
    <t xml:space="preserve">1889/1890</t>
  </si>
  <si>
    <t xml:space="preserve">高金亮</t>
  </si>
  <si>
    <t xml:space="preserve">Box 2, Folder 70A</t>
  </si>
  <si>
    <t xml:space="preserve">光緒拾伍年</t>
  </si>
  <si>
    <t xml:space="preserve">https://digital.library.pitt.edu/islandora/object/pitt:31735068223290</t>
  </si>
  <si>
    <r>
      <rPr>
        <sz val="10"/>
        <rFont val="Noto Sans CJK SC"/>
        <family val="2"/>
      </rPr>
      <t xml:space="preserve">契尾光緒</t>
    </r>
    <r>
      <rPr>
        <sz val="10"/>
        <rFont val="Arial"/>
        <family val="0"/>
        <charset val="1"/>
      </rPr>
      <t xml:space="preserve">...</t>
    </r>
    <r>
      <rPr>
        <sz val="10"/>
        <rFont val="Noto Sans CJK SC"/>
        <family val="2"/>
      </rPr>
      <t xml:space="preserve">萬曆</t>
    </r>
    <r>
      <rPr>
        <sz val="10"/>
        <rFont val="Arial"/>
        <family val="0"/>
        <charset val="1"/>
      </rPr>
      <t xml:space="preserve">...Largecharacters:</t>
    </r>
    <r>
      <rPr>
        <sz val="10"/>
        <rFont val="Noto Sans CJK SC"/>
        <family val="2"/>
      </rPr>
      <t xml:space="preserve">承保人光緒拾伍年拾月吉日立賣斷高金亮代筆</t>
    </r>
    <r>
      <rPr>
        <sz val="10"/>
        <rFont val="Arial"/>
        <family val="0"/>
        <charset val="1"/>
      </rPr>
      <t xml:space="preserve">...</t>
    </r>
  </si>
  <si>
    <t xml:space="preserve">31735068223308_001</t>
  </si>
  <si>
    <t xml:space="preserve">31735068223308</t>
  </si>
  <si>
    <t xml:space="preserve">1889/1897</t>
  </si>
  <si>
    <t xml:space="preserve">Box 2, Folder 70B</t>
  </si>
  <si>
    <t xml:space="preserve">張鈐</t>
  </si>
  <si>
    <t xml:space="preserve">https://digital.library.pitt.edu/islandora/object/pitt:31735068223308</t>
  </si>
  <si>
    <t xml:space="preserve">立賣契張鈐承嗣父遺下園分係下有厝屋兩棟三柱式牆上有標樣碑下有礫石地基地內有門牌戶稱橫結俱全左至鄭家橋右至游家路前至鄭家營後至鄭家橋六至俱載明白產產圖邑加崇里橫山舖秋龍社地才歷掌子無異今因別用將此厝屋託中四賣與鄧道明愛永遠為業三面言議即日得訖賣西厝屋</t>
  </si>
  <si>
    <t xml:space="preserve">31735068223316_001</t>
  </si>
  <si>
    <t xml:space="preserve">31735068223316</t>
  </si>
  <si>
    <t xml:space="preserve">秋意軒老人會</t>
  </si>
  <si>
    <t xml:space="preserve">Box 2, Folder 83A</t>
  </si>
  <si>
    <t xml:space="preserve">光緒貳拾伍年</t>
  </si>
  <si>
    <t xml:space="preserve">鄒先燕</t>
  </si>
  <si>
    <t xml:space="preserve">和意祈老人舍</t>
  </si>
  <si>
    <t xml:space="preserve">之伊細</t>
  </si>
  <si>
    <t xml:space="preserve">李松軒</t>
  </si>
  <si>
    <t xml:space="preserve">表弟黃公鈞</t>
  </si>
  <si>
    <t xml:space="preserve">https://digital.library.pitt.edu/islandora/object/pitt:31735068223316</t>
  </si>
  <si>
    <t xml:space="preserve">立賣契鄒先燕水父手置原有厝屋并柱式棚排等處共四式坡上有標標磚瓦上有天至天下至地是地確石地之內有打窓戶竊地梓板揭一切俱全橫闊式丈式尺零直深事丈肆尺零左至鄰家屋右至毛家路前鄰至鄰家簷坪後至蔴家牆平六至俱俱明白厝角水井通用座座潤邑嘉崇里文山鋪秋就社地方今因要用托中賣與和意祈老人舍處永遠為業有日三面言像賣與等屋供庫平銀事於肆兩正即日隨契收足其厝所憑買主或自己居住或租他人憑從其便賣自賣之後併足心愿永斷葛藤但此厝係父自己手置與親疎伯叔兄弟侄無干並未曾重託典當他人財物之理以及未歷不明各等情如有此情係賣出承承當與買主無涉之事不得異說各無反悔今欲有憑立賣契事紙並簽印之原契事紙單紙共四張付執為憑左見表弟黃公鈞光緒貳拾伍年閏捌月日立賣契鄒先燕中人之伊細代筆李松軒張人下粉回</t>
  </si>
  <si>
    <t xml:space="preserve">31735068223324_001</t>
  </si>
  <si>
    <t xml:space="preserve">31735068223324</t>
  </si>
  <si>
    <t xml:space="preserve">1906/1955</t>
  </si>
  <si>
    <t xml:space="preserve">郭成亮</t>
  </si>
  <si>
    <t xml:space="preserve">王駿發</t>
  </si>
  <si>
    <t xml:space="preserve">Box 2, Folder 88A</t>
  </si>
  <si>
    <t xml:space="preserve">https://digital.library.pitt.edu/islandora/object/pitt:31735068223324</t>
  </si>
  <si>
    <r>
      <rPr>
        <sz val="10"/>
        <rFont val="Noto Sans CJK SC"/>
        <family val="2"/>
      </rPr>
      <t xml:space="preserve">此乃座座在通府府署所</t>
    </r>
    <r>
      <rPr>
        <sz val="10"/>
        <rFont val="Arial"/>
        <family val="0"/>
        <charset val="1"/>
      </rPr>
      <t xml:space="preserve">...</t>
    </r>
    <r>
      <rPr>
        <sz val="10"/>
        <rFont val="Noto Sans CJK SC"/>
        <family val="2"/>
      </rPr>
      <t xml:space="preserve">地方坐西向東其座上至橫桁脚尾天天下至</t>
    </r>
    <r>
      <rPr>
        <sz val="10"/>
        <rFont val="Arial"/>
        <family val="0"/>
        <charset val="1"/>
      </rPr>
      <t xml:space="preserve">...</t>
    </r>
    <r>
      <rPr>
        <sz val="10"/>
        <rFont val="Noto Sans CJK SC"/>
        <family val="2"/>
      </rPr>
      <t xml:space="preserve">基地前至天井後至牆左至王家天井右至盧家屋</t>
    </r>
    <r>
      <rPr>
        <sz val="10"/>
        <rFont val="Arial"/>
        <family val="0"/>
        <charset val="1"/>
      </rPr>
      <t xml:space="preserve">...</t>
    </r>
    <r>
      <rPr>
        <sz val="10"/>
        <rFont val="Noto Sans CJK SC"/>
        <family val="2"/>
      </rPr>
      <t xml:space="preserve">通行通用其屋內門窗戶廊廊在一切俱全其六至俱備</t>
    </r>
    <r>
      <rPr>
        <sz val="10"/>
        <rFont val="Arial"/>
        <family val="0"/>
        <charset val="1"/>
      </rPr>
      <t xml:space="preserve">...</t>
    </r>
    <r>
      <rPr>
        <sz val="10"/>
        <rFont val="Noto Sans CJK SC"/>
        <family val="2"/>
      </rPr>
      <t xml:space="preserve">白出入門出水井無礙為通行通用內用口連半共將此屋</t>
    </r>
    <r>
      <rPr>
        <sz val="10"/>
        <rFont val="Arial"/>
        <family val="0"/>
        <charset val="1"/>
      </rPr>
      <t xml:space="preserve">...</t>
    </r>
    <r>
      <rPr>
        <sz val="10"/>
        <rFont val="Noto Sans CJK SC"/>
        <family val="2"/>
      </rPr>
      <t xml:space="preserve">凡中東斷與光緒</t>
    </r>
    <r>
      <rPr>
        <sz val="10"/>
        <rFont val="Arial"/>
        <family val="0"/>
        <charset val="1"/>
      </rPr>
      <t xml:space="preserve">...</t>
    </r>
    <r>
      <rPr>
        <sz val="10"/>
        <rFont val="Noto Sans CJK SC"/>
        <family val="2"/>
      </rPr>
      <t xml:space="preserve">林玉明</t>
    </r>
    <r>
      <rPr>
        <sz val="10"/>
        <rFont val="Arial"/>
        <family val="0"/>
        <charset val="1"/>
      </rPr>
      <t xml:space="preserve">...</t>
    </r>
    <r>
      <rPr>
        <sz val="10"/>
        <rFont val="Noto Sans CJK SC"/>
        <family val="2"/>
      </rPr>
      <t xml:space="preserve">代年</t>
    </r>
    <r>
      <rPr>
        <sz val="10"/>
        <rFont val="Arial"/>
        <family val="0"/>
        <charset val="1"/>
      </rPr>
      <t xml:space="preserve">...</t>
    </r>
    <r>
      <rPr>
        <sz val="10"/>
        <rFont val="Noto Sans CJK SC"/>
        <family val="2"/>
      </rPr>
      <t xml:space="preserve">時</t>
    </r>
    <r>
      <rPr>
        <sz val="10"/>
        <rFont val="Arial"/>
        <family val="0"/>
        <charset val="1"/>
      </rPr>
      <t xml:space="preserve">...</t>
    </r>
    <r>
      <rPr>
        <sz val="10"/>
        <rFont val="Noto Sans CJK SC"/>
        <family val="2"/>
      </rPr>
      <t xml:space="preserve">代年</t>
    </r>
    <r>
      <rPr>
        <sz val="10"/>
        <rFont val="Arial"/>
        <family val="0"/>
        <charset val="1"/>
      </rPr>
      <t xml:space="preserve">...</t>
    </r>
    <r>
      <rPr>
        <sz val="10"/>
        <rFont val="Noto Sans CJK SC"/>
        <family val="2"/>
      </rPr>
      <t xml:space="preserve">時</t>
    </r>
    <r>
      <rPr>
        <sz val="10"/>
        <rFont val="Arial"/>
        <family val="0"/>
        <charset val="1"/>
      </rPr>
      <t xml:space="preserve">...</t>
    </r>
    <r>
      <rPr>
        <sz val="10"/>
        <rFont val="Noto Sans CJK SC"/>
        <family val="2"/>
      </rPr>
      <t xml:space="preserve">代年</t>
    </r>
    <r>
      <rPr>
        <sz val="10"/>
        <rFont val="Arial"/>
        <family val="0"/>
        <charset val="1"/>
      </rPr>
      <t xml:space="preserve">...</t>
    </r>
    <r>
      <rPr>
        <sz val="10"/>
        <rFont val="Noto Sans CJK SC"/>
        <family val="2"/>
      </rPr>
      <t xml:space="preserve">時</t>
    </r>
    <r>
      <rPr>
        <sz val="10"/>
        <rFont val="Arial"/>
        <family val="0"/>
        <charset val="1"/>
      </rPr>
      <t xml:space="preserve">...</t>
    </r>
    <r>
      <rPr>
        <sz val="10"/>
        <rFont val="Noto Sans CJK SC"/>
        <family val="2"/>
      </rPr>
      <t xml:space="preserve">光緒</t>
    </r>
    <r>
      <rPr>
        <sz val="10"/>
        <rFont val="Arial"/>
        <family val="0"/>
        <charset val="1"/>
      </rPr>
      <t xml:space="preserve">...</t>
    </r>
    <r>
      <rPr>
        <sz val="10"/>
        <rFont val="Noto Sans CJK SC"/>
        <family val="2"/>
      </rPr>
      <t xml:space="preserve">立賣斷契成</t>
    </r>
    <r>
      <rPr>
        <sz val="10"/>
        <rFont val="Arial"/>
        <family val="0"/>
        <charset val="1"/>
      </rPr>
      <t xml:space="preserve">......</t>
    </r>
    <r>
      <rPr>
        <sz val="10"/>
        <rFont val="Noto Sans CJK SC"/>
        <family val="2"/>
      </rPr>
      <t xml:space="preserve">林玉明</t>
    </r>
    <r>
      <rPr>
        <sz val="10"/>
        <rFont val="Arial"/>
        <family val="0"/>
        <charset val="1"/>
      </rPr>
      <t xml:space="preserve">...</t>
    </r>
    <r>
      <rPr>
        <sz val="10"/>
        <rFont val="Noto Sans CJK SC"/>
        <family val="2"/>
      </rPr>
      <t xml:space="preserve">代年</t>
    </r>
    <r>
      <rPr>
        <sz val="10"/>
        <rFont val="Arial"/>
        <family val="0"/>
        <charset val="1"/>
      </rPr>
      <t xml:space="preserve">...</t>
    </r>
    <r>
      <rPr>
        <sz val="10"/>
        <rFont val="Noto Sans CJK SC"/>
        <family val="2"/>
      </rPr>
      <t xml:space="preserve">時</t>
    </r>
    <r>
      <rPr>
        <sz val="10"/>
        <rFont val="Arial"/>
        <family val="0"/>
        <charset val="1"/>
      </rPr>
      <t xml:space="preserve">...</t>
    </r>
    <r>
      <rPr>
        <sz val="10"/>
        <rFont val="Noto Sans CJK SC"/>
        <family val="2"/>
      </rPr>
      <t xml:space="preserve">代年</t>
    </r>
    <r>
      <rPr>
        <sz val="10"/>
        <rFont val="Arial"/>
        <family val="0"/>
        <charset val="1"/>
      </rPr>
      <t xml:space="preserve">...</t>
    </r>
    <r>
      <rPr>
        <sz val="10"/>
        <rFont val="Noto Sans CJK SC"/>
        <family val="2"/>
      </rPr>
      <t xml:space="preserve">時</t>
    </r>
    <r>
      <rPr>
        <sz val="10"/>
        <rFont val="Arial"/>
        <family val="0"/>
        <charset val="1"/>
      </rPr>
      <t xml:space="preserve">...</t>
    </r>
    <r>
      <rPr>
        <sz val="10"/>
        <rFont val="Noto Sans CJK SC"/>
        <family val="2"/>
      </rPr>
      <t xml:space="preserve">代年</t>
    </r>
    <r>
      <rPr>
        <sz val="10"/>
        <rFont val="Arial"/>
        <family val="0"/>
        <charset val="1"/>
      </rPr>
      <t xml:space="preserve">...</t>
    </r>
    <r>
      <rPr>
        <sz val="10"/>
        <rFont val="Noto Sans CJK SC"/>
        <family val="2"/>
      </rPr>
      <t xml:space="preserve">時</t>
    </r>
    <r>
      <rPr>
        <sz val="10"/>
        <rFont val="Arial"/>
        <family val="0"/>
        <charset val="1"/>
      </rPr>
      <t xml:space="preserve">...</t>
    </r>
    <r>
      <rPr>
        <sz val="10"/>
        <rFont val="Noto Sans CJK SC"/>
        <family val="2"/>
      </rPr>
      <t xml:space="preserve">契</t>
    </r>
  </si>
  <si>
    <t xml:space="preserve">31735068223332_001</t>
  </si>
  <si>
    <t xml:space="preserve">31735068223332</t>
  </si>
  <si>
    <t xml:space="preserve">1906/1921</t>
  </si>
  <si>
    <t xml:space="preserve">福建閩侯縣</t>
  </si>
  <si>
    <t xml:space="preserve">Box 2, Folder 88B</t>
  </si>
  <si>
    <r>
      <rPr>
        <sz val="10"/>
        <rFont val="Noto Sans CJK SC"/>
        <family val="2"/>
      </rPr>
      <t xml:space="preserve">中華民國十年</t>
    </r>
    <r>
      <rPr>
        <sz val="10"/>
        <rFont val="Arial"/>
        <family val="0"/>
        <charset val="1"/>
      </rPr>
      <t xml:space="preserve">; </t>
    </r>
    <r>
      <rPr>
        <sz val="10"/>
        <rFont val="Noto Sans CJK SC"/>
        <family val="2"/>
      </rPr>
      <t xml:space="preserve">光緒二十六年</t>
    </r>
  </si>
  <si>
    <t xml:space="preserve">賣 契 要 摘 則 例</t>
  </si>
  <si>
    <t xml:space="preserve">https://digital.library.pitt.edu/islandora/object/pitt:31735068223332</t>
  </si>
  <si>
    <t xml:space="preserve">賣契要摘則例中華民國十年四月一日買主姓名賣主姓名不動產種類應納稅額價額原契幾張光緒二十六年</t>
  </si>
  <si>
    <t xml:space="preserve">31735068223357_001</t>
  </si>
  <si>
    <t xml:space="preserve">31735068223357</t>
  </si>
  <si>
    <t xml:space="preserve">方兆揚</t>
  </si>
  <si>
    <t xml:space="preserve">方亨猷</t>
  </si>
  <si>
    <t xml:space="preserve">Box 2, Folder 93A</t>
  </si>
  <si>
    <r>
      <rPr>
        <sz val="10"/>
        <rFont val="Noto Sans CJK SC"/>
        <family val="2"/>
      </rPr>
      <t xml:space="preserve">宣統二年</t>
    </r>
    <r>
      <rPr>
        <sz val="10"/>
        <rFont val="Arial"/>
        <family val="0"/>
        <charset val="1"/>
      </rPr>
      <t xml:space="preserve">; </t>
    </r>
    <r>
      <rPr>
        <sz val="10"/>
        <rFont val="Noto Sans CJK SC"/>
        <family val="2"/>
      </rPr>
      <t xml:space="preserve">中華民國 四年</t>
    </r>
  </si>
  <si>
    <t xml:space="preserve">價錢壹百肆拾捌千文</t>
  </si>
  <si>
    <r>
      <rPr>
        <sz val="10"/>
        <rFont val="Noto Sans CJK SC"/>
        <family val="2"/>
      </rPr>
      <t xml:space="preserve">王志堅議定</t>
    </r>
    <r>
      <rPr>
        <sz val="10"/>
        <rFont val="Arial"/>
        <family val="0"/>
        <charset val="1"/>
      </rPr>
      <t xml:space="preserve">; </t>
    </r>
    <r>
      <rPr>
        <sz val="10"/>
        <rFont val="Noto Sans CJK SC"/>
        <family val="2"/>
      </rPr>
      <t xml:space="preserve">王志堅</t>
    </r>
    <r>
      <rPr>
        <sz val="10"/>
        <rFont val="Arial"/>
        <family val="0"/>
        <charset val="1"/>
      </rPr>
      <t xml:space="preserve">; </t>
    </r>
    <r>
      <rPr>
        <sz val="10"/>
        <rFont val="Noto Sans CJK SC"/>
        <family val="2"/>
      </rPr>
      <t xml:space="preserve">收清其田即聽</t>
    </r>
  </si>
  <si>
    <t xml:space="preserve">母親高氏</t>
  </si>
  <si>
    <r>
      <rPr>
        <sz val="10"/>
        <rFont val="Noto Sans CJK SC"/>
        <family val="2"/>
      </rPr>
      <t xml:space="preserve">契 按 典 </t>
    </r>
    <r>
      <rPr>
        <sz val="10"/>
        <rFont val="Arial"/>
        <family val="0"/>
        <charset val="1"/>
      </rPr>
      <t xml:space="preserve">| </t>
    </r>
    <r>
      <rPr>
        <sz val="10"/>
        <rFont val="Noto Sans CJK SC"/>
        <family val="2"/>
      </rPr>
      <t xml:space="preserve">福建財政廳</t>
    </r>
  </si>
  <si>
    <t xml:space="preserve">方子啟</t>
  </si>
  <si>
    <t xml:space="preserve">稅字第零六千三十七號</t>
  </si>
  <si>
    <t xml:space="preserve">https://digital.library.pitt.edu/islandora/object/pitt:31735068223357</t>
  </si>
  <si>
    <t xml:space="preserve">契按典福建財政廳給發契單事案查接管國稅廳籌備處卷內奉財政部飭開契稅條例於一月十一日經大總統公布並由本部按照本條例第十一條之規定訂定契稅條例施行細則於一月二十九日以部令公布在案查契稅條例第一條第二項前項契約用紙由財政部定式頒行等語除契稅條例第二條所規定之特別印花由部製備另行頒發外隨飭發去契稅條例隨契稅條例施行細則並契紙各樣收據清冊格式應即照式先行製備仰該處長遵照辦理可也等因奉此查契稅條例施行細則第二十條本條例公布後各徵稅官著未奉到部頒契紙特別花出示曉諭以前所有田房稅契應仍照向章辦理等語今據閩侯縣業戶方子啟於清宣統二年十一月日與交方根田根單據四至尺邀同中證王志堅議定如數收訖合填契單粘連原右給業戶方子啟准此中華民國四年八月日給稅字第零六千三十七號周亮系允字第周亮系允字第周亮系允字第周亮系允字第周亮系允字第周亮系允字第周亮系允字第周亮系允字第方方宣統元年拾壹月吉日立典田根契方兆揚內改註等處應字樣照中人王志堅在見母親高氏弟輝揚方子啟處為業三面言議本日典出田根價錢壹百肆拾捌千文其錢即日全中見收清其田即聽掌管新作過佃佃租面約終年為限限滿之日聽備價照契面錢文取贖不得執留但此田根係自己祖遺物業與親疎人等無干原未曾重張典當他人財物如有應理不明係出頭承當與無涉兩相免應各無反悔今欲有憑立典田根契書後付執為憑</t>
  </si>
  <si>
    <t xml:space="preserve">31735068223365_001</t>
  </si>
  <si>
    <t xml:space="preserve">31735068223365</t>
  </si>
  <si>
    <t xml:space="preserve">1913/1928</t>
  </si>
  <si>
    <t xml:space="preserve">陳琮細</t>
  </si>
  <si>
    <t xml:space="preserve">Box 2, Folder 100A</t>
  </si>
  <si>
    <r>
      <rPr>
        <sz val="10"/>
        <rFont val="Noto Sans CJK SC"/>
        <family val="2"/>
      </rPr>
      <t xml:space="preserve">中華民國 年</t>
    </r>
    <r>
      <rPr>
        <sz val="10"/>
        <rFont val="Arial"/>
        <family val="0"/>
        <charset val="1"/>
      </rPr>
      <t xml:space="preserve">; </t>
    </r>
    <r>
      <rPr>
        <sz val="10"/>
        <rFont val="Noto Sans CJK SC"/>
        <family val="2"/>
      </rPr>
      <t xml:space="preserve">中華民國十七年</t>
    </r>
  </si>
  <si>
    <t xml:space="preserve">縣地方東至南至西至坐落向橫丈尺直</t>
  </si>
  <si>
    <r>
      <rPr>
        <sz val="10"/>
        <rFont val="Noto Sans CJK SC"/>
        <family val="2"/>
      </rPr>
      <t xml:space="preserve">福建國稅廳籌備處 </t>
    </r>
    <r>
      <rPr>
        <sz val="10"/>
        <rFont val="Arial"/>
        <family val="0"/>
        <charset val="1"/>
      </rPr>
      <t xml:space="preserve">| </t>
    </r>
    <r>
      <rPr>
        <sz val="10"/>
        <rFont val="Noto Sans CJK SC"/>
        <family val="2"/>
      </rPr>
      <t xml:space="preserve">契單 </t>
    </r>
    <r>
      <rPr>
        <sz val="10"/>
        <rFont val="Arial"/>
        <family val="0"/>
        <charset val="1"/>
      </rPr>
      <t xml:space="preserve">| </t>
    </r>
    <r>
      <rPr>
        <sz val="10"/>
        <rFont val="Noto Sans CJK SC"/>
        <family val="2"/>
      </rPr>
      <t xml:space="preserve">福建財政廳 </t>
    </r>
    <r>
      <rPr>
        <sz val="10"/>
        <rFont val="Arial"/>
        <family val="0"/>
        <charset val="1"/>
      </rPr>
      <t xml:space="preserve">| </t>
    </r>
    <r>
      <rPr>
        <sz val="10"/>
        <rFont val="Noto Sans CJK SC"/>
        <family val="2"/>
      </rPr>
      <t xml:space="preserve">驗稅契證</t>
    </r>
  </si>
  <si>
    <t xml:space="preserve">https://digital.library.pitt.edu/islandora/object/pitt:31735068223365</t>
  </si>
  <si>
    <t xml:space="preserve">福建國稅廳籌備處給發契單事業奉財政部電行劃一契紙章程內開本章程施行以前成立之不動產舊契無論已稅契未稅契均應一律限期呈驗逾限不呈驗者於訴訟時不能作為憑據一併函知司法機關認真辦理以為匪驗者戒等因奉此當經擬定分別徵收方法已稅之舊契每張收紙價壹元未稅之舊契每產價百元收紙價壹元其光復後新契已稅者不收紙價酌定正限三個月餘限兩個月逾期呈驗者分別加徵嚴罰經已電奉財政部核准照辦並通飭遵照在案今據縣業戶於年月日受坐落縣地方東至南至西至坐落向橫丈尺直丈尺中原價銀兩申銀元原契稅遵章依限呈驗應納紙價元業已如數收訖合填契單粘連原契印給收執管業須至契單者右給業戶陳琮細准此契單中華民國年月日給福建財政廳為給發驗稅契證事案奉國民政府財政部訓令頒發驗契暫行條例及各省驗契章程凡在此次開辦驗契以前成立之不動產舊契無論已稅未稅均應一律限期呈驗換發新契倘逾限不呈驗遇有訴訟不能作為憑證如經人告發或官廳查出者並加以處罰業由財政部咨行司法部通飭遵辦以為匪驗者戒等因奉此當經擬具徵收方法電奉財政部核准照辦並已訂定本省驗契補充辦法分別通令布告遵照在案茲據業戶陳琮細呈繳已稅契壹紙座價元坐落四至原契已載明白遵章呈驗應納紙價壹元角註冊費壹角附加教育費貳角業已如數收訖除註冊外合填驗稅契證粘連原契印給收執管業須至契證者驗稅契證右給業戶陳琮細准此中華民國十七年月日給小契證新字第號</t>
  </si>
  <si>
    <t xml:space="preserve">31735068223373_001</t>
  </si>
  <si>
    <t xml:space="preserve">31735068223373</t>
  </si>
  <si>
    <t xml:space="preserve">1918/1932</t>
  </si>
  <si>
    <t xml:space="preserve">陳吳氏</t>
  </si>
  <si>
    <t xml:space="preserve">吳右岩</t>
  </si>
  <si>
    <t xml:space="preserve">Box 2, Folder 108A</t>
  </si>
  <si>
    <t xml:space="preserve">立湊賣斷契</t>
  </si>
  <si>
    <r>
      <rPr>
        <sz val="10"/>
        <rFont val="Noto Sans CJK SC"/>
        <family val="2"/>
      </rPr>
      <t xml:space="preserve">光緒 十三 十四兩年</t>
    </r>
    <r>
      <rPr>
        <sz val="10"/>
        <rFont val="Arial"/>
        <family val="0"/>
        <charset val="1"/>
      </rPr>
      <t xml:space="preserve">; </t>
    </r>
    <r>
      <rPr>
        <sz val="10"/>
        <rFont val="Noto Sans CJK SC"/>
        <family val="2"/>
      </rPr>
      <t xml:space="preserve">民國六年</t>
    </r>
    <r>
      <rPr>
        <sz val="10"/>
        <rFont val="Arial"/>
        <family val="0"/>
        <charset val="1"/>
      </rPr>
      <t xml:space="preserve">; </t>
    </r>
    <r>
      <rPr>
        <sz val="10"/>
        <rFont val="Noto Sans CJK SC"/>
        <family val="2"/>
      </rPr>
      <t xml:space="preserve">民國拾貳年</t>
    </r>
    <r>
      <rPr>
        <sz val="10"/>
        <rFont val="Arial"/>
        <family val="0"/>
        <charset val="1"/>
      </rPr>
      <t xml:space="preserve">; </t>
    </r>
    <r>
      <rPr>
        <sz val="10"/>
        <rFont val="Noto Sans CJK SC"/>
        <family val="2"/>
      </rPr>
      <t xml:space="preserve">中華民國 柒年</t>
    </r>
  </si>
  <si>
    <t xml:space="preserve">閩邑橫街舖上澤境茶葉術</t>
  </si>
  <si>
    <r>
      <rPr>
        <sz val="10"/>
        <rFont val="Noto Sans CJK SC"/>
        <family val="2"/>
      </rPr>
      <t xml:space="preserve">中隨契收足其牆屋</t>
    </r>
    <r>
      <rPr>
        <sz val="10"/>
        <rFont val="Arial"/>
        <family val="0"/>
        <charset val="1"/>
      </rPr>
      <t xml:space="preserve">; </t>
    </r>
    <r>
      <rPr>
        <sz val="10"/>
        <rFont val="Noto Sans CJK SC"/>
        <family val="2"/>
      </rPr>
      <t xml:space="preserve">夫胞姪</t>
    </r>
  </si>
  <si>
    <t xml:space="preserve">https://digital.library.pitt.edu/islandora/object/pitt:31735068223373</t>
  </si>
  <si>
    <r>
      <rPr>
        <sz val="10"/>
        <rFont val="Noto Sans CJK SC"/>
        <family val="2"/>
      </rPr>
      <t xml:space="preserve">立湊賣斷契陳吳氏原承故夫於清光緒十三十四兩年間用價銀先後典斷得陳必清清屋全座坐產閩邑橫街舖上澤境茶葉術地方坐北朝南其牆屋內所有門窗戶櫥屋式六主丈數俱載在原典契內明白經民國六年十二月間經次男燦祥等手典與吳家為業現公限未滿今因負債甚急被債權者控地方初級廳判決到日累保追呼次男燦祥遠避無處措挪情迫無奈現託吳中及意將此牆屋全座主高書外付房又兩空地一併兌吳右嚴處永遠為業公親在見中隨契收足其牆屋全座即歸吳家永遠營業收租自湊賣斷之後一筆千秋價心忽永斷萬籐向後不得言贖言湊夫在日手置物業與親疎別房份份如姪等明各等情如有此情係全男孫公親在出頭承當不涉吳家之事兩相允息各無翻悔今欲有憑立湊賣斷契式文四尺零橫潤四丈柒尺零湊接連前進向東牆屋後倒朝三欄排全樓前進該屋由民國拾貳年湊應拾與林處為業特此標照乃弄物之軒</t>
    </r>
    <r>
      <rPr>
        <sz val="10"/>
        <rFont val="Arial"/>
        <family val="0"/>
        <charset val="1"/>
      </rPr>
      <t xml:space="preserve">49792112925451461</t>
    </r>
    <r>
      <rPr>
        <sz val="10"/>
        <rFont val="Noto Sans CJK SC"/>
        <family val="2"/>
      </rPr>
      <t xml:space="preserve">元中華民國柒年玖月吳旋其祥日立湊賣斷契陳吳氏公親陳顏德和細弟中反吳維清代筆陳九齡命見男廣祥孫男大焜友祥兆祥在見夫胞姪</t>
    </r>
  </si>
  <si>
    <t xml:space="preserve">31735068223373_002</t>
  </si>
  <si>
    <r>
      <rPr>
        <sz val="10"/>
        <rFont val="Noto Sans CJK SC"/>
        <family val="2"/>
      </rPr>
      <t xml:space="preserve">民國七年</t>
    </r>
    <r>
      <rPr>
        <sz val="10"/>
        <rFont val="Arial"/>
        <family val="0"/>
        <charset val="1"/>
      </rPr>
      <t xml:space="preserve">; </t>
    </r>
    <r>
      <rPr>
        <sz val="10"/>
        <rFont val="Noto Sans CJK SC"/>
        <family val="2"/>
      </rPr>
      <t xml:space="preserve">中華民國十二年</t>
    </r>
  </si>
  <si>
    <t xml:space="preserve">價原曲已稅柒百元</t>
  </si>
  <si>
    <t xml:space="preserve">橫山舖茶葉衙面積壺座四至東至南至</t>
  </si>
  <si>
    <r>
      <rPr>
        <sz val="10"/>
        <rFont val="Noto Sans CJK SC"/>
        <family val="2"/>
      </rPr>
      <t xml:space="preserve">賣 </t>
    </r>
    <r>
      <rPr>
        <sz val="10"/>
        <rFont val="Arial"/>
        <family val="0"/>
        <charset val="1"/>
      </rPr>
      <t xml:space="preserve">| </t>
    </r>
    <r>
      <rPr>
        <sz val="10"/>
        <rFont val="Noto Sans CJK SC"/>
        <family val="2"/>
      </rPr>
      <t xml:space="preserve">新領契紙 </t>
    </r>
    <r>
      <rPr>
        <sz val="10"/>
        <rFont val="Arial"/>
        <family val="0"/>
        <charset val="1"/>
      </rPr>
      <t xml:space="preserve">| </t>
    </r>
    <r>
      <rPr>
        <sz val="10"/>
        <rFont val="Noto Sans CJK SC"/>
        <family val="2"/>
      </rPr>
      <t xml:space="preserve">契 </t>
    </r>
    <r>
      <rPr>
        <sz val="10"/>
        <rFont val="Arial"/>
        <family val="0"/>
        <charset val="1"/>
      </rPr>
      <t xml:space="preserve">| </t>
    </r>
    <r>
      <rPr>
        <sz val="10"/>
        <rFont val="Noto Sans CJK SC"/>
        <family val="2"/>
      </rPr>
      <t xml:space="preserve">例則摘要</t>
    </r>
  </si>
  <si>
    <t xml:space="preserve">賣新領契紙契例則摘要買主姓名吳右巖不動產種類牆屋賣價原曲已稅柒百元湊斷叁百元應納稅額叁拾玖元立契年月日民國七年九月坐落橫山舖茶葉衙面積壺座四至東至南至北至一不動產之買主或承典人須於契紙成立後六個月以內赴該管徵收官署投稅一訂立不動產買契或典契時須由賣主或出典人赴該管徵收官署填具申請書請領契紙繳納契紙費大洋五角前項之契紙費五角由賣主與買主或出典人與承典人分擔一不動產之賣主或出典人請領契紙後已逾兩月其契約尚未成立者原領契紙失其効力但因有障礙致契約不能成立時得於限內赴徵收官署申明事由酌予寬限一原領契紙因遺失及其他事由須補領或更換時仍依第四條第一項之規定繳納契紙費一繳納契稅時匿稅契價者除另換契紙改正契約繳納稅額外並處以左列之罰金一匿報契價十分之二以上未滿十分之三者短納稅額之二倍一匿報契價十分之三以上未滿十分之四者短納稅額之四倍一匿報契價十分之四以上未滿十分之五者短納稅額之八倍一契約成立後六個月之納稅期間限於遵領官契紙者適用之其私紙所書之契約若事後不換寫契紙以逾限論一賣主或出典人以私紙訂立契約者得由徵稅官署處以五元以上五十元以下之罰金一逾限未稅之契訴訟時無憑證之效力中華民國十二年一月八日賣主陳吳氏中人吳維清縣給</t>
  </si>
  <si>
    <t xml:space="preserve">31735068223381_001</t>
  </si>
  <si>
    <t xml:space="preserve">31735068223381</t>
  </si>
  <si>
    <t xml:space="preserve">聖余</t>
  </si>
  <si>
    <t xml:space="preserve">西房眾</t>
  </si>
  <si>
    <t xml:space="preserve">Box 3, Folder 118A</t>
  </si>
  <si>
    <r>
      <rPr>
        <sz val="10"/>
        <rFont val="Noto Sans CJK SC"/>
        <family val="2"/>
      </rPr>
      <t xml:space="preserve">民國八年</t>
    </r>
    <r>
      <rPr>
        <sz val="10"/>
        <rFont val="Arial"/>
        <family val="0"/>
        <charset val="1"/>
      </rPr>
      <t xml:space="preserve">; </t>
    </r>
    <r>
      <rPr>
        <sz val="10"/>
        <rFont val="Noto Sans CJK SC"/>
        <family val="2"/>
      </rPr>
      <t xml:space="preserve">中華民國十八年</t>
    </r>
  </si>
  <si>
    <t xml:space="preserve">聖餘</t>
  </si>
  <si>
    <r>
      <rPr>
        <sz val="10"/>
        <rFont val="Noto Sans CJK SC"/>
        <family val="2"/>
      </rPr>
      <t xml:space="preserve">價銀陸拾肆仟零伍佰文正</t>
    </r>
    <r>
      <rPr>
        <sz val="10"/>
        <rFont val="Arial"/>
        <family val="0"/>
        <charset val="1"/>
      </rPr>
      <t xml:space="preserve">; </t>
    </r>
    <r>
      <rPr>
        <sz val="10"/>
        <rFont val="Noto Sans CJK SC"/>
        <family val="2"/>
      </rPr>
      <t xml:space="preserve">價陸拾伍元</t>
    </r>
  </si>
  <si>
    <t xml:space="preserve">桂尾</t>
  </si>
  <si>
    <t xml:space="preserve">中宗叔愛</t>
  </si>
  <si>
    <r>
      <rPr>
        <sz val="10"/>
        <rFont val="Noto Sans CJK SC"/>
        <family val="2"/>
      </rPr>
      <t xml:space="preserve">驗 </t>
    </r>
    <r>
      <rPr>
        <sz val="10"/>
        <rFont val="Arial"/>
        <family val="0"/>
        <charset val="1"/>
      </rPr>
      <t xml:space="preserve">| </t>
    </r>
    <r>
      <rPr>
        <sz val="10"/>
        <rFont val="Noto Sans CJK SC"/>
        <family val="2"/>
      </rPr>
      <t xml:space="preserve">稅 </t>
    </r>
    <r>
      <rPr>
        <sz val="10"/>
        <rFont val="Arial"/>
        <family val="0"/>
        <charset val="1"/>
      </rPr>
      <t xml:space="preserve">| </t>
    </r>
    <r>
      <rPr>
        <sz val="10"/>
        <rFont val="Noto Sans CJK SC"/>
        <family val="2"/>
      </rPr>
      <t xml:space="preserve">契 </t>
    </r>
    <r>
      <rPr>
        <sz val="10"/>
        <rFont val="Arial"/>
        <family val="0"/>
        <charset val="1"/>
      </rPr>
      <t xml:space="preserve">| </t>
    </r>
    <r>
      <rPr>
        <sz val="10"/>
        <rFont val="Noto Sans CJK SC"/>
        <family val="2"/>
      </rPr>
      <t xml:space="preserve">證</t>
    </r>
  </si>
  <si>
    <t xml:space="preserve">西房眾准</t>
  </si>
  <si>
    <t xml:space="preserve">https://digital.library.pitt.edu/islandora/object/pitt:31735068223381</t>
  </si>
  <si>
    <t xml:space="preserve">立賣契聖餘承父手置有佃田壹號坐落本鄉地方土名桂尾等處其田壹坵受種壹畝正通年載租谷壹佰陸拾陸零半釐正納在登乾處今因要用自願託中將此佃田賣出西房平處為業三面言議時值價銀陸拾肆仟零伍佰文正其價即日交足其佃田即付承前去耕作納租听其自便在先並無重典他人及交亦不明等情如有此情係餘出身支理不涉承之事但此田係父手置物業與別無干其限言內伍年外限滿之日備依照憑契面代父月取贖如未贖仍付承照舊耕作納租倘有原主取贖不拘期限此係兩愿各無反悔今欲有墮立賣契壹紙並繳孫觀實契壹紙又繳孫人賣契壹紙共成叁紙付執為憑知契母郭氏民國八年拾壹月五日賣契聖餘全弟聖道代字中宗叔愛輝驗稅契證給發驗稅契證事奉國民政府財政部訓令頒發驗稅契行條例及各省驗契章程凡在此次開辦之契以前成立之不動產舊契無論已稅未稅均應一律限期呈驗換發新契照舊道限不至驗過有訴訟不能作為憑證如經人告發或官廳查出者並加以處罰葉由財政部咨行司法部通飭遵照以為匪驗者或等因當經擬具徵收方法電奉財政部核准照辦並已訂定估價驗稅契辦法分別通令布告遵照在案查戶西房平處不執契契紙產價陸拾伍元坐落四至原契已載明白章呈驗應納紙價叁元玖角玖分註冊費壹角附加教育費壹角業已如數收訖除註冊外合填驗稅契行照連原契印給收執管其須至契證者右給業戶西房眾准中華民國十八年九月第九期永泰新號日</t>
  </si>
  <si>
    <t xml:space="preserve">31735068223381_002</t>
  </si>
  <si>
    <t xml:space="preserve">西房平</t>
  </si>
  <si>
    <t xml:space="preserve">價錢陸拾肆仟零伍佰文正</t>
  </si>
  <si>
    <t xml:space="preserve">立賣契聖餘承父手置有個田壹號坐落本鄉地方土名桂尾等處其田壹坵受種壹畝正逼年載租谷壹佰陸拾陸零半畝正納在登乾處今因要用自願託中將此佃田賣與西房平處為業三面言議時值價錢陸拾肆仟零伍佰文正其畝即日交足其佃田即付承前去耕作納租听其自便在先並無重典他人及交水不明等情如有此情係餘出身支理不涉承之事但此田係父手置物業與別無干其限言內伍年外限滿之日備依照憑契面代父月取贖如未贖仍付承照舊耕作納租倘有原主取贖不拘期限此係兩愿各無反悔今欲有墾立賣契壹紙並繳孫觀實契壹紙又繳孫人賣契壹紙共成叁紙付執為憑知契母郭氏民國八年拾壹月日立賣契聖餘全弟聖道代字中宗叔愛輝鑾下通並信泰為案奉訓令頒發契契暫行條例及各省驗契章程凡在此次開辦之動產舊契無論已稅未稅均應一律限期呈驗換發新契倘新訟不能作為憑證如經人告發或官廳查出者並加以處罰以憑照發等因當經擬具徵收方法電奉財政部核准照辦並已訂定外賣契暫行辦法分別通令布告遵照在案茲查賣戶西房長泰號承辦之契係係伍元坐落四里原契已載明白通章呈驗應納紙價叁角政府現分註冊費壹角附加教育費壹角業已如數繳訖除註冊外合填驗契執照連原契即給收執當官實須全契證者契證第九期中華民國十八年九月右給業戶西房長泰准新華報第五六〇號</t>
  </si>
  <si>
    <t xml:space="preserve">31735068223399_001</t>
  </si>
  <si>
    <t xml:space="preserve">31735068223399</t>
  </si>
  <si>
    <t xml:space="preserve">1924/1928</t>
  </si>
  <si>
    <t xml:space="preserve">福建聲閩侯縣</t>
  </si>
  <si>
    <t xml:space="preserve">Box 3, Folder 119A</t>
  </si>
  <si>
    <r>
      <rPr>
        <sz val="10"/>
        <rFont val="Noto Sans CJK SC"/>
        <family val="2"/>
      </rPr>
      <t xml:space="preserve">中華民國十三年</t>
    </r>
    <r>
      <rPr>
        <sz val="10"/>
        <rFont val="Arial"/>
        <family val="0"/>
        <charset val="1"/>
      </rPr>
      <t xml:space="preserve">; </t>
    </r>
    <r>
      <rPr>
        <sz val="10"/>
        <rFont val="Noto Sans CJK SC"/>
        <family val="2"/>
      </rPr>
      <t xml:space="preserve">中華民國十七年</t>
    </r>
  </si>
  <si>
    <t xml:space="preserve">新字第四百五十二號</t>
  </si>
  <si>
    <t xml:space="preserve">https://digital.library.pitt.edu/islandora/object/pitt:31735068223399</t>
  </si>
  <si>
    <r>
      <rPr>
        <sz val="10"/>
        <rFont val="Noto Sans CJK SC"/>
        <family val="2"/>
      </rPr>
      <t xml:space="preserve">新頒契紙契要摘則一不動產買賣契或典契其契紙費大洋五角前項之契紙費已通兩月其契紙費才成一不動產之賣主或出典人請領契紙後已通兩月其契紙費才成一因有障礙致契約不能成立時得於限內赴徵收官署申明事由酌予一原領契紙因遺失及其他事由須補領或更換時仍依第四條第一項之規一不動產之賣主或出典人連契約成立後六個月之期限不依本條例繳納契費一之稅額外並處以應納稅額之十倍罰金一繳納契稅時應納契價者除另換契紙改正契約繳納稅額外並處以左列之罰金一區報契價十分之二以上未滿十分之三者短納稅額之二倍一區報契價十分之三以上未滿十分之四者短納稅額之四倍一區報契價十分之四以上未滿十分之五者短納稅額之八倍一區報契價十分之五以上者短納稅額之十六倍或由徵稅官署依新報契價收買之一契約成立後六個月之納稅期間限於遵領官契紙者適用之其私紙所書之契約若事後不一換寫與紙以違背論一賣主或出典人以私紙訂立契約者得由徵稅官署處以五元以上五十元以下之罰金一逾限未親之契新時無憑證之效力中華民國十三年六月十日出典人王三妹林武欽縣署署任署縣驗稅福建財政廳為給發驗稅契證事案奉國民政府財政部訓令頒發契證暫行條例及各省驗契章程凡在此次開辦驗契以前成立之不動產舊契無論已稅未稅均應一律限期呈驗換發新契紙倘逾限不呈驗遇有訴訟不能作為憑證如經人告發或官廳查出者並加以處罰業由財政部咨行司法部通飭遵辦以為履歷者戒等因奉此當經擬具徵收方法電奉財政部核准照辦並已訂定本省驗契補充辦法分列通令布告遵照在案茲據業戶陳軍漢呈繳已稅契壹紙產價壹元貳角伍分伍厘坐落四至原契已載明白遵章呈驗應納紙價壹元伍角註冊費壹角附加教育費貳角業已如數收訖除註冊外合填驗稅契證並連原契印給收執營業須至契證者契已驗稅右給業戶陳軍漢准此中華民國十七年一月八日給國十七年一月八日給監印員蔡海鈞校對員張景新字第四百五十二號系所字虎</t>
    </r>
    <r>
      <rPr>
        <sz val="10"/>
        <rFont val="Arial"/>
        <family val="0"/>
        <charset val="1"/>
      </rPr>
      <t xml:space="preserve">...</t>
    </r>
    <r>
      <rPr>
        <sz val="10"/>
        <rFont val="Noto Sans CJK SC"/>
        <family val="2"/>
      </rPr>
      <t xml:space="preserve">賣壹日</t>
    </r>
    <r>
      <rPr>
        <sz val="10"/>
        <rFont val="Arial"/>
        <family val="0"/>
        <charset val="1"/>
      </rPr>
      <t xml:space="preserve">...</t>
    </r>
    <r>
      <rPr>
        <sz val="10"/>
        <rFont val="Noto Sans CJK SC"/>
        <family val="2"/>
      </rPr>
      <t xml:space="preserve">合</t>
    </r>
    <r>
      <rPr>
        <sz val="10"/>
        <rFont val="Arial"/>
        <family val="0"/>
        <charset val="1"/>
      </rPr>
      <t xml:space="preserve">...</t>
    </r>
  </si>
  <si>
    <t xml:space="preserve">31735068223399_002</t>
  </si>
  <si>
    <t xml:space="preserve">新頒契要摘則</t>
  </si>
  <si>
    <t xml:space="preserve">31735068223407_001</t>
  </si>
  <si>
    <t xml:space="preserve">31735068223407</t>
  </si>
  <si>
    <t xml:space="preserve">陳兆濤</t>
  </si>
  <si>
    <t xml:space="preserve">陳兆和</t>
  </si>
  <si>
    <t xml:space="preserve">Box 3, Folder 131A</t>
  </si>
  <si>
    <r>
      <rPr>
        <sz val="10"/>
        <rFont val="Noto Sans CJK SC"/>
        <family val="2"/>
      </rPr>
      <t xml:space="preserve">中華民國拾陸年</t>
    </r>
    <r>
      <rPr>
        <sz val="10"/>
        <rFont val="Arial"/>
        <family val="0"/>
        <charset val="1"/>
      </rPr>
      <t xml:space="preserve">; </t>
    </r>
    <r>
      <rPr>
        <sz val="10"/>
        <rFont val="Noto Sans CJK SC"/>
        <family val="2"/>
      </rPr>
      <t xml:space="preserve">民國七年</t>
    </r>
  </si>
  <si>
    <t xml:space="preserve">價貳拾捌元</t>
  </si>
  <si>
    <r>
      <rPr>
        <sz val="10"/>
        <rFont val="Noto Sans CJK SC"/>
        <family val="2"/>
      </rPr>
      <t xml:space="preserve">契稅清查證 </t>
    </r>
    <r>
      <rPr>
        <sz val="10"/>
        <rFont val="Arial"/>
        <family val="0"/>
        <charset val="1"/>
      </rPr>
      <t xml:space="preserve">| </t>
    </r>
    <r>
      <rPr>
        <sz val="10"/>
        <rFont val="Noto Sans CJK SC"/>
        <family val="2"/>
      </rPr>
      <t xml:space="preserve">福建財政廳 </t>
    </r>
    <r>
      <rPr>
        <sz val="10"/>
        <rFont val="Arial"/>
        <family val="0"/>
        <charset val="1"/>
      </rPr>
      <t xml:space="preserve">| </t>
    </r>
    <r>
      <rPr>
        <sz val="10"/>
        <rFont val="Noto Sans CJK SC"/>
        <family val="2"/>
      </rPr>
      <t xml:space="preserve">賣 </t>
    </r>
    <r>
      <rPr>
        <sz val="10"/>
        <rFont val="Arial"/>
        <family val="0"/>
        <charset val="1"/>
      </rPr>
      <t xml:space="preserve">| </t>
    </r>
    <r>
      <rPr>
        <sz val="10"/>
        <rFont val="Noto Sans CJK SC"/>
        <family val="2"/>
      </rPr>
      <t xml:space="preserve">契 </t>
    </r>
    <r>
      <rPr>
        <sz val="10"/>
        <rFont val="Arial"/>
        <family val="0"/>
        <charset val="1"/>
      </rPr>
      <t xml:space="preserve">| </t>
    </r>
    <r>
      <rPr>
        <sz val="10"/>
        <rFont val="Noto Sans CJK SC"/>
        <family val="2"/>
      </rPr>
      <t xml:space="preserve">要摘則例</t>
    </r>
  </si>
  <si>
    <t xml:space="preserve">https://digital.library.pitt.edu/islandora/object/pitt:31735068223407</t>
  </si>
  <si>
    <t xml:space="preserve">契稅清查證福建財政廳給證事查得鄉業戶陳兆和由陳兆清得分產價貳拾捌元其契馬耳地方屋號葉中華民國拾陸年八月經移轉此證作廢須至證者中華民國拾陸年八月日給執有人領承給聯此賣契要摘則例賣價應納稅額居契幾張立契年月日民國七年貳拾捌元壹元捌角捌分無四至北至南至東至西至一不動產之買主或承與人須於契紙成立後六個月以內赴該管徵收官署投稅一訂立不動產買賣契或典契時須由賣主或出典人赴該管徵收官署填具申請領契紙蓋納契稅費大洋五角前項之契紙費五角由賣主與買主或出典人與承與人分擔一不動產之賣主或出典人請領契紙後已逾兩月其契約尚未成立者原領契紙失其効力但因有障礙致契約不能成立時得於限內赴徵收官署申明事由酌予寬限一原領契紙因遺失及其他事由領補領或更換時仍依第四條第一項之規定繳納契紙費一不動產之買主或承與人逾契約成立後六個月之期限不依本條例繳納契稅者除納定稅之稅額外並處以應納稅額之十倍罰金一繳納契稅時應稅契價者除另換契紙改正契約繳納稅額外並處以左列之罰金一匿報契價十分之二以上未滿十分之三者短納稅額之二倍一匿報契價十分之三以上未滿十分之四者短納稅額之四倍一匿報契價十分之四以上未滿十分之五者短納稅額之八倍一匿報契價十分之五以上者短納稅額之十六倍或自繳稅費所報契價買之一契約成立後六個月之納稅期間限於遵領官契紙者適用之其私紙所書之契約若事後不換寫契紙以通限論一賣主或出典人以私紙訂立契約者得由徵稅官署處以五元以上五十元以下之罰金一逾限未稅之契約將無憑證之効力中華民國十六八月賣主陳兆清中人長縣給</t>
  </si>
  <si>
    <t xml:space="preserve">31735068223415_001</t>
  </si>
  <si>
    <t xml:space="preserve">31735068223415</t>
  </si>
  <si>
    <t xml:space="preserve">程道魯</t>
  </si>
  <si>
    <t xml:space="preserve">程楊春</t>
  </si>
  <si>
    <t xml:space="preserve">Box 3, Folder 140A</t>
  </si>
  <si>
    <r>
      <rPr>
        <sz val="10"/>
        <rFont val="Noto Sans CJK SC"/>
        <family val="2"/>
      </rPr>
      <t xml:space="preserve">民國十八年</t>
    </r>
    <r>
      <rPr>
        <sz val="10"/>
        <rFont val="Arial"/>
        <family val="0"/>
        <charset val="1"/>
      </rPr>
      <t xml:space="preserve">; </t>
    </r>
    <r>
      <rPr>
        <sz val="10"/>
        <rFont val="Noto Sans CJK SC"/>
        <family val="2"/>
      </rPr>
      <t xml:space="preserve">中華民國 年</t>
    </r>
  </si>
  <si>
    <t xml:space="preserve">侯邑卅五都青山街下碑</t>
  </si>
  <si>
    <t xml:space="preserve">https://digital.library.pitt.edu/islandora/object/pitt:31735068223415</t>
  </si>
  <si>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福建省政府財政廳頒發閩侯縣已稅契驗契證茲為整理契稅，體卹人民，保障產權起見，特定驗契辦法，凡屬田園屋地各類不動產，已稅未稅契據，均應一律投驗，填給驗契證，已稅之紅契，不收驗費，未稅之白契，無論典賣及產價多寡，每張祇收驗契費銀壹元，經此驗契，粘有驗契證者，方為有效。非經買賣移轉，不再徵稅。業主姓名程瑞春</t>
    </r>
    <r>
      <rPr>
        <sz val="10"/>
        <rFont val="Arial"/>
        <family val="0"/>
        <charset val="1"/>
      </rPr>
      <t xml:space="preserve">(</t>
    </r>
    <r>
      <rPr>
        <sz val="10"/>
        <rFont val="Noto Sans CJK SC"/>
        <family val="2"/>
      </rPr>
      <t xml:space="preserve">即程由文</t>
    </r>
    <r>
      <rPr>
        <sz val="10"/>
        <rFont val="Arial"/>
        <family val="0"/>
        <charset val="1"/>
      </rPr>
      <t xml:space="preserve">)</t>
    </r>
    <r>
      <rPr>
        <sz val="10"/>
        <rFont val="Noto Sans CJK SC"/>
        <family val="2"/>
      </rPr>
      <t xml:space="preserve">業主住址洲天街不動產種類民國不動產坐落侯邑卅五都青山街下碑地方不動產面積四至東至南至西至北至畝分五畝分〇釐等則賦額地丁糧米產價銀拾元正出典主姓名程道魯中證人姓名程道法立契年月日民國十八年十二月日其他此處粘連原契騎縫加蓋驗契鈐記此處蓋財政廳驗契證關防此處蓋縣政府印第一區區長簽名蓋章中華民國年月十七日第</t>
    </r>
    <r>
      <rPr>
        <sz val="10"/>
        <rFont val="Arial"/>
        <family val="0"/>
        <charset val="1"/>
      </rPr>
      <t xml:space="preserve">19211</t>
    </r>
    <r>
      <rPr>
        <sz val="10"/>
        <rFont val="Noto Sans CJK SC"/>
        <family val="2"/>
      </rPr>
      <t xml:space="preserve">號第保保長或鄉長簽名蓋章此種已稅契驗契證不收餉費閩侯縣三此張填給業主粘連原契據業</t>
    </r>
  </si>
  <si>
    <t xml:space="preserve">31735068223423_001</t>
  </si>
  <si>
    <t xml:space="preserve">31735068223423</t>
  </si>
  <si>
    <t xml:space="preserve">1929/1935</t>
  </si>
  <si>
    <t xml:space="preserve">陳太記</t>
  </si>
  <si>
    <t xml:space="preserve">陳宿漙</t>
  </si>
  <si>
    <t xml:space="preserve">Box 3, Folder 140B</t>
  </si>
  <si>
    <r>
      <rPr>
        <sz val="10"/>
        <rFont val="Noto Sans CJK SC"/>
        <family val="2"/>
      </rPr>
      <t xml:space="preserve">中華民國二十一年</t>
    </r>
    <r>
      <rPr>
        <sz val="10"/>
        <rFont val="Arial"/>
        <family val="0"/>
        <charset val="1"/>
      </rPr>
      <t xml:space="preserve">; </t>
    </r>
    <r>
      <rPr>
        <sz val="10"/>
        <rFont val="Noto Sans CJK SC"/>
        <family val="2"/>
      </rPr>
      <t xml:space="preserve">民國十八年</t>
    </r>
    <r>
      <rPr>
        <sz val="10"/>
        <rFont val="Arial"/>
        <family val="0"/>
        <charset val="1"/>
      </rPr>
      <t xml:space="preserve">; </t>
    </r>
    <r>
      <rPr>
        <sz val="10"/>
        <rFont val="Noto Sans CJK SC"/>
        <family val="2"/>
      </rPr>
      <t xml:space="preserve">民國拾捌年</t>
    </r>
    <r>
      <rPr>
        <sz val="10"/>
        <rFont val="Arial"/>
        <family val="0"/>
        <charset val="1"/>
      </rPr>
      <t xml:space="preserve">; </t>
    </r>
    <r>
      <rPr>
        <sz val="10"/>
        <rFont val="Noto Sans CJK SC"/>
        <family val="2"/>
      </rPr>
      <t xml:space="preserve">民國二十一年</t>
    </r>
  </si>
  <si>
    <t xml:space="preserve">價錢大洋拾伍員正</t>
  </si>
  <si>
    <t xml:space="preserve">楊厝即後不動產面積後種檢伍畝四至</t>
  </si>
  <si>
    <r>
      <rPr>
        <sz val="10"/>
        <rFont val="Noto Sans CJK SC"/>
        <family val="2"/>
      </rPr>
      <t xml:space="preserve">根面全田</t>
    </r>
    <r>
      <rPr>
        <sz val="10"/>
        <rFont val="Arial"/>
        <family val="0"/>
        <charset val="1"/>
      </rPr>
      <t xml:space="preserve">; </t>
    </r>
    <r>
      <rPr>
        <sz val="10"/>
        <rFont val="Noto Sans CJK SC"/>
        <family val="2"/>
      </rPr>
      <t xml:space="preserve">民田</t>
    </r>
  </si>
  <si>
    <t xml:space="preserve">桂能</t>
  </si>
  <si>
    <t xml:space="preserve">中弟陳桂</t>
  </si>
  <si>
    <t xml:space="preserve">陳宿開鑒</t>
  </si>
  <si>
    <r>
      <rPr>
        <sz val="10"/>
        <rFont val="Noto Sans CJK SC"/>
        <family val="2"/>
      </rPr>
      <t xml:space="preserve">契要 </t>
    </r>
    <r>
      <rPr>
        <sz val="10"/>
        <rFont val="Arial"/>
        <family val="0"/>
        <charset val="1"/>
      </rPr>
      <t xml:space="preserve">| </t>
    </r>
    <r>
      <rPr>
        <sz val="10"/>
        <rFont val="Noto Sans CJK SC"/>
        <family val="2"/>
      </rPr>
      <t xml:space="preserve">賣 </t>
    </r>
    <r>
      <rPr>
        <sz val="10"/>
        <rFont val="Arial"/>
        <family val="0"/>
        <charset val="1"/>
      </rPr>
      <t xml:space="preserve">| </t>
    </r>
    <r>
      <rPr>
        <sz val="10"/>
        <rFont val="Noto Sans CJK SC"/>
        <family val="2"/>
      </rPr>
      <t xml:space="preserve">福建省政府財政廳頒發閩侯縣已稅契驗契證</t>
    </r>
  </si>
  <si>
    <r>
      <rPr>
        <sz val="10"/>
        <rFont val="Noto Sans CJK SC"/>
        <family val="2"/>
      </rPr>
      <t xml:space="preserve">住址</t>
    </r>
    <r>
      <rPr>
        <sz val="10"/>
        <rFont val="Arial"/>
        <family val="0"/>
        <charset val="1"/>
      </rPr>
      <t xml:space="preserve">; </t>
    </r>
    <r>
      <rPr>
        <sz val="10"/>
        <rFont val="Noto Sans CJK SC"/>
        <family val="2"/>
      </rPr>
      <t xml:space="preserve">本鄉人</t>
    </r>
  </si>
  <si>
    <t xml:space="preserve">福字第 虎記號</t>
  </si>
  <si>
    <t xml:space="preserve">https://digital.library.pitt.edu/islandora/object/pitt:31735068223423</t>
  </si>
  <si>
    <t xml:space="preserve">契要附征教育捐壹元此係普通華民向動產稅務局承領用章聲明賣中華民國二十一年六月六日賣主陳太記中人桂能一匯報契價十分之二以上未滿十分之三者短納稅額之二倍一匯報契價十分之三以上未滿十分之四者短納稅額之四倍一匯報契價十分之四以上未滿十分之五者短納稅額之八倍一匯報契價十分之五以上者短納稅額之十六倍或重徵稅費者依前報契價實之一換約成立後六個月之納稅期間限於遵領官契紙者適用之其私紙所書之契約若事後不一賣主或出典人以私紙訂立契約者得由徵稅官者處以五元以上五十元以下之罰金一逾限未稅之契新訟時無憑證之效力福建省政府財政廳頒發閩侯縣已稅契驗契證茲為整理契稅，體卹人民，保障產權起見，特定驗契辦法，凡屬田園屋地各類不動產，已稅未稅契據，均應一律投驗，填給驗契證，已稅之紅契，不收驗費，未稅之白契，無論典賣及產價多寡，每張祇收驗契費銀壹元，經此驗契，持有驗契證者，方為有效。非經買賣移轉，再不做稅。業主姓名陳太記業主住址即后村不動產種類田不動產坐落楊厝即後不動產面積後種檢伍畝四至東至南至西至北至畝分畝分雙等則賦額丁糧米產價銀伍員立契人姓名陳太記桂能立契年月日民國十八年其他此種已稅契驗契證不收驗費此係填給業主結連原契據管業此處結連原契時應加蓋驗契鈴記立賣斷根面全田契太記號業主本鄉人人有名置民田數塊上名坐此揭厝地拾伍畝正今因乏用自請愿托中向到本族陳宿清處三向言議賣斷本日價錢大洋拾伍員正其錢即日交足其田庚午年春付錢主起佃耕作其根色過冊入戶完課管業無詞但此田係太記號物業與別無干自賣斷之後永斷葛藤付清永遠為業太記以後不敢別生枝節之理倘有來歷不明像太記必頭承當不涉薄之事丙允勿悔今欵有憑立賣斷根面全田契壹紙付執為憑全見亞弟林邦湖在見陳宿開鑒民國拾捌年拾貳月日立賣斷根面全田契陳太記代字中弟陳桂能民國二十一年七月廿日福字第虎記號四</t>
  </si>
  <si>
    <t xml:space="preserve">31735068223423_002</t>
  </si>
  <si>
    <t xml:space="preserve">立不動產買賣契</t>
  </si>
  <si>
    <r>
      <rPr>
        <sz val="10"/>
        <rFont val="Noto Sans CJK SC"/>
        <family val="2"/>
      </rPr>
      <t xml:space="preserve">中華民國十年</t>
    </r>
    <r>
      <rPr>
        <sz val="10"/>
        <rFont val="Arial"/>
        <family val="0"/>
        <charset val="1"/>
      </rPr>
      <t xml:space="preserve">; </t>
    </r>
    <r>
      <rPr>
        <sz val="10"/>
        <rFont val="Noto Sans CJK SC"/>
        <family val="2"/>
      </rPr>
      <t xml:space="preserve">民國十八年</t>
    </r>
  </si>
  <si>
    <t xml:space="preserve">價拾五元</t>
  </si>
  <si>
    <t xml:space="preserve">賣契要摘則例</t>
  </si>
  <si>
    <t xml:space="preserve">賣契要摘則例中華民國十年一月六日一不動產之買主或承典人須於契紙成立後六個月內赴該管徵收官署稅稅一訂立不動產買賣契或典契時須由賣主或出典人赴該管徵收官署填寫申請書請領契紙一納契紙費大洋六角前項之契紙費六角由賣主或出典人與承典人分擔一不動產之賣主或出典人請領契紙後已逾兩月其契約尚未成立者原領契紙失其効力但一因有障礙致契約不能成立時得於限內赴徵收官署申明事由酌予寬限一原領契紙因遺失及其他事由須補領或更換時仍依第四條第一項之規定繳納契紙費一不動產之買主或承典人逾契約成立後六個月之期限不依本條例繳納契稅者除納定稅一之稅額外並處以應納契稅之十倍罰金一繳納契稅時應繳納契稅之十倍罰金一繳納契稅價十分之二以上未滿十分之三者短納稅額之二倍一繳納契稅價十分之三以上未滿十分之五者短納稅額之四倍一繳納契稅價十分之五以上者短納稅額之八倍一契約成立後六個月之納稅期間限於遵領官契紙者適用之其私紙所書之契約若事後不一換寫契紙以逾期限一賣主或出典人以私紙訂立契約者得由徵稅官署處以五元以上五十元以下之罰金一逾限未稅之契訴訟時無憑證之效力買主姓名陳宿清不動產種類田賣價拾五元應納稅額拾五元原契幾張四至立契年月日民國十八年三月民國十八年三月面積受種拾五畝東至四至南至四至西至四至北至四至</t>
  </si>
  <si>
    <t xml:space="preserve">31735068223431_001</t>
  </si>
  <si>
    <t xml:space="preserve">31735068223431</t>
  </si>
  <si>
    <t xml:space="preserve">陳宿康</t>
  </si>
  <si>
    <t xml:space="preserve">陳桂修</t>
  </si>
  <si>
    <t xml:space="preserve">Box 3, Folder 140C</t>
  </si>
  <si>
    <t xml:space="preserve">中華民國十八年</t>
  </si>
  <si>
    <t xml:space="preserve">年民國</t>
  </si>
  <si>
    <t xml:space="preserve">價陸拾貳元</t>
  </si>
  <si>
    <r>
      <rPr>
        <sz val="10"/>
        <rFont val="Noto Sans CJK SC"/>
        <family val="2"/>
      </rPr>
      <t xml:space="preserve">松名厝墘前即留</t>
    </r>
    <r>
      <rPr>
        <sz val="10"/>
        <rFont val="Arial"/>
        <family val="0"/>
        <charset val="1"/>
      </rPr>
      <t xml:space="preserve">(61)(</t>
    </r>
    <r>
      <rPr>
        <sz val="10"/>
        <rFont val="Noto Sans CJK SC"/>
        <family val="2"/>
      </rPr>
      <t xml:space="preserve">蓋</t>
    </r>
    <r>
      <rPr>
        <sz val="10"/>
        <rFont val="Arial"/>
        <family val="0"/>
        <charset val="1"/>
      </rPr>
      <t xml:space="preserve">)</t>
    </r>
    <r>
      <rPr>
        <sz val="10"/>
        <rFont val="Noto Sans CJK SC"/>
        <family val="2"/>
      </rPr>
      <t xml:space="preserve">不動</t>
    </r>
  </si>
  <si>
    <r>
      <rPr>
        <sz val="10"/>
        <rFont val="Arial"/>
        <family val="0"/>
        <charset val="1"/>
      </rPr>
      <t xml:space="preserve">(</t>
    </r>
    <r>
      <rPr>
        <sz val="10"/>
        <rFont val="Noto Sans CJK SC"/>
        <family val="2"/>
      </rPr>
      <t xml:space="preserve">三</t>
    </r>
    <r>
      <rPr>
        <sz val="10"/>
        <rFont val="Arial"/>
        <family val="0"/>
        <charset val="1"/>
      </rPr>
      <t xml:space="preserve">) | </t>
    </r>
    <r>
      <rPr>
        <sz val="10"/>
        <rFont val="Noto Sans CJK SC"/>
        <family val="2"/>
      </rPr>
      <t xml:space="preserve">福建省政府財政廳頒發閩侯縣已稅契驗契證 </t>
    </r>
    <r>
      <rPr>
        <sz val="10"/>
        <rFont val="Arial"/>
        <family val="0"/>
        <charset val="1"/>
      </rPr>
      <t xml:space="preserve">| </t>
    </r>
    <r>
      <rPr>
        <sz val="10"/>
        <rFont val="Noto Sans CJK SC"/>
        <family val="2"/>
      </rPr>
      <t xml:space="preserve">證</t>
    </r>
  </si>
  <si>
    <r>
      <rPr>
        <sz val="10"/>
        <rFont val="Noto Sans CJK SC"/>
        <family val="2"/>
      </rPr>
      <t xml:space="preserve">住址</t>
    </r>
    <r>
      <rPr>
        <sz val="10"/>
        <rFont val="Arial"/>
        <family val="0"/>
        <charset val="1"/>
      </rPr>
      <t xml:space="preserve">; </t>
    </r>
    <r>
      <rPr>
        <sz val="10"/>
        <rFont val="Noto Sans CJK SC"/>
        <family val="2"/>
      </rPr>
      <t xml:space="preserve">陳桂修</t>
    </r>
  </si>
  <si>
    <t xml:space="preserve">https://digital.library.pitt.edu/islandora/object/pitt:31735068223431</t>
  </si>
  <si>
    <r>
      <rPr>
        <sz val="10"/>
        <rFont val="Arial"/>
        <family val="0"/>
        <charset val="1"/>
      </rPr>
      <t xml:space="preserve">(</t>
    </r>
    <r>
      <rPr>
        <sz val="10"/>
        <rFont val="Noto Sans CJK SC"/>
        <family val="2"/>
      </rPr>
      <t xml:space="preserve">三</t>
    </r>
    <r>
      <rPr>
        <sz val="10"/>
        <rFont val="Arial"/>
        <family val="0"/>
        <charset val="1"/>
      </rPr>
      <t xml:space="preserve">)</t>
    </r>
    <r>
      <rPr>
        <sz val="10"/>
        <rFont val="Noto Sans CJK SC"/>
        <family val="2"/>
      </rPr>
      <t xml:space="preserve">福建省政府財政廳頒發閩侯縣已稅契驗契證茲為整理契稅，體卹人民，保障產權起見，特定驗契辦法，凡屬田園屋地各類不動產，已稅未稅契據，均應一律投驗，填給驗契證，已稅之紅契，不收驗費，未稅之白契，無論典賣及產價多寡，每張祇收驗契費銀壹元，經此驗契，粘有驗契證者，方為有效。非經買賣移轉，再不徵稅。業主姓名陳桂修業主住址牆坪鄉即後村不動產種類田不動產坐落松名厝墘前即留</t>
    </r>
    <r>
      <rPr>
        <sz val="10"/>
        <rFont val="Arial"/>
        <family val="0"/>
        <charset val="1"/>
      </rPr>
      <t xml:space="preserve">(61)(</t>
    </r>
    <r>
      <rPr>
        <sz val="10"/>
        <rFont val="Noto Sans CJK SC"/>
        <family val="2"/>
      </rPr>
      <t xml:space="preserve">蓋</t>
    </r>
    <r>
      <rPr>
        <sz val="10"/>
        <rFont val="Arial"/>
        <family val="0"/>
        <charset val="1"/>
      </rPr>
      <t xml:space="preserve">)</t>
    </r>
    <r>
      <rPr>
        <sz val="10"/>
        <rFont val="Noto Sans CJK SC"/>
        <family val="2"/>
      </rPr>
      <t xml:space="preserve">不動產面積受種於參勳四至東至南至西至北至畝分畝分釐等則賦額地丁糧米產價陸拾貳元出典主姓名陳宿康中證人姓名陳文明立契年民國於陸年於貳月其此處蓋財政廳驗契證關防此處蓋縣政府印第六區區長簽名蓋章中華民國廿九年二月廿三日第</t>
    </r>
    <r>
      <rPr>
        <sz val="10"/>
        <rFont val="Arial"/>
        <family val="0"/>
        <charset val="1"/>
      </rPr>
      <t xml:space="preserve">62812</t>
    </r>
    <r>
      <rPr>
        <sz val="10"/>
        <rFont val="Noto Sans CJK SC"/>
        <family val="2"/>
      </rPr>
      <t xml:space="preserve">號第三保保長或鄉長簽名蓋章此種已稅契驗契證不收驗費此張給業主粘連原契據管業此處粘連原契時縫加蓋驗契鈐記證中華民國十八年五月日給右給業戶陳桂修准此新字第號檢對後蓋如</t>
    </r>
    <r>
      <rPr>
        <sz val="10"/>
        <rFont val="Arial"/>
        <family val="0"/>
        <charset val="1"/>
      </rPr>
      <t xml:space="preserve">Verticaltextontheleftmargin,partiallyobscuredbythemaindocument.</t>
    </r>
  </si>
  <si>
    <t xml:space="preserve">31735068223431_002</t>
  </si>
  <si>
    <t xml:space="preserve">價陸拾伍元</t>
  </si>
  <si>
    <t xml:space="preserve">新字第一號</t>
  </si>
  <si>
    <r>
      <rPr>
        <sz val="10"/>
        <rFont val="Noto Sans CJK SC"/>
        <family val="2"/>
      </rPr>
      <t xml:space="preserve">驗稅契證福建財政廳為給發驗稅契證事案奉國民政府財政部訓令頒發驗契暫行條例及各省驗契章程凡在此次開辦驗契以前成立之不動產舊契無論已稅未稅均應一律限期呈驗換發新契紙倘逾限不呈驗遇有訴訟不能作為憑證如經人告發或官廳查出者並加以處罰財政部咨行司法部通飭遵辦以為查驗者戒等因奉此當經擬具徵收方法電奉財政部核准照辦並已訂定本省驗契補充辦法分別通令布告遵照在案茲據業戶陳桂修呈繳未稅賣契壹紙產價陸拾伍元三毫四厘原契已載用白單章呈驗應納紙價伍元肆角肆分註冊費壹角附加教育費貳角業已如數收訖除註冊外合填驗稅契證粘連原契印給執照業須至契證者此係舊契用紙外國人承辦向章產契未繳稅核發驗稅契證作為無效通限第六右給業戶陳桂修准此中華民國十八年五月日給新字第一號此係舊契用紙外國人承辦</t>
    </r>
    <r>
      <rPr>
        <sz val="10"/>
        <rFont val="Arial"/>
        <family val="0"/>
        <charset val="1"/>
      </rPr>
      <t xml:space="preserve">...</t>
    </r>
    <r>
      <rPr>
        <sz val="10"/>
        <rFont val="Noto Sans CJK SC"/>
        <family val="2"/>
      </rPr>
      <t xml:space="preserve">向章產契未繳稅</t>
    </r>
    <r>
      <rPr>
        <sz val="10"/>
        <rFont val="Arial"/>
        <family val="0"/>
        <charset val="1"/>
      </rPr>
      <t xml:space="preserve">...</t>
    </r>
    <r>
      <rPr>
        <sz val="10"/>
        <rFont val="Noto Sans CJK SC"/>
        <family val="2"/>
      </rPr>
      <t xml:space="preserve">核發驗稅契證</t>
    </r>
    <r>
      <rPr>
        <sz val="10"/>
        <rFont val="Arial"/>
        <family val="0"/>
        <charset val="1"/>
      </rPr>
      <t xml:space="preserve">...</t>
    </r>
    <r>
      <rPr>
        <sz val="10"/>
        <rFont val="Noto Sans CJK SC"/>
        <family val="2"/>
      </rPr>
      <t xml:space="preserve">作為無效</t>
    </r>
    <r>
      <rPr>
        <sz val="10"/>
        <rFont val="Arial"/>
        <family val="0"/>
        <charset val="1"/>
      </rPr>
      <t xml:space="preserve">...</t>
    </r>
    <r>
      <rPr>
        <sz val="10"/>
        <rFont val="Noto Sans CJK SC"/>
        <family val="2"/>
      </rPr>
      <t xml:space="preserve">通限第六中華民國十八年五月</t>
    </r>
  </si>
  <si>
    <t xml:space="preserve">31735068223449_001</t>
  </si>
  <si>
    <t xml:space="preserve">31735068223449</t>
  </si>
  <si>
    <t xml:space="preserve">1932/1935</t>
  </si>
  <si>
    <t xml:space="preserve">陳聖榜</t>
  </si>
  <si>
    <t xml:space="preserve">Box 3, Folder 147A</t>
  </si>
  <si>
    <t xml:space="preserve">民國十五年</t>
  </si>
  <si>
    <t xml:space="preserve">壹紙其</t>
  </si>
  <si>
    <r>
      <rPr>
        <sz val="10"/>
        <rFont val="Noto Sans CJK SC"/>
        <family val="2"/>
      </rPr>
      <t xml:space="preserve">價叁拾員</t>
    </r>
    <r>
      <rPr>
        <sz val="10"/>
        <rFont val="Arial"/>
        <family val="0"/>
        <charset val="1"/>
      </rPr>
      <t xml:space="preserve">; </t>
    </r>
    <r>
      <rPr>
        <sz val="10"/>
        <rFont val="Noto Sans CJK SC"/>
        <family val="2"/>
      </rPr>
      <t xml:space="preserve">價大洋叁拾員正</t>
    </r>
  </si>
  <si>
    <t xml:space="preserve">崩墘倉厝</t>
  </si>
  <si>
    <t xml:space="preserve">坐址崩墘倉厝</t>
  </si>
  <si>
    <r>
      <rPr>
        <sz val="10"/>
        <rFont val="Noto Sans CJK SC"/>
        <family val="2"/>
      </rPr>
      <t xml:space="preserve">根面全田</t>
    </r>
    <r>
      <rPr>
        <sz val="10"/>
        <rFont val="Arial"/>
        <family val="0"/>
        <charset val="1"/>
      </rPr>
      <t xml:space="preserve">; </t>
    </r>
    <r>
      <rPr>
        <sz val="10"/>
        <rFont val="Noto Sans CJK SC"/>
        <family val="2"/>
      </rPr>
      <t xml:space="preserve">民田</t>
    </r>
    <r>
      <rPr>
        <sz val="10"/>
        <rFont val="Arial"/>
        <family val="0"/>
        <charset val="1"/>
      </rPr>
      <t xml:space="preserve">; </t>
    </r>
    <r>
      <rPr>
        <sz val="10"/>
        <rFont val="Noto Sans CJK SC"/>
        <family val="2"/>
      </rPr>
      <t xml:space="preserve">苗米</t>
    </r>
  </si>
  <si>
    <t xml:space="preserve">房叔陳宿</t>
  </si>
  <si>
    <t xml:space="preserve">脫侄</t>
  </si>
  <si>
    <t xml:space="preserve">https://digital.library.pitt.edu/islandora/object/pitt:31735068223449</t>
  </si>
  <si>
    <r>
      <rPr>
        <sz val="10"/>
        <rFont val="Noto Sans CJK SC"/>
        <family val="2"/>
      </rPr>
      <t xml:space="preserve">契賣福不還外不動賣賣不動該契稅銀壹元捌角廳頒賣契紙壹元縣天宇第捌百柒拾叁號中華民國十五年伍月拾八日閩侯縣契稅局印給右給業主陳桂修收執福建省政府財政廳頒發閩侯縣已稅契契證茲為整理契稅，體卹人民，保障產權起見，特定契契辦法，凡屬田園屋地各類不動產，已稅未稅契據，均應一律投驗，填給驗契證，已稅之紅契，不收驗費，未稅之白契，無論典賣及產價多寡，每張祇收驗契費銀壹元，經此驗契，粘有驗契證者，方為有效。非經買賣移轉，再不徵稅。業主姓名陳桂修業主住址郎霞村不動產種類田不動產坐落崩墘倉厝即段第廿四號不動產面積壹畝四至東至南至西至北至畝分畝分壹等則賦額地丁糧米產價叁拾員業主姓名陳聖榜中證人姓名立契年月日民國十五年其他叁拾中華民國廿五年七月七日第</t>
    </r>
    <r>
      <rPr>
        <sz val="10"/>
        <rFont val="Arial"/>
        <family val="0"/>
        <charset val="1"/>
      </rPr>
      <t xml:space="preserve">62879</t>
    </r>
    <r>
      <rPr>
        <sz val="10"/>
        <rFont val="Noto Sans CJK SC"/>
        <family val="2"/>
      </rPr>
      <t xml:space="preserve">號此處蓋財政廳驗契開防此處蓋縣政府印第六區長林松第三區長林松此種已稅契契證不收驗費此張填業主粘連原契據營業此處粘連原契據加蓋驗契證記民國十五年七月七日代字房叔陳宿贈民國十五年十二月日賣斷根面全田契侄陳聖榜在見脫侄長松林松立賣斷根面全田契侄陳聖榜係在本房住人自已手置閩分份下有民田數塊土名坐址崩墘倉厝地方其苗米畝數儀冊明白年受種陸角正今因乏用自情愿叔侄相商將此田向到本房叔陳桂修處言議賣斷出根面全田價大洋叁拾員正其錢即日交訖其田來年春付叔起佃耕作其糧色過冊入戶完課晉業無詞但此田自賣斷之後永斷葛藤聽叔子孫永遠為業侄子孫不敢別生枝節之理倘有來厝不明係侄出抵不涉叔之事兩允勿悔恐口無憑立賣斷根面全田契壹紙其原契統付為憑</t>
    </r>
  </si>
  <si>
    <t xml:space="preserve">31735068223449_002</t>
  </si>
  <si>
    <r>
      <rPr>
        <sz val="10"/>
        <rFont val="Noto Sans CJK SC"/>
        <family val="2"/>
      </rPr>
      <t xml:space="preserve">民國貳拾壹年</t>
    </r>
    <r>
      <rPr>
        <sz val="10"/>
        <rFont val="Arial"/>
        <family val="0"/>
        <charset val="1"/>
      </rPr>
      <t xml:space="preserve">; </t>
    </r>
    <r>
      <rPr>
        <sz val="10"/>
        <rFont val="Noto Sans CJK SC"/>
        <family val="2"/>
      </rPr>
      <t xml:space="preserve">中華民國貳拾壹年</t>
    </r>
  </si>
  <si>
    <r>
      <rPr>
        <sz val="10"/>
        <rFont val="Noto Sans CJK SC"/>
        <family val="2"/>
      </rPr>
      <t xml:space="preserve">價銀叁拾元</t>
    </r>
    <r>
      <rPr>
        <sz val="10"/>
        <rFont val="Arial"/>
        <family val="0"/>
        <charset val="1"/>
      </rPr>
      <t xml:space="preserve">; </t>
    </r>
    <r>
      <rPr>
        <sz val="10"/>
        <rFont val="Noto Sans CJK SC"/>
        <family val="2"/>
      </rPr>
      <t xml:space="preserve">價大洋叁拾員正</t>
    </r>
  </si>
  <si>
    <t xml:space="preserve">崩瓏倉厝</t>
  </si>
  <si>
    <t xml:space="preserve">坐址崩瓏倉厝</t>
  </si>
  <si>
    <r>
      <rPr>
        <sz val="10"/>
        <rFont val="Noto Sans CJK SC"/>
        <family val="2"/>
      </rPr>
      <t xml:space="preserve">契 </t>
    </r>
    <r>
      <rPr>
        <sz val="10"/>
        <rFont val="Arial"/>
        <family val="0"/>
        <charset val="1"/>
      </rPr>
      <t xml:space="preserve">| </t>
    </r>
    <r>
      <rPr>
        <sz val="10"/>
        <rFont val="Noto Sans CJK SC"/>
        <family val="2"/>
      </rPr>
      <t xml:space="preserve">賣 </t>
    </r>
    <r>
      <rPr>
        <sz val="10"/>
        <rFont val="Arial"/>
        <family val="0"/>
        <charset val="1"/>
      </rPr>
      <t xml:space="preserve">| </t>
    </r>
    <r>
      <rPr>
        <sz val="10"/>
        <rFont val="Noto Sans CJK SC"/>
        <family val="2"/>
      </rPr>
      <t xml:space="preserve">計開</t>
    </r>
  </si>
  <si>
    <t xml:space="preserve">字第捌百柒拾壹號</t>
  </si>
  <si>
    <t xml:space="preserve">契賣福建省政府財政廳為印給賣契事茲據業陳桂修申報憑中買受後開不動產物業並將所立白契連同上手契繳請印稅前外自應照准除將稅款核收及將上手契先行發還外合即按契逐款填明粘連蓋印發收執以資營業須至賣契者計開不動產種類田坐落崩瓏倉厝厝不動產面積受種陸斤四至東至賣主姓名陳聖榜南至南至立契年月日民國貳拾壹年十二月中證人姓名至該產價銀叁拾元上手原契幾張北至該契稅銀壹元捌角廳頒賣契紙壹元縣天字第捌百柒拾壹號右給業主陳桂修收執中華民國貳拾壹年伍月拾日閩侯縣契稅局印給賣主姓名陳聖榜坐落崩瓏倉厝厝不動產種類田坐落崩瓏倉厝厝不動產面積四坐落崩瓏倉厝厝立契年月日民國貳拾壹年十二月坐落崩瓏倉厝厝該產價銀叁拾元坐落崩瓏倉厝厝該契稅銀壹元捌角坐落崩瓏倉厝厝立賣斷根面全田契係在本房住人自己手置淘分份下有民田數塊土名坐址崩瓏倉厝地方其苗米畝數冊明白年受種陸劄正今因乏用自情願叔侄相商將此田向到本房叔陳桂修處言議賣斷出根面全田價大洋叁拾員正其錢即日交訖其田來年春付叔起佃耕作其租色過冊入戶完課晉業無詞但此田自賣斷之後永斷葛藤聽叔子孫永遠為業住子孫不敢別生枝節之理倘有來厝不明係侄出抵不涉叔之事兩允勿悔恐口無憑立賣斷根面全田契壹紙其原契統付為照</t>
  </si>
  <si>
    <t xml:space="preserve">31735068223456_001</t>
  </si>
  <si>
    <t xml:space="preserve">31735068223456</t>
  </si>
  <si>
    <t xml:space="preserve">劉人科</t>
  </si>
  <si>
    <t xml:space="preserve">劉子知後裔</t>
  </si>
  <si>
    <t xml:space="preserve">Box 3, Folder 155A</t>
  </si>
  <si>
    <t xml:space="preserve">https://digital.library.pitt.edu/islandora/object/pitt:31735068223456</t>
  </si>
  <si>
    <t xml:space="preserve">31735068223464_001</t>
  </si>
  <si>
    <t xml:space="preserve">31735068223464</t>
  </si>
  <si>
    <t xml:space="preserve">1948</t>
  </si>
  <si>
    <t xml:space="preserve">上海市</t>
  </si>
  <si>
    <t xml:space="preserve">余挹岩</t>
  </si>
  <si>
    <t xml:space="preserve">Box 4, Folder 188A</t>
  </si>
  <si>
    <t xml:space="preserve">上海救濟委員會 籌募委員用牋</t>
  </si>
  <si>
    <t xml:space="preserve">https://digital.library.pitt.edu/islandora/object/pitt:31735068223464</t>
  </si>
  <si>
    <t xml:space="preserve">上海救濟委員會籌募委員用牋第號第頁逕啟者茲查本部甲種房屋義賣券中獎收據證書業經填製完畢請於即日起攜帶中獎字號甲種房屋義賣券暨印鑑來部具領為荷此致余挹巖君啟中華民國廿七年七月十七日電話：四〇三三四四〇五三八地址：河北路南天后宮橋境市商會內</t>
  </si>
  <si>
    <t xml:space="preserve">31735068223464_002</t>
  </si>
  <si>
    <t xml:space="preserve">貴州省中小科學儀器製造廠用箋</t>
  </si>
  <si>
    <t xml:space="preserve">貴州省中小科學儀器製造廠用箋字第號第頁啟者：此等器具，五科係金銀等，承蒙各界，批發往來，向謝。愛爾打而通內飛倫特字號，承辦一切，應抽籤之期，可以趕上，將此証書上，用金銀等字樣，可免先以此為憑。此等器具，誠說明性者，以為將來，若蒙各界，信託，當因此向，願及承辦，未了，此等之目，既為先，知身。有關，曉法，隨時，以知，為感！此啟為家文儀，此等，向居，地法，未知。此等，向有多，知，此！居，信，何，知，此，打，所！金銀等批發中華民國廿七年的月廿日貴陽科學路二十號電話一六八號電報掛號八〇九二</t>
  </si>
  <si>
    <t xml:space="preserve">31735068223464_003</t>
  </si>
  <si>
    <r>
      <rPr>
        <sz val="10"/>
        <rFont val="Noto Sans CJK SC"/>
        <family val="2"/>
      </rPr>
      <t xml:space="preserve">四川路</t>
    </r>
    <r>
      <rPr>
        <sz val="10"/>
        <rFont val="Arial"/>
        <family val="0"/>
        <charset val="1"/>
      </rPr>
      <t xml:space="preserve">270</t>
    </r>
    <r>
      <rPr>
        <sz val="10"/>
        <rFont val="Noto Sans CJK SC"/>
        <family val="2"/>
      </rPr>
      <t xml:space="preserve">號中國產物保險公司余挹巖先生地址：北河南路天后宮橋堍市商會內上海市冬令救濟委員會房屋義賣部緘電話：四四〇五八</t>
    </r>
  </si>
  <si>
    <t xml:space="preserve">31735068223472_001</t>
  </si>
  <si>
    <t xml:space="preserve">31735068223472</t>
  </si>
  <si>
    <t xml:space="preserve">王細細弟</t>
  </si>
  <si>
    <t xml:space="preserve">王炳凱</t>
  </si>
  <si>
    <t xml:space="preserve">Box 4, Folder 195A</t>
  </si>
  <si>
    <t xml:space="preserve">立繼承契</t>
  </si>
  <si>
    <r>
      <rPr>
        <sz val="10"/>
        <rFont val="Noto Sans CJK SC"/>
        <family val="2"/>
      </rPr>
      <t xml:space="preserve">民國貳拾叁年</t>
    </r>
    <r>
      <rPr>
        <sz val="10"/>
        <rFont val="Arial"/>
        <family val="0"/>
        <charset val="1"/>
      </rPr>
      <t xml:space="preserve">; </t>
    </r>
    <r>
      <rPr>
        <sz val="10"/>
        <rFont val="Noto Sans CJK SC"/>
        <family val="2"/>
      </rPr>
      <t xml:space="preserve">公元一九五一年</t>
    </r>
  </si>
  <si>
    <t xml:space="preserve">王細細係</t>
  </si>
  <si>
    <t xml:space="preserve">閩侯橫山舖秋龍社高頂埕</t>
  </si>
  <si>
    <t xml:space="preserve">https://digital.library.pitt.edu/islandora/object/pitt:31735068223472</t>
  </si>
  <si>
    <t xml:space="preserve">立繼承契王細細係原承祖遺闔分份下有自己坐南朝北厝屋壹座坐落閩侯橫山舖秋龍社高頂埕地方警編門牌下底埕第壹號土地登記區段號數編為第三區十八段第四七八八號面積計零畝零分肆厘捌毫其屋式叁柱叁欄排厝屋計樓房貳堵平房壹堵屋內門窓戶櫥樓地坪踏房枋截堵橫直樹一切俱全直深計壹丈陸尺零橫濶叁丈柒尺零其六四至前至天井後至牆左至廊墘右至王家屋上至椽楹碑瓦天下至礫石地基地六至俱載明白係父暨祖父均已病故此業由係繼承經係於民國貳拾叁年五月間立契價賣與王炳凱為業曾已移轉登記有案茲因契稅需要特立繼承契壹紙付買主收執為據添下底埕叁字塗四字改六字標照公元一九五一年四月日立繼承契王細細係</t>
  </si>
  <si>
    <t xml:space="preserve">The 12 narrative moves of a private deed</t>
  </si>
  <si>
    <t xml:space="preserve">Counts = private-deed pages (incl. deed + certificate) where the move's search pattern appears in the OCR text. Lower bounds: OCR misreads hide some instances.</t>
  </si>
  <si>
    <t xml:space="preserve">#</t>
  </si>
  <si>
    <t xml:space="preserve">Move</t>
  </si>
  <si>
    <t xml:space="preserve">Typical formula</t>
  </si>
  <si>
    <t xml:space="preserve">Function</t>
  </si>
  <si>
    <t xml:space="preserve">Flag column in Documents</t>
  </si>
  <si>
    <t xml:space="preserve">Pages with move</t>
  </si>
  <si>
    <t xml:space="preserve">Private pages</t>
  </si>
  <si>
    <t xml:space="preserve">Share</t>
  </si>
  <si>
    <t xml:space="preserve">Title &amp; author</t>
  </si>
  <si>
    <r>
      <rPr>
        <sz val="10"/>
        <rFont val="Noto Sans CJK SC"/>
        <family val="2"/>
      </rPr>
      <t xml:space="preserve">立〔賣斷〕契 </t>
    </r>
    <r>
      <rPr>
        <sz val="10"/>
        <rFont val="Arial"/>
        <family val="0"/>
        <charset val="1"/>
      </rPr>
      <t xml:space="preserve">+ name</t>
    </r>
  </si>
  <si>
    <t xml:space="preserve">Names the contract by legal type and its author</t>
  </si>
  <si>
    <t xml:space="preserve">(not auto-detected)</t>
  </si>
  <si>
    <t xml:space="preserve">Provenance</t>
  </si>
  <si>
    <r>
      <rPr>
        <sz val="10"/>
        <rFont val="Noto Sans CJK SC"/>
        <family val="2"/>
      </rPr>
      <t xml:space="preserve">承祖 </t>
    </r>
    <r>
      <rPr>
        <sz val="10"/>
        <rFont val="Arial"/>
        <family val="0"/>
        <charset val="1"/>
      </rPr>
      <t xml:space="preserve">/ </t>
    </r>
    <r>
      <rPr>
        <sz val="10"/>
        <rFont val="Noto Sans CJK SC"/>
        <family val="2"/>
      </rPr>
      <t xml:space="preserve">承父手置 </t>
    </r>
    <r>
      <rPr>
        <sz val="10"/>
        <rFont val="Arial"/>
        <family val="0"/>
        <charset val="1"/>
      </rPr>
      <t xml:space="preserve">/ </t>
    </r>
    <r>
      <rPr>
        <sz val="10"/>
        <rFont val="Noto Sans CJK SC"/>
        <family val="2"/>
      </rPr>
      <t xml:space="preserve">鬮書份下</t>
    </r>
  </si>
  <si>
    <t xml:space="preserve">Ownership told as inheritance</t>
  </si>
  <si>
    <t xml:space="preserve">Description</t>
  </si>
  <si>
    <r>
      <rPr>
        <sz val="10"/>
        <rFont val="Noto Sans CJK SC"/>
        <family val="2"/>
      </rPr>
      <t xml:space="preserve">坐落…土名… </t>
    </r>
    <r>
      <rPr>
        <sz val="10"/>
        <rFont val="Arial"/>
        <family val="0"/>
        <charset val="1"/>
      </rPr>
      <t xml:space="preserve">/ </t>
    </r>
    <r>
      <rPr>
        <sz val="10"/>
        <rFont val="Noto Sans CJK SC"/>
        <family val="2"/>
      </rPr>
      <t xml:space="preserve">四至 </t>
    </r>
    <r>
      <rPr>
        <sz val="10"/>
        <rFont val="Arial"/>
        <family val="0"/>
        <charset val="1"/>
      </rPr>
      <t xml:space="preserve">/ </t>
    </r>
    <r>
      <rPr>
        <sz val="10"/>
        <rFont val="Noto Sans CJK SC"/>
        <family val="2"/>
      </rPr>
      <t xml:space="preserve">受種 </t>
    </r>
    <r>
      <rPr>
        <sz val="10"/>
        <rFont val="Arial"/>
        <family val="0"/>
        <charset val="1"/>
      </rPr>
      <t xml:space="preserve">/ </t>
    </r>
    <r>
      <rPr>
        <sz val="10"/>
        <rFont val="Noto Sans CJK SC"/>
        <family val="2"/>
      </rPr>
      <t xml:space="preserve">年載租</t>
    </r>
  </si>
  <si>
    <t xml:space="preserve">Land located by native place-name, measured by seed and rent</t>
  </si>
  <si>
    <t xml:space="preserve">Motive</t>
  </si>
  <si>
    <r>
      <rPr>
        <sz val="10"/>
        <rFont val="Noto Sans CJK SC"/>
        <family val="2"/>
      </rPr>
      <t xml:space="preserve">今因要用 </t>
    </r>
    <r>
      <rPr>
        <sz val="10"/>
        <rFont val="Arial"/>
        <family val="0"/>
        <charset val="1"/>
      </rPr>
      <t xml:space="preserve">/ </t>
    </r>
    <r>
      <rPr>
        <sz val="10"/>
        <rFont val="Noto Sans CJK SC"/>
        <family val="2"/>
      </rPr>
      <t xml:space="preserve">別置 </t>
    </r>
    <r>
      <rPr>
        <sz val="10"/>
        <rFont val="Arial"/>
        <family val="0"/>
        <charset val="1"/>
      </rPr>
      <t xml:space="preserve">/ </t>
    </r>
    <r>
      <rPr>
        <sz val="10"/>
        <rFont val="Noto Sans CJK SC"/>
        <family val="2"/>
      </rPr>
      <t xml:space="preserve">無錢應用</t>
    </r>
  </si>
  <si>
    <t xml:space="preserve">Turning point; reason kept formulaic</t>
  </si>
  <si>
    <r>
      <rPr>
        <sz val="10"/>
        <rFont val="Noto Sans CJK SC"/>
        <family val="2"/>
      </rPr>
      <t xml:space="preserve">今因 </t>
    </r>
    <r>
      <rPr>
        <sz val="10"/>
        <rFont val="Arial"/>
        <family val="0"/>
        <charset val="1"/>
      </rPr>
      <t xml:space="preserve">motive</t>
    </r>
  </si>
  <si>
    <t xml:space="preserve">Voluntariness</t>
  </si>
  <si>
    <t xml:space="preserve">自願</t>
  </si>
  <si>
    <t xml:space="preserve">Seller acts of own will</t>
  </si>
  <si>
    <r>
      <rPr>
        <sz val="10"/>
        <rFont val="Noto Sans CJK SC"/>
        <family val="2"/>
      </rPr>
      <t xml:space="preserve">自願 </t>
    </r>
    <r>
      <rPr>
        <sz val="10"/>
        <rFont val="Arial"/>
        <family val="0"/>
        <charset val="1"/>
      </rPr>
      <t xml:space="preserve">voluntary</t>
    </r>
  </si>
  <si>
    <t xml:space="preserve">Mediation</t>
  </si>
  <si>
    <r>
      <rPr>
        <sz val="10"/>
        <rFont val="Noto Sans CJK SC"/>
        <family val="2"/>
      </rPr>
      <t xml:space="preserve">託中 … 賣與 ⏎ </t>
    </r>
    <r>
      <rPr>
        <sz val="10"/>
        <rFont val="Arial"/>
        <family val="0"/>
        <charset val="1"/>
      </rPr>
      <t xml:space="preserve">X</t>
    </r>
    <r>
      <rPr>
        <sz val="10"/>
        <rFont val="Noto Sans CJK SC"/>
        <family val="2"/>
      </rPr>
      <t xml:space="preserve">處為業</t>
    </r>
  </si>
  <si>
    <r>
      <rPr>
        <sz val="10"/>
        <rFont val="Arial"/>
        <family val="0"/>
        <charset val="1"/>
      </rPr>
      <t xml:space="preserve">Middleman; buyer name often raised to a new line (</t>
    </r>
    <r>
      <rPr>
        <sz val="10"/>
        <rFont val="Noto Sans CJK SC"/>
        <family val="2"/>
      </rPr>
      <t xml:space="preserve">抬頭</t>
    </r>
    <r>
      <rPr>
        <sz val="10"/>
        <rFont val="Arial"/>
        <family val="0"/>
        <charset val="1"/>
      </rPr>
      <t xml:space="preserve">)</t>
    </r>
  </si>
  <si>
    <r>
      <rPr>
        <sz val="10"/>
        <rFont val="Noto Sans CJK SC"/>
        <family val="2"/>
      </rPr>
      <t xml:space="preserve">託中 </t>
    </r>
    <r>
      <rPr>
        <sz val="10"/>
        <rFont val="Arial"/>
        <family val="0"/>
        <charset val="1"/>
      </rPr>
      <t xml:space="preserve">mediated</t>
    </r>
  </si>
  <si>
    <t xml:space="preserve">Agreement &amp; price</t>
  </si>
  <si>
    <t xml:space="preserve">三面言議 … 價銀…正</t>
  </si>
  <si>
    <r>
      <rPr>
        <sz val="10"/>
        <rFont val="Arial"/>
        <family val="0"/>
        <charset val="1"/>
      </rPr>
      <t xml:space="preserve">Three-party agreement; formal numerals closed by </t>
    </r>
    <r>
      <rPr>
        <sz val="10"/>
        <rFont val="Noto Sans CJK SC"/>
        <family val="2"/>
      </rPr>
      <t xml:space="preserve">正</t>
    </r>
  </si>
  <si>
    <t xml:space="preserve">Payment</t>
  </si>
  <si>
    <t xml:space="preserve">其銀即日隨契交足</t>
  </si>
  <si>
    <t xml:space="preserve">Payment complete at writing</t>
  </si>
  <si>
    <r>
      <rPr>
        <sz val="10"/>
        <rFont val="Noto Sans CJK SC"/>
        <family val="2"/>
      </rPr>
      <t xml:space="preserve">即日交足 </t>
    </r>
    <r>
      <rPr>
        <sz val="10"/>
        <rFont val="Arial"/>
        <family val="0"/>
        <charset val="1"/>
      </rPr>
      <t xml:space="preserve">paid</t>
    </r>
  </si>
  <si>
    <t xml:space="preserve">Warranty</t>
  </si>
  <si>
    <t xml:space="preserve">未曾重張典當…來歷不明</t>
  </si>
  <si>
    <t xml:space="preserve">Negates every possible prior claim</t>
  </si>
  <si>
    <r>
      <rPr>
        <sz val="10"/>
        <rFont val="Noto Sans CJK SC"/>
        <family val="2"/>
      </rPr>
      <t xml:space="preserve">無重典</t>
    </r>
    <r>
      <rPr>
        <sz val="10"/>
        <rFont val="Arial"/>
        <family val="0"/>
        <charset val="1"/>
      </rPr>
      <t xml:space="preserve">/</t>
    </r>
    <r>
      <rPr>
        <sz val="10"/>
        <rFont val="Noto Sans CJK SC"/>
        <family val="2"/>
      </rPr>
      <t xml:space="preserve">來歷 </t>
    </r>
    <r>
      <rPr>
        <sz val="10"/>
        <rFont val="Arial"/>
        <family val="0"/>
        <charset val="1"/>
      </rPr>
      <t xml:space="preserve">warranty</t>
    </r>
  </si>
  <si>
    <t xml:space="preserve">Liability</t>
  </si>
  <si>
    <r>
      <rPr>
        <sz val="10"/>
        <rFont val="Noto Sans CJK SC"/>
        <family val="2"/>
      </rPr>
      <t xml:space="preserve">出頭承當，不涉</t>
    </r>
    <r>
      <rPr>
        <sz val="10"/>
        <rFont val="Arial"/>
        <family val="0"/>
        <charset val="1"/>
      </rPr>
      <t xml:space="preserve">X</t>
    </r>
    <r>
      <rPr>
        <sz val="10"/>
        <rFont val="Noto Sans CJK SC"/>
        <family val="2"/>
      </rPr>
      <t xml:space="preserve">之事</t>
    </r>
  </si>
  <si>
    <t xml:space="preserve">Seller answers any claim</t>
  </si>
  <si>
    <r>
      <rPr>
        <sz val="10"/>
        <rFont val="Noto Sans CJK SC"/>
        <family val="2"/>
      </rPr>
      <t xml:space="preserve">出頭承當 </t>
    </r>
    <r>
      <rPr>
        <sz val="10"/>
        <rFont val="Arial"/>
        <family val="0"/>
        <charset val="1"/>
      </rPr>
      <t xml:space="preserve">seller answers</t>
    </r>
  </si>
  <si>
    <t xml:space="preserve">Time clause</t>
  </si>
  <si>
    <r>
      <rPr>
        <sz val="10"/>
        <rFont val="Noto Sans CJK SC"/>
        <family val="2"/>
      </rPr>
      <t xml:space="preserve">面約…年為限…取贖 </t>
    </r>
    <r>
      <rPr>
        <sz val="10"/>
        <rFont val="Arial"/>
        <family val="0"/>
        <charset val="1"/>
      </rPr>
      <t xml:space="preserve">/ </t>
    </r>
    <r>
      <rPr>
        <sz val="10"/>
        <rFont val="Noto Sans CJK SC"/>
        <family val="2"/>
      </rPr>
      <t xml:space="preserve">永斷萬無</t>
    </r>
  </si>
  <si>
    <t xml:space="preserve">Redemption window or permanent closure</t>
  </si>
  <si>
    <r>
      <rPr>
        <sz val="10"/>
        <rFont val="Noto Sans CJK SC"/>
        <family val="2"/>
      </rPr>
      <t xml:space="preserve">取贖 </t>
    </r>
    <r>
      <rPr>
        <sz val="10"/>
        <rFont val="Arial"/>
        <family val="0"/>
        <charset val="1"/>
      </rPr>
      <t xml:space="preserve">redemption</t>
    </r>
  </si>
  <si>
    <t xml:space="preserve">Closing</t>
  </si>
  <si>
    <t xml:space="preserve">兩相允願，各無反悔。今欲有憑，立…壹紙為照</t>
  </si>
  <si>
    <t xml:space="preserve">The paper itself as proof</t>
  </si>
  <si>
    <r>
      <rPr>
        <sz val="10"/>
        <rFont val="Noto Sans CJK SC"/>
        <family val="2"/>
      </rPr>
      <t xml:space="preserve">今欲有憑 </t>
    </r>
    <r>
      <rPr>
        <sz val="10"/>
        <rFont val="Arial"/>
        <family val="0"/>
        <charset val="1"/>
      </rPr>
      <t xml:space="preserve">closing</t>
    </r>
  </si>
  <si>
    <t xml:space="preserve">Private-deed formulae by period</t>
  </si>
  <si>
    <t xml:space="preserve">Each cell: number of private-deed pages in that period whose OCR text contains the formula. Period = catalogue start year.</t>
  </si>
  <si>
    <t xml:space="preserve">Formula</t>
  </si>
  <si>
    <t xml:space="preserve">pre-1796</t>
  </si>
  <si>
    <t xml:space="preserve">1796-1911</t>
  </si>
  <si>
    <t xml:space="preserve">1912-1948</t>
  </si>
  <si>
    <t xml:space="preserve">1949+</t>
  </si>
  <si>
    <t xml:space="preserve">?</t>
  </si>
  <si>
    <t xml:space="preserve">Total</t>
  </si>
  <si>
    <t xml:space="preserve">pre-1796 %</t>
  </si>
  <si>
    <t xml:space="preserve">1796-1911 %</t>
  </si>
  <si>
    <t xml:space="preserve">1912-1948 %</t>
  </si>
  <si>
    <t xml:space="preserve">Private pages (base)</t>
  </si>
  <si>
    <r>
      <rPr>
        <sz val="10"/>
        <rFont val="Noto Sans CJK SC"/>
        <family val="2"/>
      </rPr>
      <t xml:space="preserve">永遠 </t>
    </r>
    <r>
      <rPr>
        <sz val="10"/>
        <rFont val="Arial"/>
        <family val="0"/>
        <charset val="1"/>
      </rPr>
      <t xml:space="preserve">perpetual</t>
    </r>
  </si>
  <si>
    <r>
      <rPr>
        <sz val="10"/>
        <rFont val="Noto Sans CJK SC"/>
        <family val="2"/>
      </rPr>
      <t xml:space="preserve">無反悔</t>
    </r>
    <r>
      <rPr>
        <sz val="10"/>
        <rFont val="Arial"/>
        <family val="0"/>
        <charset val="1"/>
      </rPr>
      <t xml:space="preserve">/</t>
    </r>
    <r>
      <rPr>
        <sz val="10"/>
        <rFont val="Noto Sans CJK SC"/>
        <family val="2"/>
      </rPr>
      <t xml:space="preserve">異言</t>
    </r>
  </si>
  <si>
    <r>
      <rPr>
        <sz val="10"/>
        <rFont val="Noto Sans CJK SC"/>
        <family val="2"/>
      </rPr>
      <t xml:space="preserve">併繳 </t>
    </r>
    <r>
      <rPr>
        <sz val="10"/>
        <rFont val="Arial"/>
        <family val="0"/>
        <charset val="1"/>
      </rPr>
      <t xml:space="preserve">prior deeds</t>
    </r>
  </si>
  <si>
    <r>
      <rPr>
        <sz val="10"/>
        <rFont val="Noto Sans CJK SC"/>
        <family val="2"/>
      </rPr>
      <t xml:space="preserve">內改 </t>
    </r>
    <r>
      <rPr>
        <sz val="10"/>
        <rFont val="Arial"/>
        <family val="0"/>
        <charset val="1"/>
      </rPr>
      <t xml:space="preserve">correction</t>
    </r>
  </si>
  <si>
    <t xml:space="preserve">Bureaucratic formulae by regime</t>
  </si>
  <si>
    <t xml:space="preserve">Pages typed "Official form" or "Private deed + state certificate". Regime = catalogue start year (&lt;1912 Qing, &lt;1949 Republic, else PRC).</t>
  </si>
  <si>
    <t xml:space="preserve">Step</t>
  </si>
  <si>
    <t xml:space="preserve">Qing</t>
  </si>
  <si>
    <t xml:space="preserve">Republic</t>
  </si>
  <si>
    <t xml:space="preserve">PRC</t>
  </si>
  <si>
    <t xml:space="preserve">Purpose heading</t>
  </si>
  <si>
    <r>
      <rPr>
        <sz val="10"/>
        <rFont val="Noto Sans CJK SC"/>
        <family val="2"/>
      </rPr>
      <t xml:space="preserve">案奉 </t>
    </r>
    <r>
      <rPr>
        <sz val="10"/>
        <rFont val="Arial"/>
        <family val="0"/>
        <charset val="1"/>
      </rPr>
      <t xml:space="preserve">/ </t>
    </r>
    <r>
      <rPr>
        <sz val="10"/>
        <rFont val="Noto Sans CJK SC"/>
        <family val="2"/>
      </rPr>
      <t xml:space="preserve">等因奉此</t>
    </r>
  </si>
  <si>
    <t xml:space="preserve">Quotes higher authority</t>
  </si>
  <si>
    <t xml:space="preserve">Performative act of issuing</t>
  </si>
  <si>
    <t xml:space="preserve">右給…准此</t>
  </si>
  <si>
    <t xml:space="preserve">Address and close</t>
  </si>
  <si>
    <t xml:space="preserve">–</t>
  </si>
  <si>
    <r>
      <rPr>
        <sz val="10"/>
        <rFont val="Noto Sans CJK SC"/>
        <family val="2"/>
      </rPr>
      <t xml:space="preserve">罰 </t>
    </r>
    <r>
      <rPr>
        <sz val="10"/>
        <rFont val="Arial"/>
        <family val="0"/>
        <charset val="1"/>
      </rPr>
      <t xml:space="preserve">/ </t>
    </r>
    <r>
      <rPr>
        <sz val="10"/>
        <rFont val="Noto Sans CJK SC"/>
        <family val="2"/>
      </rPr>
      <t xml:space="preserve">逾限</t>
    </r>
  </si>
  <si>
    <t xml:space="preserve">Penalties, deadlines</t>
  </si>
  <si>
    <r>
      <rPr>
        <sz val="10"/>
        <rFont val="Noto Sans CJK SC"/>
        <family val="2"/>
      </rPr>
      <t xml:space="preserve">訴訟 </t>
    </r>
    <r>
      <rPr>
        <sz val="10"/>
        <rFont val="Arial"/>
        <family val="0"/>
        <charset val="1"/>
      </rPr>
      <t xml:space="preserve">/ </t>
    </r>
    <r>
      <rPr>
        <sz val="10"/>
        <rFont val="Noto Sans CJK SC"/>
        <family val="2"/>
      </rPr>
      <t xml:space="preserve">憑證</t>
    </r>
  </si>
  <si>
    <t xml:space="preserve">Validity as evidence in court</t>
  </si>
  <si>
    <t xml:space="preserve">Official pages (base)</t>
  </si>
  <si>
    <r>
      <rPr>
        <b val="true"/>
        <sz val="14"/>
        <rFont val="Arial"/>
        <family val="0"/>
        <charset val="1"/>
      </rPr>
      <t xml:space="preserve">Deed titles (</t>
    </r>
    <r>
      <rPr>
        <b val="true"/>
        <sz val="14"/>
        <rFont val="Noto Sans CJK SC"/>
        <family val="2"/>
      </rPr>
      <t xml:space="preserve">立…契</t>
    </r>
    <r>
      <rPr>
        <b val="true"/>
        <sz val="14"/>
        <rFont val="Arial"/>
        <family val="0"/>
        <charset val="1"/>
      </rPr>
      <t xml:space="preserve">/</t>
    </r>
    <r>
      <rPr>
        <b val="true"/>
        <sz val="14"/>
        <rFont val="Noto Sans CJK SC"/>
        <family val="2"/>
      </rPr>
      <t xml:space="preserve">字</t>
    </r>
    <r>
      <rPr>
        <b val="true"/>
        <sz val="14"/>
        <rFont val="Arial"/>
        <family val="0"/>
        <charset val="1"/>
      </rPr>
      <t xml:space="preserve">/</t>
    </r>
    <r>
      <rPr>
        <b val="true"/>
        <sz val="14"/>
        <rFont val="Noto Sans CJK SC"/>
        <family val="2"/>
      </rPr>
      <t xml:space="preserve">約</t>
    </r>
    <r>
      <rPr>
        <b val="true"/>
        <sz val="14"/>
        <rFont val="Arial"/>
        <family val="0"/>
        <charset val="1"/>
      </rPr>
      <t xml:space="preserve">) found in the OCR</t>
    </r>
  </si>
  <si>
    <r>
      <rPr>
        <i val="true"/>
        <sz val="9"/>
        <color rgb="FF555555"/>
        <rFont val="Arial"/>
        <family val="0"/>
        <charset val="1"/>
      </rPr>
      <t xml:space="preserve">Title as recognised. </t>
    </r>
    <r>
      <rPr>
        <i val="true"/>
        <sz val="9"/>
        <color rgb="FF555555"/>
        <rFont val="Noto Sans CJK SC"/>
        <family val="2"/>
      </rPr>
      <t xml:space="preserve">畫 </t>
    </r>
    <r>
      <rPr>
        <i val="true"/>
        <sz val="9"/>
        <color rgb="FF555555"/>
        <rFont val="Arial"/>
        <family val="0"/>
        <charset val="1"/>
      </rPr>
      <t xml:space="preserve">is often an OCR misreading of </t>
    </r>
    <r>
      <rPr>
        <i val="true"/>
        <sz val="9"/>
        <color rgb="FF555555"/>
        <rFont val="Noto Sans CJK SC"/>
        <family val="2"/>
      </rPr>
      <t xml:space="preserve">盡</t>
    </r>
    <r>
      <rPr>
        <i val="true"/>
        <sz val="9"/>
        <color rgb="FF555555"/>
        <rFont val="Arial"/>
        <family val="0"/>
        <charset val="1"/>
      </rPr>
      <t xml:space="preserve">; </t>
    </r>
    <r>
      <rPr>
        <i val="true"/>
        <sz val="9"/>
        <color rgb="FF555555"/>
        <rFont val="Noto Sans CJK SC"/>
        <family val="2"/>
      </rPr>
      <t xml:space="preserve">我 </t>
    </r>
    <r>
      <rPr>
        <i val="true"/>
        <sz val="9"/>
        <color rgb="FF555555"/>
        <rFont val="Arial"/>
        <family val="0"/>
        <charset val="1"/>
      </rPr>
      <t xml:space="preserve">of </t>
    </r>
    <r>
      <rPr>
        <i val="true"/>
        <sz val="9"/>
        <color rgb="FF555555"/>
        <rFont val="Noto Sans CJK SC"/>
        <family val="2"/>
      </rPr>
      <t xml:space="preserve">找</t>
    </r>
    <r>
      <rPr>
        <i val="true"/>
        <sz val="9"/>
        <color rgb="FF555555"/>
        <rFont val="Arial"/>
        <family val="0"/>
        <charset val="1"/>
      </rPr>
      <t xml:space="preserve">. Stage is a manual grouping.</t>
    </r>
  </si>
  <si>
    <t xml:space="preserve">Deed title</t>
  </si>
  <si>
    <t xml:space="preserve">Stage</t>
  </si>
  <si>
    <t xml:space="preserve">Pages</t>
  </si>
  <si>
    <t xml:space="preserve">Conditional sale / pledge</t>
  </si>
  <si>
    <t xml:space="preserve">Outright sale</t>
  </si>
  <si>
    <t xml:space="preserve">Top-up</t>
  </si>
  <si>
    <t xml:space="preserve">Sale</t>
  </si>
  <si>
    <t xml:space="preserve">Final sale</t>
  </si>
  <si>
    <t xml:space="preserve">Other</t>
  </si>
  <si>
    <t xml:space="preserve">Tenancy</t>
  </si>
  <si>
    <t xml:space="preserve">Family division</t>
  </si>
  <si>
    <t xml:space="preserve">Agreement</t>
  </si>
  <si>
    <t xml:space="preserve">Land and currency vocabulary</t>
  </si>
  <si>
    <t xml:space="preserve">Pages whose extracted land-term / currency field contains the term (all page types).</t>
  </si>
  <si>
    <t xml:space="preserve">Term</t>
  </si>
  <si>
    <t xml:space="preserve">Meaning</t>
  </si>
  <si>
    <t xml:space="preserve">Root layer: the subsoil right, carries the land tax</t>
  </si>
  <si>
    <t xml:space="preserve">Surface layer: the right to farm or collect rent</t>
  </si>
  <si>
    <t xml:space="preserve">Both layers together (full ownership)</t>
  </si>
  <si>
    <t xml:space="preserve">Skin and bone: surface plus root (mountain land)</t>
  </si>
  <si>
    <t xml:space="preserve">Grain levy attached to the field</t>
  </si>
  <si>
    <t xml:space="preserve">Commoner (taxable) field</t>
  </si>
  <si>
    <t xml:space="preserve">山場</t>
  </si>
  <si>
    <t xml:space="preserve">Hill land</t>
  </si>
  <si>
    <t xml:space="preserve">山埔</t>
  </si>
  <si>
    <t xml:space="preserve">Hill land / slope</t>
  </si>
  <si>
    <r>
      <rPr>
        <sz val="10"/>
        <rFont val="Arial"/>
        <family val="0"/>
        <charset val="1"/>
      </rPr>
      <t xml:space="preserve">House (Min dialect </t>
    </r>
    <r>
      <rPr>
        <sz val="10"/>
        <rFont val="Noto Sans CJK SC"/>
        <family val="2"/>
      </rPr>
      <t xml:space="preserve">厝</t>
    </r>
    <r>
      <rPr>
        <sz val="10"/>
        <rFont val="Arial"/>
        <family val="0"/>
        <charset val="1"/>
      </rPr>
      <t xml:space="preserve">)</t>
    </r>
  </si>
  <si>
    <t xml:space="preserve">Shop-house</t>
  </si>
  <si>
    <t xml:space="preserve">House plot</t>
  </si>
  <si>
    <t xml:space="preserve">茶山</t>
  </si>
  <si>
    <t xml:space="preserve">Tea hill</t>
  </si>
  <si>
    <t xml:space="preserve">Grave site</t>
  </si>
  <si>
    <t xml:space="preserve">Sycee silver (taels)</t>
  </si>
  <si>
    <t xml:space="preserve">Foreign silver dollars</t>
  </si>
  <si>
    <t xml:space="preserve">先番</t>
  </si>
  <si>
    <t xml:space="preserve">Foreign silver dollars (older style)</t>
  </si>
  <si>
    <t xml:space="preserve">"Buddha" silver dollars (Spanish/Carolus)</t>
  </si>
  <si>
    <t xml:space="preserve">Fuzhou local banknote / account dollar</t>
  </si>
  <si>
    <t xml:space="preserve">Silver yuan (large coin)</t>
  </si>
  <si>
    <t xml:space="preserve">Subsidiary coin</t>
  </si>
  <si>
    <t xml:space="preserve">Copper cash</t>
  </si>
  <si>
    <t xml:space="preserve">Republican national currency</t>
  </si>
  <si>
    <t xml:space="preserve">Fabi (1935+ legal tender)</t>
  </si>
  <si>
    <t xml:space="preserve">Silver yuan</t>
  </si>
  <si>
    <t xml:space="preserve">Renminbi (PRC)</t>
  </si>
  <si>
    <t xml:space="preserve">Documents that cite each other</t>
  </si>
  <si>
    <t xml:space="preserve">Chain</t>
  </si>
  <si>
    <t xml:space="preserve">Date</t>
  </si>
  <si>
    <t xml:space="preserve">Document</t>
  </si>
  <si>
    <t xml:space="preserve">Party</t>
  </si>
  <si>
    <t xml:space="preserve">Place</t>
  </si>
  <si>
    <t xml:space="preserve">Price</t>
  </si>
  <si>
    <t xml:space="preserve">Middleman</t>
  </si>
  <si>
    <t xml:space="preserve">Note</t>
  </si>
  <si>
    <t xml:space="preserve">A</t>
  </si>
  <si>
    <r>
      <rPr>
        <sz val="10"/>
        <rFont val="Noto Sans CJK SC"/>
        <family val="2"/>
      </rPr>
      <t xml:space="preserve">立轉典契 </t>
    </r>
    <r>
      <rPr>
        <sz val="10"/>
        <rFont val="Arial"/>
        <family val="0"/>
        <charset val="1"/>
      </rPr>
      <t xml:space="preserve">(re-pledge deed)</t>
    </r>
  </si>
  <si>
    <t xml:space="preserve">侯官縣草市都馬坑</t>
  </si>
  <si>
    <t xml:space="preserve">銀壹拾肆兩</t>
  </si>
  <si>
    <t xml:space="preserve">楊海武</t>
  </si>
  <si>
    <r>
      <rPr>
        <sz val="10"/>
        <rFont val="Arial"/>
        <family val="0"/>
        <charset val="1"/>
      </rPr>
      <t xml:space="preserve">Re-pledges rented-out surface rights </t>
    </r>
    <r>
      <rPr>
        <sz val="10"/>
        <rFont val="Noto Sans CJK SC"/>
        <family val="2"/>
      </rPr>
      <t xml:space="preserve">田面</t>
    </r>
  </si>
  <si>
    <r>
      <rPr>
        <sz val="10"/>
        <rFont val="Noto Sans CJK SC"/>
        <family val="2"/>
      </rPr>
      <t xml:space="preserve">福建國稅廳籌備處 典按契單 </t>
    </r>
    <r>
      <rPr>
        <sz val="10"/>
        <rFont val="Arial"/>
        <family val="0"/>
        <charset val="1"/>
      </rPr>
      <t xml:space="preserve">(deed certificate)</t>
    </r>
  </si>
  <si>
    <r>
      <rPr>
        <sz val="10"/>
        <rFont val="Noto Sans CJK SC"/>
        <family val="2"/>
      </rPr>
      <t xml:space="preserve">林有柱 </t>
    </r>
    <r>
      <rPr>
        <sz val="10"/>
        <rFont val="Arial"/>
        <family val="0"/>
        <charset val="1"/>
      </rPr>
      <t xml:space="preserve">(holder); </t>
    </r>
    <r>
      <rPr>
        <sz val="10"/>
        <rFont val="Noto Sans CJK SC"/>
        <family val="2"/>
      </rPr>
      <t xml:space="preserve">趙華藻 </t>
    </r>
    <r>
      <rPr>
        <sz val="10"/>
        <rFont val="Arial"/>
        <family val="0"/>
        <charset val="1"/>
      </rPr>
      <t xml:space="preserve">(pledgor)</t>
    </r>
  </si>
  <si>
    <t xml:space="preserve">原價銀拾肆兩</t>
  </si>
  <si>
    <r>
      <rPr>
        <sz val="10"/>
        <rFont val="Arial"/>
        <family val="0"/>
        <charset val="1"/>
      </rPr>
      <t xml:space="preserve">Certificate quotes </t>
    </r>
    <r>
      <rPr>
        <sz val="10"/>
        <rFont val="Noto Sans CJK SC"/>
        <family val="2"/>
      </rPr>
      <t xml:space="preserve">嘉慶拾年 </t>
    </r>
    <r>
      <rPr>
        <sz val="10"/>
        <rFont val="Arial"/>
        <family val="0"/>
        <charset val="1"/>
      </rPr>
      <t xml:space="preserve">pledge; </t>
    </r>
    <r>
      <rPr>
        <sz val="10"/>
        <rFont val="Noto Sans CJK SC"/>
        <family val="2"/>
      </rPr>
      <t xml:space="preserve">華</t>
    </r>
    <r>
      <rPr>
        <sz val="10"/>
        <rFont val="Arial"/>
        <family val="0"/>
        <charset val="1"/>
      </rPr>
      <t xml:space="preserve">/</t>
    </r>
    <r>
      <rPr>
        <sz val="10"/>
        <rFont val="Noto Sans CJK SC"/>
        <family val="2"/>
      </rPr>
      <t xml:space="preserve">守 </t>
    </r>
    <r>
      <rPr>
        <sz val="10"/>
        <rFont val="Arial"/>
        <family val="0"/>
        <charset val="1"/>
      </rPr>
      <t xml:space="preserve">likely OCR or copy variant</t>
    </r>
  </si>
  <si>
    <t xml:space="preserve">B</t>
  </si>
  <si>
    <r>
      <rPr>
        <sz val="10"/>
        <rFont val="Noto Sans CJK SC"/>
        <family val="2"/>
      </rPr>
      <t xml:space="preserve">立賣斷契 </t>
    </r>
    <r>
      <rPr>
        <sz val="10"/>
        <rFont val="Arial"/>
        <family val="0"/>
        <charset val="1"/>
      </rPr>
      <t xml:space="preserve">(outright sale)</t>
    </r>
  </si>
  <si>
    <r>
      <rPr>
        <sz val="10"/>
        <rFont val="Noto Sans CJK SC"/>
        <family val="2"/>
      </rPr>
      <t xml:space="preserve">吳開成 </t>
    </r>
    <r>
      <rPr>
        <sz val="10"/>
        <rFont val="Arial"/>
        <family val="0"/>
        <charset val="1"/>
      </rPr>
      <t xml:space="preserve">et al. → </t>
    </r>
    <r>
      <rPr>
        <sz val="10"/>
        <rFont val="Noto Sans CJK SC"/>
        <family val="2"/>
      </rPr>
      <t xml:space="preserve">陳</t>
    </r>
  </si>
  <si>
    <t xml:space="preserve">閩邑橫街舖</t>
  </si>
  <si>
    <t xml:space="preserve">銀陸拾捌兩</t>
  </si>
  <si>
    <t xml:space="preserve">李懷鏡</t>
  </si>
  <si>
    <t xml:space="preserve">Hands over 25 papers: redemption deeds, loan note, conditional-sale deeds, 14 old taxed deeds</t>
  </si>
  <si>
    <t xml:space="preserve">OCR problems to fix before quantitative work</t>
  </si>
  <si>
    <t xml:space="preserve">Issue</t>
  </si>
  <si>
    <t xml:space="preserve">OCR reads</t>
  </si>
  <si>
    <t xml:space="preserve">Should be</t>
  </si>
  <si>
    <t xml:space="preserve">Effect</t>
  </si>
  <si>
    <t xml:space="preserve">Similar-character misread</t>
  </si>
  <si>
    <r>
      <rPr>
        <sz val="10"/>
        <rFont val="Noto Sans CJK SC"/>
        <family val="2"/>
      </rPr>
      <t xml:space="preserve">閩書 </t>
    </r>
    <r>
      <rPr>
        <sz val="10"/>
        <rFont val="Arial"/>
        <family val="0"/>
        <charset val="1"/>
      </rPr>
      <t xml:space="preserve">/ </t>
    </r>
    <r>
      <rPr>
        <sz val="10"/>
        <rFont val="Noto Sans CJK SC"/>
        <family val="2"/>
      </rPr>
      <t xml:space="preserve">閩分</t>
    </r>
  </si>
  <si>
    <r>
      <rPr>
        <sz val="10"/>
        <rFont val="Noto Sans CJK SC"/>
        <family val="2"/>
      </rPr>
      <t xml:space="preserve">鬮書 </t>
    </r>
    <r>
      <rPr>
        <sz val="10"/>
        <rFont val="Arial"/>
        <family val="0"/>
        <charset val="1"/>
      </rPr>
      <t xml:space="preserve">/ </t>
    </r>
    <r>
      <rPr>
        <sz val="10"/>
        <rFont val="Noto Sans CJK SC"/>
        <family val="2"/>
      </rPr>
      <t xml:space="preserve">鬮分</t>
    </r>
  </si>
  <si>
    <t xml:space="preserve">Family-division provenance hidden</t>
  </si>
  <si>
    <t xml:space="preserve">增我杜新契</t>
  </si>
  <si>
    <t xml:space="preserve">增找杜新契</t>
  </si>
  <si>
    <t xml:space="preserve">Top-up deeds mislabelled</t>
  </si>
  <si>
    <t xml:space="preserve">托牛</t>
  </si>
  <si>
    <t xml:space="preserve">托中</t>
  </si>
  <si>
    <t xml:space="preserve">Mediation under-counted</t>
  </si>
  <si>
    <r>
      <rPr>
        <sz val="10"/>
        <rFont val="Noto Sans CJK SC"/>
        <family val="2"/>
      </rPr>
      <t xml:space="preserve">畫契 </t>
    </r>
    <r>
      <rPr>
        <sz val="10"/>
        <rFont val="Arial"/>
        <family val="0"/>
        <charset val="1"/>
      </rPr>
      <t xml:space="preserve">/ </t>
    </r>
    <r>
      <rPr>
        <sz val="10"/>
        <rFont val="Noto Sans CJK SC"/>
        <family val="2"/>
      </rPr>
      <t xml:space="preserve">畫紙</t>
    </r>
  </si>
  <si>
    <r>
      <rPr>
        <sz val="10"/>
        <rFont val="Noto Sans CJK SC"/>
        <family val="2"/>
      </rPr>
      <t xml:space="preserve">盡契 </t>
    </r>
    <r>
      <rPr>
        <sz val="10"/>
        <rFont val="Arial"/>
        <family val="0"/>
        <charset val="1"/>
      </rPr>
      <t xml:space="preserve">/ </t>
    </r>
    <r>
      <rPr>
        <sz val="10"/>
        <rFont val="Noto Sans CJK SC"/>
        <family val="2"/>
      </rPr>
      <t xml:space="preserve">壹紙 </t>
    </r>
    <r>
      <rPr>
        <sz val="10"/>
        <rFont val="Arial"/>
        <family val="0"/>
        <charset val="1"/>
      </rPr>
      <t xml:space="preserve">(check image)</t>
    </r>
  </si>
  <si>
    <t xml:space="preserve">Deed-type labels wrong</t>
  </si>
  <si>
    <t xml:space="preserve">市政使司</t>
  </si>
  <si>
    <t xml:space="preserve">布政使司</t>
  </si>
  <si>
    <t xml:space="preserve">Office name wrong</t>
  </si>
  <si>
    <t xml:space="preserve">卦色</t>
  </si>
  <si>
    <r>
      <rPr>
        <sz val="10"/>
        <rFont val="Noto Sans CJK SC"/>
        <family val="2"/>
      </rPr>
      <t xml:space="preserve">糧色 </t>
    </r>
    <r>
      <rPr>
        <sz val="10"/>
        <rFont val="Arial"/>
        <family val="0"/>
        <charset val="1"/>
      </rPr>
      <t xml:space="preserve">(probable)</t>
    </r>
  </si>
  <si>
    <t xml:space="preserve">Tax clause unreadable</t>
  </si>
  <si>
    <t xml:space="preserve">Reversed reading order</t>
  </si>
  <si>
    <t xml:space="preserve">田賦糧食管理處</t>
  </si>
  <si>
    <t xml:space="preserve">1940s tax forms scrambled</t>
  </si>
  <si>
    <t xml:space="preserve">Repetition / hallucination</t>
  </si>
  <si>
    <r>
      <rPr>
        <sz val="10"/>
        <rFont val="Noto Sans CJK SC"/>
        <family val="2"/>
      </rPr>
      <t xml:space="preserve">福建等處承宣市政使司也 </t>
    </r>
    <r>
      <rPr>
        <sz val="10"/>
        <rFont val="Arial"/>
        <family val="0"/>
        <charset val="1"/>
      </rPr>
      <t xml:space="preserve">×15</t>
    </r>
  </si>
  <si>
    <t xml:space="preserve">—</t>
  </si>
  <si>
    <t xml:space="preserve">Inflates counts</t>
  </si>
  <si>
    <t xml:space="preserve">English descriptions</t>
  </si>
  <si>
    <t xml:space="preserve">"Vertical columns of text…"</t>
  </si>
  <si>
    <t xml:space="preserve">Remove before text mining</t>
  </si>
  <si>
    <t xml:space="preserve">Flattened columns</t>
  </si>
  <si>
    <t xml:space="preserve">Signature block in one line</t>
  </si>
  <si>
    <t xml:space="preserve">Roles attached to wrong names</t>
  </si>
  <si>
    <t xml:space="preserve">Pages with truncated blocks</t>
  </si>
  <si>
    <t xml:space="preserve">Pages with English mixed in</t>
  </si>
  <si>
    <t xml:space="preserve">Total truncated blocks</t>
  </si>
</sst>
</file>

<file path=xl/styles.xml><?xml version="1.0" encoding="utf-8"?>
<styleSheet xmlns="http://schemas.openxmlformats.org/spreadsheetml/2006/main">
  <numFmts count="3">
    <numFmt numFmtId="164" formatCode="General"/>
    <numFmt numFmtId="165" formatCode="General"/>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name val="Noto Sans CJK SC"/>
      <family val="2"/>
    </font>
    <font>
      <b val="true"/>
      <sz val="10"/>
      <color rgb="FFFFFFFF"/>
      <name val="Arial"/>
      <family val="0"/>
      <charset val="1"/>
    </font>
    <font>
      <b val="true"/>
      <sz val="10"/>
      <color rgb="FFFFFFFF"/>
      <name val="Noto Sans CJK SC"/>
      <family val="2"/>
    </font>
    <font>
      <sz val="10"/>
      <color rgb="FF0000FF"/>
      <name val="Arial"/>
      <family val="0"/>
      <charset val="1"/>
    </font>
    <font>
      <i val="true"/>
      <sz val="9"/>
      <color rgb="FF555555"/>
      <name val="Arial"/>
      <family val="0"/>
      <charset val="1"/>
    </font>
    <font>
      <b val="true"/>
      <sz val="14"/>
      <name val="Noto Sans CJK SC"/>
      <family val="2"/>
    </font>
    <font>
      <i val="true"/>
      <sz val="9"/>
      <color rgb="FF555555"/>
      <name val="Noto Sans CJK SC"/>
      <family val="2"/>
    </font>
  </fonts>
  <fills count="3">
    <fill>
      <patternFill patternType="none"/>
    </fill>
    <fill>
      <patternFill patternType="gray125"/>
    </fill>
    <fill>
      <patternFill patternType="solid">
        <fgColor rgb="FF3E4A44"/>
        <bgColor rgb="FF555555"/>
      </patternFill>
    </fill>
  </fills>
  <borders count="2">
    <border diagonalUp="false" diagonalDown="false">
      <left/>
      <right/>
      <top/>
      <bottom/>
      <diagonal/>
    </border>
    <border diagonalUp="false" diagonalDown="false">
      <left/>
      <right/>
      <top/>
      <bottom style="thin">
        <color rgb="FFC9CD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E4A4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DC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E4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igital.library.pitt.edu/islandora/object/pitt:31735064607413" TargetMode="External"/><Relationship Id="rId2" Type="http://schemas.openxmlformats.org/officeDocument/2006/relationships/hyperlink" Target="https://digital.library.pitt.edu/islandora/object/pitt:31735064607421" TargetMode="External"/><Relationship Id="rId3" Type="http://schemas.openxmlformats.org/officeDocument/2006/relationships/hyperlink" Target="https://digital.library.pitt.edu/islandora/object/pitt:31735064607439" TargetMode="External"/><Relationship Id="rId4" Type="http://schemas.openxmlformats.org/officeDocument/2006/relationships/hyperlink" Target="https://digital.library.pitt.edu/islandora/object/pitt:31735064607447" TargetMode="External"/><Relationship Id="rId5" Type="http://schemas.openxmlformats.org/officeDocument/2006/relationships/hyperlink" Target="https://digital.library.pitt.edu/islandora/object/pitt:31735064607454" TargetMode="External"/><Relationship Id="rId6" Type="http://schemas.openxmlformats.org/officeDocument/2006/relationships/hyperlink" Target="https://digital.library.pitt.edu/islandora/object/pitt:31735064607462" TargetMode="External"/><Relationship Id="rId7" Type="http://schemas.openxmlformats.org/officeDocument/2006/relationships/hyperlink" Target="https://digital.library.pitt.edu/islandora/object/pitt:31735064607470" TargetMode="External"/><Relationship Id="rId8" Type="http://schemas.openxmlformats.org/officeDocument/2006/relationships/hyperlink" Target="https://digital.library.pitt.edu/islandora/object/pitt:31735064607488" TargetMode="External"/><Relationship Id="rId9" Type="http://schemas.openxmlformats.org/officeDocument/2006/relationships/hyperlink" Target="https://digital.library.pitt.edu/islandora/object/pitt:31735064607496" TargetMode="External"/><Relationship Id="rId10" Type="http://schemas.openxmlformats.org/officeDocument/2006/relationships/hyperlink" Target="https://digital.library.pitt.edu/islandora/object/pitt:31735064607504" TargetMode="External"/><Relationship Id="rId11" Type="http://schemas.openxmlformats.org/officeDocument/2006/relationships/hyperlink" Target="https://digital.library.pitt.edu/islandora/object/pitt:31735064607512" TargetMode="External"/><Relationship Id="rId12" Type="http://schemas.openxmlformats.org/officeDocument/2006/relationships/hyperlink" Target="https://digital.library.pitt.edu/islandora/object/pitt:31735064607512" TargetMode="External"/><Relationship Id="rId13" Type="http://schemas.openxmlformats.org/officeDocument/2006/relationships/hyperlink" Target="https://digital.library.pitt.edu/islandora/object/pitt:31735064607520" TargetMode="External"/><Relationship Id="rId14" Type="http://schemas.openxmlformats.org/officeDocument/2006/relationships/hyperlink" Target="https://digital.library.pitt.edu/islandora/object/pitt:31735064607538" TargetMode="External"/><Relationship Id="rId15" Type="http://schemas.openxmlformats.org/officeDocument/2006/relationships/hyperlink" Target="https://digital.library.pitt.edu/islandora/object/pitt:31735064607538" TargetMode="External"/><Relationship Id="rId16" Type="http://schemas.openxmlformats.org/officeDocument/2006/relationships/hyperlink" Target="https://digital.library.pitt.edu/islandora/object/pitt:31735064607546" TargetMode="External"/><Relationship Id="rId17" Type="http://schemas.openxmlformats.org/officeDocument/2006/relationships/hyperlink" Target="https://digital.library.pitt.edu/islandora/object/pitt:31735064607546" TargetMode="External"/><Relationship Id="rId18" Type="http://schemas.openxmlformats.org/officeDocument/2006/relationships/hyperlink" Target="https://digital.library.pitt.edu/islandora/object/pitt:31735064607553" TargetMode="External"/><Relationship Id="rId19" Type="http://schemas.openxmlformats.org/officeDocument/2006/relationships/hyperlink" Target="https://digital.library.pitt.edu/islandora/object/pitt:31735064607561" TargetMode="External"/><Relationship Id="rId20" Type="http://schemas.openxmlformats.org/officeDocument/2006/relationships/hyperlink" Target="https://digital.library.pitt.edu/islandora/object/pitt:31735064607579" TargetMode="External"/><Relationship Id="rId21" Type="http://schemas.openxmlformats.org/officeDocument/2006/relationships/hyperlink" Target="https://digital.library.pitt.edu/islandora/object/pitt:31735064607579" TargetMode="External"/><Relationship Id="rId22" Type="http://schemas.openxmlformats.org/officeDocument/2006/relationships/hyperlink" Target="https://digital.library.pitt.edu/islandora/object/pitt:31735064607587" TargetMode="External"/><Relationship Id="rId23" Type="http://schemas.openxmlformats.org/officeDocument/2006/relationships/hyperlink" Target="https://digital.library.pitt.edu/islandora/object/pitt:31735064607587" TargetMode="External"/><Relationship Id="rId24" Type="http://schemas.openxmlformats.org/officeDocument/2006/relationships/hyperlink" Target="https://digital.library.pitt.edu/islandora/object/pitt:31735064607587" TargetMode="External"/><Relationship Id="rId25" Type="http://schemas.openxmlformats.org/officeDocument/2006/relationships/hyperlink" Target="https://digital.library.pitt.edu/islandora/object/pitt:31735064607587" TargetMode="External"/><Relationship Id="rId26" Type="http://schemas.openxmlformats.org/officeDocument/2006/relationships/hyperlink" Target="https://digital.library.pitt.edu/islandora/object/pitt:31735064607595" TargetMode="External"/><Relationship Id="rId27" Type="http://schemas.openxmlformats.org/officeDocument/2006/relationships/hyperlink" Target="https://digital.library.pitt.edu/islandora/object/pitt:31735064607595" TargetMode="External"/><Relationship Id="rId28" Type="http://schemas.openxmlformats.org/officeDocument/2006/relationships/hyperlink" Target="https://digital.library.pitt.edu/islandora/object/pitt:31735064607603" TargetMode="External"/><Relationship Id="rId29" Type="http://schemas.openxmlformats.org/officeDocument/2006/relationships/hyperlink" Target="https://digital.library.pitt.edu/islandora/object/pitt:31735064607611" TargetMode="External"/><Relationship Id="rId30" Type="http://schemas.openxmlformats.org/officeDocument/2006/relationships/hyperlink" Target="https://digital.library.pitt.edu/islandora/object/pitt:31735064607611" TargetMode="External"/><Relationship Id="rId31" Type="http://schemas.openxmlformats.org/officeDocument/2006/relationships/hyperlink" Target="https://digital.library.pitt.edu/islandora/object/pitt:31735064607629" TargetMode="External"/><Relationship Id="rId32" Type="http://schemas.openxmlformats.org/officeDocument/2006/relationships/hyperlink" Target="https://digital.library.pitt.edu/islandora/object/pitt:31735064607637" TargetMode="External"/><Relationship Id="rId33" Type="http://schemas.openxmlformats.org/officeDocument/2006/relationships/hyperlink" Target="https://digital.library.pitt.edu/islandora/object/pitt:31735064607637" TargetMode="External"/><Relationship Id="rId34" Type="http://schemas.openxmlformats.org/officeDocument/2006/relationships/hyperlink" Target="https://digital.library.pitt.edu/islandora/object/pitt:31735064607637" TargetMode="External"/><Relationship Id="rId35" Type="http://schemas.openxmlformats.org/officeDocument/2006/relationships/hyperlink" Target="https://digital.library.pitt.edu/islandora/object/pitt:31735064607645" TargetMode="External"/><Relationship Id="rId36" Type="http://schemas.openxmlformats.org/officeDocument/2006/relationships/hyperlink" Target="https://digital.library.pitt.edu/islandora/object/pitt:31735064607645" TargetMode="External"/><Relationship Id="rId37" Type="http://schemas.openxmlformats.org/officeDocument/2006/relationships/hyperlink" Target="https://digital.library.pitt.edu/islandora/object/pitt:31735064607645" TargetMode="External"/><Relationship Id="rId38" Type="http://schemas.openxmlformats.org/officeDocument/2006/relationships/hyperlink" Target="https://digital.library.pitt.edu/islandora/object/pitt:31735064607645" TargetMode="External"/><Relationship Id="rId39" Type="http://schemas.openxmlformats.org/officeDocument/2006/relationships/hyperlink" Target="https://digital.library.pitt.edu/islandora/object/pitt:31735064607645" TargetMode="External"/><Relationship Id="rId40" Type="http://schemas.openxmlformats.org/officeDocument/2006/relationships/hyperlink" Target="https://digital.library.pitt.edu/islandora/object/pitt:31735064607645" TargetMode="External"/><Relationship Id="rId41" Type="http://schemas.openxmlformats.org/officeDocument/2006/relationships/hyperlink" Target="https://digital.library.pitt.edu/islandora/object/pitt:31735064607645" TargetMode="External"/><Relationship Id="rId42" Type="http://schemas.openxmlformats.org/officeDocument/2006/relationships/hyperlink" Target="https://digital.library.pitt.edu/islandora/object/pitt:31735064607645" TargetMode="External"/><Relationship Id="rId43" Type="http://schemas.openxmlformats.org/officeDocument/2006/relationships/hyperlink" Target="https://digital.library.pitt.edu/islandora/object/pitt:31735064607645" TargetMode="External"/><Relationship Id="rId44" Type="http://schemas.openxmlformats.org/officeDocument/2006/relationships/hyperlink" Target="https://digital.library.pitt.edu/islandora/object/pitt:31735064607645" TargetMode="External"/><Relationship Id="rId45" Type="http://schemas.openxmlformats.org/officeDocument/2006/relationships/hyperlink" Target="https://digital.library.pitt.edu/islandora/object/pitt:31735064607652" TargetMode="External"/><Relationship Id="rId46" Type="http://schemas.openxmlformats.org/officeDocument/2006/relationships/hyperlink" Target="https://digital.library.pitt.edu/islandora/object/pitt:31735064607660" TargetMode="External"/><Relationship Id="rId47" Type="http://schemas.openxmlformats.org/officeDocument/2006/relationships/hyperlink" Target="https://digital.library.pitt.edu/islandora/object/pitt:31735064607678" TargetMode="External"/><Relationship Id="rId48" Type="http://schemas.openxmlformats.org/officeDocument/2006/relationships/hyperlink" Target="https://digital.library.pitt.edu/islandora/object/pitt:31735064607686" TargetMode="External"/><Relationship Id="rId49" Type="http://schemas.openxmlformats.org/officeDocument/2006/relationships/hyperlink" Target="https://digital.library.pitt.edu/islandora/object/pitt:31735064607694" TargetMode="External"/><Relationship Id="rId50" Type="http://schemas.openxmlformats.org/officeDocument/2006/relationships/hyperlink" Target="https://digital.library.pitt.edu/islandora/object/pitt:31735064607702" TargetMode="External"/><Relationship Id="rId51" Type="http://schemas.openxmlformats.org/officeDocument/2006/relationships/hyperlink" Target="https://digital.library.pitt.edu/islandora/object/pitt:31735064607710" TargetMode="External"/><Relationship Id="rId52" Type="http://schemas.openxmlformats.org/officeDocument/2006/relationships/hyperlink" Target="https://digital.library.pitt.edu/islandora/object/pitt:31735064607728" TargetMode="External"/><Relationship Id="rId53" Type="http://schemas.openxmlformats.org/officeDocument/2006/relationships/hyperlink" Target="https://digital.library.pitt.edu/islandora/object/pitt:31735064607736" TargetMode="External"/><Relationship Id="rId54" Type="http://schemas.openxmlformats.org/officeDocument/2006/relationships/hyperlink" Target="https://digital.library.pitt.edu/islandora/object/pitt:31735064607744" TargetMode="External"/><Relationship Id="rId55" Type="http://schemas.openxmlformats.org/officeDocument/2006/relationships/hyperlink" Target="https://digital.library.pitt.edu/islandora/object/pitt:31735064607751" TargetMode="External"/><Relationship Id="rId56" Type="http://schemas.openxmlformats.org/officeDocument/2006/relationships/hyperlink" Target="https://digital.library.pitt.edu/islandora/object/pitt:31735064607769" TargetMode="External"/><Relationship Id="rId57" Type="http://schemas.openxmlformats.org/officeDocument/2006/relationships/hyperlink" Target="https://digital.library.pitt.edu/islandora/object/pitt:31735064607777" TargetMode="External"/><Relationship Id="rId58" Type="http://schemas.openxmlformats.org/officeDocument/2006/relationships/hyperlink" Target="https://digital.library.pitt.edu/islandora/object/pitt:31735064607785" TargetMode="External"/><Relationship Id="rId59" Type="http://schemas.openxmlformats.org/officeDocument/2006/relationships/hyperlink" Target="https://digital.library.pitt.edu/islandora/object/pitt:31735064607793" TargetMode="External"/><Relationship Id="rId60" Type="http://schemas.openxmlformats.org/officeDocument/2006/relationships/hyperlink" Target="https://digital.library.pitt.edu/islandora/object/pitt:31735064607801" TargetMode="External"/><Relationship Id="rId61" Type="http://schemas.openxmlformats.org/officeDocument/2006/relationships/hyperlink" Target="https://digital.library.pitt.edu/islandora/object/pitt:31735064607819" TargetMode="External"/><Relationship Id="rId62" Type="http://schemas.openxmlformats.org/officeDocument/2006/relationships/hyperlink" Target="https://digital.library.pitt.edu/islandora/object/pitt:31735064607827" TargetMode="External"/><Relationship Id="rId63" Type="http://schemas.openxmlformats.org/officeDocument/2006/relationships/hyperlink" Target="https://digital.library.pitt.edu/islandora/object/pitt:31735064607835" TargetMode="External"/><Relationship Id="rId64" Type="http://schemas.openxmlformats.org/officeDocument/2006/relationships/hyperlink" Target="https://digital.library.pitt.edu/islandora/object/pitt:31735064607835" TargetMode="External"/><Relationship Id="rId65" Type="http://schemas.openxmlformats.org/officeDocument/2006/relationships/hyperlink" Target="https://digital.library.pitt.edu/islandora/object/pitt:31735064607843" TargetMode="External"/><Relationship Id="rId66" Type="http://schemas.openxmlformats.org/officeDocument/2006/relationships/hyperlink" Target="https://digital.library.pitt.edu/islandora/object/pitt:31735064607850" TargetMode="External"/><Relationship Id="rId67" Type="http://schemas.openxmlformats.org/officeDocument/2006/relationships/hyperlink" Target="https://digital.library.pitt.edu/islandora/object/pitt:31735064607868" TargetMode="External"/><Relationship Id="rId68" Type="http://schemas.openxmlformats.org/officeDocument/2006/relationships/hyperlink" Target="https://digital.library.pitt.edu/islandora/object/pitt:31735064607876" TargetMode="External"/><Relationship Id="rId69" Type="http://schemas.openxmlformats.org/officeDocument/2006/relationships/hyperlink" Target="https://digital.library.pitt.edu/islandora/object/pitt:31735064607884" TargetMode="External"/><Relationship Id="rId70" Type="http://schemas.openxmlformats.org/officeDocument/2006/relationships/hyperlink" Target="https://digital.library.pitt.edu/islandora/object/pitt:31735066237334" TargetMode="External"/><Relationship Id="rId71" Type="http://schemas.openxmlformats.org/officeDocument/2006/relationships/hyperlink" Target="https://digital.library.pitt.edu/islandora/object/pitt:31735066237334" TargetMode="External"/><Relationship Id="rId72" Type="http://schemas.openxmlformats.org/officeDocument/2006/relationships/hyperlink" Target="https://digital.library.pitt.edu/islandora/object/pitt:31735066237342" TargetMode="External"/><Relationship Id="rId73" Type="http://schemas.openxmlformats.org/officeDocument/2006/relationships/hyperlink" Target="https://digital.library.pitt.edu/islandora/object/pitt:31735066237342" TargetMode="External"/><Relationship Id="rId74" Type="http://schemas.openxmlformats.org/officeDocument/2006/relationships/hyperlink" Target="https://digital.library.pitt.edu/islandora/object/pitt:31735066237359" TargetMode="External"/><Relationship Id="rId75" Type="http://schemas.openxmlformats.org/officeDocument/2006/relationships/hyperlink" Target="https://digital.library.pitt.edu/islandora/object/pitt:31735066237359" TargetMode="External"/><Relationship Id="rId76" Type="http://schemas.openxmlformats.org/officeDocument/2006/relationships/hyperlink" Target="https://digital.library.pitt.edu/islandora/object/pitt:31735066237367" TargetMode="External"/><Relationship Id="rId77" Type="http://schemas.openxmlformats.org/officeDocument/2006/relationships/hyperlink" Target="https://digital.library.pitt.edu/islandora/object/pitt:31735066237375" TargetMode="External"/><Relationship Id="rId78" Type="http://schemas.openxmlformats.org/officeDocument/2006/relationships/hyperlink" Target="https://digital.library.pitt.edu/islandora/object/pitt:31735066237383" TargetMode="External"/><Relationship Id="rId79" Type="http://schemas.openxmlformats.org/officeDocument/2006/relationships/hyperlink" Target="https://digital.library.pitt.edu/islandora/object/pitt:31735066237391" TargetMode="External"/><Relationship Id="rId80" Type="http://schemas.openxmlformats.org/officeDocument/2006/relationships/hyperlink" Target="https://digital.library.pitt.edu/islandora/object/pitt:31735066237391" TargetMode="External"/><Relationship Id="rId81" Type="http://schemas.openxmlformats.org/officeDocument/2006/relationships/hyperlink" Target="https://digital.library.pitt.edu/islandora/object/pitt:31735066237409" TargetMode="External"/><Relationship Id="rId82" Type="http://schemas.openxmlformats.org/officeDocument/2006/relationships/hyperlink" Target="https://digital.library.pitt.edu/islandora/object/pitt:31735066237417" TargetMode="External"/><Relationship Id="rId83" Type="http://schemas.openxmlformats.org/officeDocument/2006/relationships/hyperlink" Target="https://digital.library.pitt.edu/islandora/object/pitt:31735066237425" TargetMode="External"/><Relationship Id="rId84" Type="http://schemas.openxmlformats.org/officeDocument/2006/relationships/hyperlink" Target="https://digital.library.pitt.edu/islandora/object/pitt:31735066237433" TargetMode="External"/><Relationship Id="rId85" Type="http://schemas.openxmlformats.org/officeDocument/2006/relationships/hyperlink" Target="https://digital.library.pitt.edu/islandora/object/pitt:31735066237433" TargetMode="External"/><Relationship Id="rId86" Type="http://schemas.openxmlformats.org/officeDocument/2006/relationships/hyperlink" Target="https://digital.library.pitt.edu/islandora/object/pitt:31735066237441" TargetMode="External"/><Relationship Id="rId87" Type="http://schemas.openxmlformats.org/officeDocument/2006/relationships/hyperlink" Target="https://digital.library.pitt.edu/islandora/object/pitt:31735066237458" TargetMode="External"/><Relationship Id="rId88" Type="http://schemas.openxmlformats.org/officeDocument/2006/relationships/hyperlink" Target="https://digital.library.pitt.edu/islandora/object/pitt:31735066237458" TargetMode="External"/><Relationship Id="rId89" Type="http://schemas.openxmlformats.org/officeDocument/2006/relationships/hyperlink" Target="https://digital.library.pitt.edu/islandora/object/pitt:31735066237466" TargetMode="External"/><Relationship Id="rId90" Type="http://schemas.openxmlformats.org/officeDocument/2006/relationships/hyperlink" Target="https://digital.library.pitt.edu/islandora/object/pitt:31735066237466" TargetMode="External"/><Relationship Id="rId91" Type="http://schemas.openxmlformats.org/officeDocument/2006/relationships/hyperlink" Target="https://digital.library.pitt.edu/islandora/object/pitt:31735066237474" TargetMode="External"/><Relationship Id="rId92" Type="http://schemas.openxmlformats.org/officeDocument/2006/relationships/hyperlink" Target="https://digital.library.pitt.edu/islandora/object/pitt:31735066237482" TargetMode="External"/><Relationship Id="rId93" Type="http://schemas.openxmlformats.org/officeDocument/2006/relationships/hyperlink" Target="https://digital.library.pitt.edu/islandora/object/pitt:31735066237490" TargetMode="External"/><Relationship Id="rId94" Type="http://schemas.openxmlformats.org/officeDocument/2006/relationships/hyperlink" Target="https://digital.library.pitt.edu/islandora/object/pitt:31735066237508" TargetMode="External"/><Relationship Id="rId95" Type="http://schemas.openxmlformats.org/officeDocument/2006/relationships/hyperlink" Target="https://digital.library.pitt.edu/islandora/object/pitt:31735066237516" TargetMode="External"/><Relationship Id="rId96" Type="http://schemas.openxmlformats.org/officeDocument/2006/relationships/hyperlink" Target="https://digital.library.pitt.edu/islandora/object/pitt:31735066237524" TargetMode="External"/><Relationship Id="rId97" Type="http://schemas.openxmlformats.org/officeDocument/2006/relationships/hyperlink" Target="https://digital.library.pitt.edu/islandora/object/pitt:31735066237532" TargetMode="External"/><Relationship Id="rId98" Type="http://schemas.openxmlformats.org/officeDocument/2006/relationships/hyperlink" Target="https://digital.library.pitt.edu/islandora/object/pitt:31735066237532" TargetMode="External"/><Relationship Id="rId99" Type="http://schemas.openxmlformats.org/officeDocument/2006/relationships/hyperlink" Target="https://digital.library.pitt.edu/islandora/object/pitt:31735066237540" TargetMode="External"/><Relationship Id="rId100" Type="http://schemas.openxmlformats.org/officeDocument/2006/relationships/hyperlink" Target="https://digital.library.pitt.edu/islandora/object/pitt:31735066237540" TargetMode="External"/><Relationship Id="rId101" Type="http://schemas.openxmlformats.org/officeDocument/2006/relationships/hyperlink" Target="https://digital.library.pitt.edu/islandora/object/pitt:31735066237557" TargetMode="External"/><Relationship Id="rId102" Type="http://schemas.openxmlformats.org/officeDocument/2006/relationships/hyperlink" Target="https://digital.library.pitt.edu/islandora/object/pitt:31735066237557" TargetMode="External"/><Relationship Id="rId103" Type="http://schemas.openxmlformats.org/officeDocument/2006/relationships/hyperlink" Target="https://digital.library.pitt.edu/islandora/object/pitt:31735066237565" TargetMode="External"/><Relationship Id="rId104" Type="http://schemas.openxmlformats.org/officeDocument/2006/relationships/hyperlink" Target="https://digital.library.pitt.edu/islandora/object/pitt:31735066237573" TargetMode="External"/><Relationship Id="rId105" Type="http://schemas.openxmlformats.org/officeDocument/2006/relationships/hyperlink" Target="https://digital.library.pitt.edu/islandora/object/pitt:31735066237573" TargetMode="External"/><Relationship Id="rId106" Type="http://schemas.openxmlformats.org/officeDocument/2006/relationships/hyperlink" Target="https://digital.library.pitt.edu/islandora/object/pitt:31735066237573" TargetMode="External"/><Relationship Id="rId107" Type="http://schemas.openxmlformats.org/officeDocument/2006/relationships/hyperlink" Target="https://digital.library.pitt.edu/islandora/object/pitt:31735066237581" TargetMode="External"/><Relationship Id="rId108" Type="http://schemas.openxmlformats.org/officeDocument/2006/relationships/hyperlink" Target="https://digital.library.pitt.edu/islandora/object/pitt:31735066237581" TargetMode="External"/><Relationship Id="rId109" Type="http://schemas.openxmlformats.org/officeDocument/2006/relationships/hyperlink" Target="https://digital.library.pitt.edu/islandora/object/pitt:31735066237581" TargetMode="External"/><Relationship Id="rId110" Type="http://schemas.openxmlformats.org/officeDocument/2006/relationships/hyperlink" Target="https://digital.library.pitt.edu/islandora/object/pitt:31735066237581" TargetMode="External"/><Relationship Id="rId111" Type="http://schemas.openxmlformats.org/officeDocument/2006/relationships/hyperlink" Target="https://digital.library.pitt.edu/islandora/object/pitt:31735066237581" TargetMode="External"/><Relationship Id="rId112" Type="http://schemas.openxmlformats.org/officeDocument/2006/relationships/hyperlink" Target="https://digital.library.pitt.edu/islandora/object/pitt:31735066237581" TargetMode="External"/><Relationship Id="rId113" Type="http://schemas.openxmlformats.org/officeDocument/2006/relationships/hyperlink" Target="https://digital.library.pitt.edu/islandora/object/pitt:31735066237581" TargetMode="External"/><Relationship Id="rId114" Type="http://schemas.openxmlformats.org/officeDocument/2006/relationships/hyperlink" Target="https://digital.library.pitt.edu/islandora/object/pitt:31735066237581" TargetMode="External"/><Relationship Id="rId115" Type="http://schemas.openxmlformats.org/officeDocument/2006/relationships/hyperlink" Target="https://digital.library.pitt.edu/islandora/object/pitt:31735066237581" TargetMode="External"/><Relationship Id="rId116" Type="http://schemas.openxmlformats.org/officeDocument/2006/relationships/hyperlink" Target="https://digital.library.pitt.edu/islandora/object/pitt:31735066237581" TargetMode="External"/><Relationship Id="rId117" Type="http://schemas.openxmlformats.org/officeDocument/2006/relationships/hyperlink" Target="https://digital.library.pitt.edu/islandora/object/pitt:31735066237581" TargetMode="External"/><Relationship Id="rId118" Type="http://schemas.openxmlformats.org/officeDocument/2006/relationships/hyperlink" Target="https://digital.library.pitt.edu/islandora/object/pitt:31735066237581" TargetMode="External"/><Relationship Id="rId119" Type="http://schemas.openxmlformats.org/officeDocument/2006/relationships/hyperlink" Target="https://digital.library.pitt.edu/islandora/object/pitt:31735066237581" TargetMode="External"/><Relationship Id="rId120" Type="http://schemas.openxmlformats.org/officeDocument/2006/relationships/hyperlink" Target="https://digital.library.pitt.edu/islandora/object/pitt:31735066237581" TargetMode="External"/><Relationship Id="rId121" Type="http://schemas.openxmlformats.org/officeDocument/2006/relationships/hyperlink" Target="https://digital.library.pitt.edu/islandora/object/pitt:31735066237581" TargetMode="External"/><Relationship Id="rId122" Type="http://schemas.openxmlformats.org/officeDocument/2006/relationships/hyperlink" Target="https://digital.library.pitt.edu/islandora/object/pitt:31735066237581" TargetMode="External"/><Relationship Id="rId123" Type="http://schemas.openxmlformats.org/officeDocument/2006/relationships/hyperlink" Target="https://digital.library.pitt.edu/islandora/object/pitt:31735066237581" TargetMode="External"/><Relationship Id="rId124" Type="http://schemas.openxmlformats.org/officeDocument/2006/relationships/hyperlink" Target="https://digital.library.pitt.edu/islandora/object/pitt:31735066237581" TargetMode="External"/><Relationship Id="rId125" Type="http://schemas.openxmlformats.org/officeDocument/2006/relationships/hyperlink" Target="https://digital.library.pitt.edu/islandora/object/pitt:31735066237581" TargetMode="External"/><Relationship Id="rId126" Type="http://schemas.openxmlformats.org/officeDocument/2006/relationships/hyperlink" Target="https://digital.library.pitt.edu/islandora/object/pitt:31735066237581" TargetMode="External"/><Relationship Id="rId127" Type="http://schemas.openxmlformats.org/officeDocument/2006/relationships/hyperlink" Target="https://digital.library.pitt.edu/islandora/object/pitt:31735066237581" TargetMode="External"/><Relationship Id="rId128" Type="http://schemas.openxmlformats.org/officeDocument/2006/relationships/hyperlink" Target="https://digital.library.pitt.edu/islandora/object/pitt:31735066237581" TargetMode="External"/><Relationship Id="rId129" Type="http://schemas.openxmlformats.org/officeDocument/2006/relationships/hyperlink" Target="https://digital.library.pitt.edu/islandora/object/pitt:31735066237581" TargetMode="External"/><Relationship Id="rId130" Type="http://schemas.openxmlformats.org/officeDocument/2006/relationships/hyperlink" Target="https://digital.library.pitt.edu/islandora/object/pitt:31735066237581" TargetMode="External"/><Relationship Id="rId131" Type="http://schemas.openxmlformats.org/officeDocument/2006/relationships/hyperlink" Target="https://digital.library.pitt.edu/islandora/object/pitt:31735066237581" TargetMode="External"/><Relationship Id="rId132" Type="http://schemas.openxmlformats.org/officeDocument/2006/relationships/hyperlink" Target="https://digital.library.pitt.edu/islandora/object/pitt:31735066237599" TargetMode="External"/><Relationship Id="rId133" Type="http://schemas.openxmlformats.org/officeDocument/2006/relationships/hyperlink" Target="https://digital.library.pitt.edu/islandora/object/pitt:31735066237599" TargetMode="External"/><Relationship Id="rId134" Type="http://schemas.openxmlformats.org/officeDocument/2006/relationships/hyperlink" Target="https://digital.library.pitt.edu/islandora/object/pitt:31735066237599" TargetMode="External"/><Relationship Id="rId135" Type="http://schemas.openxmlformats.org/officeDocument/2006/relationships/hyperlink" Target="https://digital.library.pitt.edu/islandora/object/pitt:31735066237599" TargetMode="External"/><Relationship Id="rId136" Type="http://schemas.openxmlformats.org/officeDocument/2006/relationships/hyperlink" Target="https://digital.library.pitt.edu/islandora/object/pitt:31735066237599" TargetMode="External"/><Relationship Id="rId137" Type="http://schemas.openxmlformats.org/officeDocument/2006/relationships/hyperlink" Target="https://digital.library.pitt.edu/islandora/object/pitt:31735066237599" TargetMode="External"/><Relationship Id="rId138" Type="http://schemas.openxmlformats.org/officeDocument/2006/relationships/hyperlink" Target="https://digital.library.pitt.edu/islandora/object/pitt:31735066237599" TargetMode="External"/><Relationship Id="rId139" Type="http://schemas.openxmlformats.org/officeDocument/2006/relationships/hyperlink" Target="https://digital.library.pitt.edu/islandora/object/pitt:31735066237599" TargetMode="External"/><Relationship Id="rId140" Type="http://schemas.openxmlformats.org/officeDocument/2006/relationships/hyperlink" Target="https://digital.library.pitt.edu/islandora/object/pitt:31735066237607" TargetMode="External"/><Relationship Id="rId141" Type="http://schemas.openxmlformats.org/officeDocument/2006/relationships/hyperlink" Target="https://digital.library.pitt.edu/islandora/object/pitt:31735066237607" TargetMode="External"/><Relationship Id="rId142" Type="http://schemas.openxmlformats.org/officeDocument/2006/relationships/hyperlink" Target="https://digital.library.pitt.edu/islandora/object/pitt:31735066237607" TargetMode="External"/><Relationship Id="rId143" Type="http://schemas.openxmlformats.org/officeDocument/2006/relationships/hyperlink" Target="https://digital.library.pitt.edu/islandora/object/pitt:31735066237607" TargetMode="External"/><Relationship Id="rId144" Type="http://schemas.openxmlformats.org/officeDocument/2006/relationships/hyperlink" Target="https://digital.library.pitt.edu/islandora/object/pitt:31735066237607" TargetMode="External"/><Relationship Id="rId145" Type="http://schemas.openxmlformats.org/officeDocument/2006/relationships/hyperlink" Target="https://digital.library.pitt.edu/islandora/object/pitt:31735066237607" TargetMode="External"/><Relationship Id="rId146" Type="http://schemas.openxmlformats.org/officeDocument/2006/relationships/hyperlink" Target="https://digital.library.pitt.edu/islandora/object/pitt:31735066237615" TargetMode="External"/><Relationship Id="rId147" Type="http://schemas.openxmlformats.org/officeDocument/2006/relationships/hyperlink" Target="https://digital.library.pitt.edu/islandora/object/pitt:31735066237615" TargetMode="External"/><Relationship Id="rId148" Type="http://schemas.openxmlformats.org/officeDocument/2006/relationships/hyperlink" Target="https://digital.library.pitt.edu/islandora/object/pitt:31735066237615" TargetMode="External"/><Relationship Id="rId149" Type="http://schemas.openxmlformats.org/officeDocument/2006/relationships/hyperlink" Target="https://digital.library.pitt.edu/islandora/object/pitt:31735066237615" TargetMode="External"/><Relationship Id="rId150" Type="http://schemas.openxmlformats.org/officeDocument/2006/relationships/hyperlink" Target="https://digital.library.pitt.edu/islandora/object/pitt:31735066237623" TargetMode="External"/><Relationship Id="rId151" Type="http://schemas.openxmlformats.org/officeDocument/2006/relationships/hyperlink" Target="https://digital.library.pitt.edu/islandora/object/pitt:31735066237623" TargetMode="External"/><Relationship Id="rId152" Type="http://schemas.openxmlformats.org/officeDocument/2006/relationships/hyperlink" Target="https://digital.library.pitt.edu/islandora/object/pitt:31735066237623" TargetMode="External"/><Relationship Id="rId153" Type="http://schemas.openxmlformats.org/officeDocument/2006/relationships/hyperlink" Target="https://digital.library.pitt.edu/islandora/object/pitt:31735066237623" TargetMode="External"/><Relationship Id="rId154" Type="http://schemas.openxmlformats.org/officeDocument/2006/relationships/hyperlink" Target="https://digital.library.pitt.edu/islandora/object/pitt:31735066237623" TargetMode="External"/><Relationship Id="rId155" Type="http://schemas.openxmlformats.org/officeDocument/2006/relationships/hyperlink" Target="https://digital.library.pitt.edu/islandora/object/pitt:31735066237631" TargetMode="External"/><Relationship Id="rId156" Type="http://schemas.openxmlformats.org/officeDocument/2006/relationships/hyperlink" Target="https://digital.library.pitt.edu/islandora/object/pitt:31735066237631" TargetMode="External"/><Relationship Id="rId157" Type="http://schemas.openxmlformats.org/officeDocument/2006/relationships/hyperlink" Target="https://digital.library.pitt.edu/islandora/object/pitt:31735066237631" TargetMode="External"/><Relationship Id="rId158" Type="http://schemas.openxmlformats.org/officeDocument/2006/relationships/hyperlink" Target="https://digital.library.pitt.edu/islandora/object/pitt:31735066237631" TargetMode="External"/><Relationship Id="rId159" Type="http://schemas.openxmlformats.org/officeDocument/2006/relationships/hyperlink" Target="https://digital.library.pitt.edu/islandora/object/pitt:31735066237631" TargetMode="External"/><Relationship Id="rId160" Type="http://schemas.openxmlformats.org/officeDocument/2006/relationships/hyperlink" Target="https://digital.library.pitt.edu/islandora/object/pitt:31735066237631" TargetMode="External"/><Relationship Id="rId161" Type="http://schemas.openxmlformats.org/officeDocument/2006/relationships/hyperlink" Target="https://digital.library.pitt.edu/islandora/object/pitt:31735066237631" TargetMode="External"/><Relationship Id="rId162" Type="http://schemas.openxmlformats.org/officeDocument/2006/relationships/hyperlink" Target="https://digital.library.pitt.edu/islandora/object/pitt:31735066237649" TargetMode="External"/><Relationship Id="rId163" Type="http://schemas.openxmlformats.org/officeDocument/2006/relationships/hyperlink" Target="https://digital.library.pitt.edu/islandora/object/pitt:31735066237649" TargetMode="External"/><Relationship Id="rId164" Type="http://schemas.openxmlformats.org/officeDocument/2006/relationships/hyperlink" Target="https://digital.library.pitt.edu/islandora/object/pitt:31735066237649" TargetMode="External"/><Relationship Id="rId165" Type="http://schemas.openxmlformats.org/officeDocument/2006/relationships/hyperlink" Target="https://digital.library.pitt.edu/islandora/object/pitt:31735066237649" TargetMode="External"/><Relationship Id="rId166" Type="http://schemas.openxmlformats.org/officeDocument/2006/relationships/hyperlink" Target="https://digital.library.pitt.edu/islandora/object/pitt:31735066237656" TargetMode="External"/><Relationship Id="rId167" Type="http://schemas.openxmlformats.org/officeDocument/2006/relationships/hyperlink" Target="https://digital.library.pitt.edu/islandora/object/pitt:31735066237656" TargetMode="External"/><Relationship Id="rId168" Type="http://schemas.openxmlformats.org/officeDocument/2006/relationships/hyperlink" Target="https://digital.library.pitt.edu/islandora/object/pitt:31735066237656" TargetMode="External"/><Relationship Id="rId169" Type="http://schemas.openxmlformats.org/officeDocument/2006/relationships/hyperlink" Target="https://digital.library.pitt.edu/islandora/object/pitt:31735066237656" TargetMode="External"/><Relationship Id="rId170" Type="http://schemas.openxmlformats.org/officeDocument/2006/relationships/hyperlink" Target="https://digital.library.pitt.edu/islandora/object/pitt:31735066237656" TargetMode="External"/><Relationship Id="rId171" Type="http://schemas.openxmlformats.org/officeDocument/2006/relationships/hyperlink" Target="https://digital.library.pitt.edu/islandora/object/pitt:31735066237656" TargetMode="External"/><Relationship Id="rId172" Type="http://schemas.openxmlformats.org/officeDocument/2006/relationships/hyperlink" Target="https://digital.library.pitt.edu/islandora/object/pitt:31735066237656" TargetMode="External"/><Relationship Id="rId173" Type="http://schemas.openxmlformats.org/officeDocument/2006/relationships/hyperlink" Target="https://digital.library.pitt.edu/islandora/object/pitt:31735066237656" TargetMode="External"/><Relationship Id="rId174" Type="http://schemas.openxmlformats.org/officeDocument/2006/relationships/hyperlink" Target="https://digital.library.pitt.edu/islandora/object/pitt:31735066237664" TargetMode="External"/><Relationship Id="rId175" Type="http://schemas.openxmlformats.org/officeDocument/2006/relationships/hyperlink" Target="https://digital.library.pitt.edu/islandora/object/pitt:31735066237664" TargetMode="External"/><Relationship Id="rId176" Type="http://schemas.openxmlformats.org/officeDocument/2006/relationships/hyperlink" Target="https://digital.library.pitt.edu/islandora/object/pitt:31735066237672" TargetMode="External"/><Relationship Id="rId177" Type="http://schemas.openxmlformats.org/officeDocument/2006/relationships/hyperlink" Target="https://digital.library.pitt.edu/islandora/object/pitt:31735066237672" TargetMode="External"/><Relationship Id="rId178" Type="http://schemas.openxmlformats.org/officeDocument/2006/relationships/hyperlink" Target="https://digital.library.pitt.edu/islandora/object/pitt:31735066237680" TargetMode="External"/><Relationship Id="rId179" Type="http://schemas.openxmlformats.org/officeDocument/2006/relationships/hyperlink" Target="https://digital.library.pitt.edu/islandora/object/pitt:31735066237698" TargetMode="External"/><Relationship Id="rId180" Type="http://schemas.openxmlformats.org/officeDocument/2006/relationships/hyperlink" Target="https://digital.library.pitt.edu/islandora/object/pitt:31735066237698" TargetMode="External"/><Relationship Id="rId181" Type="http://schemas.openxmlformats.org/officeDocument/2006/relationships/hyperlink" Target="https://digital.library.pitt.edu/islandora/object/pitt:31735066237706" TargetMode="External"/><Relationship Id="rId182" Type="http://schemas.openxmlformats.org/officeDocument/2006/relationships/hyperlink" Target="https://digital.library.pitt.edu/islandora/object/pitt:31735066237714" TargetMode="External"/><Relationship Id="rId183" Type="http://schemas.openxmlformats.org/officeDocument/2006/relationships/hyperlink" Target="https://digital.library.pitt.edu/islandora/object/pitt:31735066237722" TargetMode="External"/><Relationship Id="rId184" Type="http://schemas.openxmlformats.org/officeDocument/2006/relationships/hyperlink" Target="https://digital.library.pitt.edu/islandora/object/pitt:31735066237730" TargetMode="External"/><Relationship Id="rId185" Type="http://schemas.openxmlformats.org/officeDocument/2006/relationships/hyperlink" Target="https://digital.library.pitt.edu/islandora/object/pitt:31735066237748" TargetMode="External"/><Relationship Id="rId186" Type="http://schemas.openxmlformats.org/officeDocument/2006/relationships/hyperlink" Target="https://digital.library.pitt.edu/islandora/object/pitt:31735066237755" TargetMode="External"/><Relationship Id="rId187" Type="http://schemas.openxmlformats.org/officeDocument/2006/relationships/hyperlink" Target="https://digital.library.pitt.edu/islandora/object/pitt:31735066237763" TargetMode="External"/><Relationship Id="rId188" Type="http://schemas.openxmlformats.org/officeDocument/2006/relationships/hyperlink" Target="https://digital.library.pitt.edu/islandora/object/pitt:31735066237771" TargetMode="External"/><Relationship Id="rId189" Type="http://schemas.openxmlformats.org/officeDocument/2006/relationships/hyperlink" Target="https://digital.library.pitt.edu/islandora/object/pitt:31735066266143" TargetMode="External"/><Relationship Id="rId190" Type="http://schemas.openxmlformats.org/officeDocument/2006/relationships/hyperlink" Target="https://digital.library.pitt.edu/islandora/object/pitt:31735066266150" TargetMode="External"/><Relationship Id="rId191" Type="http://schemas.openxmlformats.org/officeDocument/2006/relationships/hyperlink" Target="https://digital.library.pitt.edu/islandora/object/pitt:31735066266168" TargetMode="External"/><Relationship Id="rId192" Type="http://schemas.openxmlformats.org/officeDocument/2006/relationships/hyperlink" Target="https://digital.library.pitt.edu/islandora/object/pitt:31735066266176" TargetMode="External"/><Relationship Id="rId193" Type="http://schemas.openxmlformats.org/officeDocument/2006/relationships/hyperlink" Target="https://digital.library.pitt.edu/islandora/object/pitt:31735066266184" TargetMode="External"/><Relationship Id="rId194" Type="http://schemas.openxmlformats.org/officeDocument/2006/relationships/hyperlink" Target="https://digital.library.pitt.edu/islandora/object/pitt:31735066266192" TargetMode="External"/><Relationship Id="rId195" Type="http://schemas.openxmlformats.org/officeDocument/2006/relationships/hyperlink" Target="https://digital.library.pitt.edu/islandora/object/pitt:31735066266200" TargetMode="External"/><Relationship Id="rId196" Type="http://schemas.openxmlformats.org/officeDocument/2006/relationships/hyperlink" Target="https://digital.library.pitt.edu/islandora/object/pitt:31735066266218" TargetMode="External"/><Relationship Id="rId197" Type="http://schemas.openxmlformats.org/officeDocument/2006/relationships/hyperlink" Target="https://digital.library.pitt.edu/islandora/object/pitt:31735066266226" TargetMode="External"/><Relationship Id="rId198" Type="http://schemas.openxmlformats.org/officeDocument/2006/relationships/hyperlink" Target="https://digital.library.pitt.edu/islandora/object/pitt:31735066266234" TargetMode="External"/><Relationship Id="rId199" Type="http://schemas.openxmlformats.org/officeDocument/2006/relationships/hyperlink" Target="https://digital.library.pitt.edu/islandora/object/pitt:31735066266242" TargetMode="External"/><Relationship Id="rId200" Type="http://schemas.openxmlformats.org/officeDocument/2006/relationships/hyperlink" Target="https://digital.library.pitt.edu/islandora/object/pitt:31735066266259" TargetMode="External"/><Relationship Id="rId201" Type="http://schemas.openxmlformats.org/officeDocument/2006/relationships/hyperlink" Target="https://digital.library.pitt.edu/islandora/object/pitt:31735066266267" TargetMode="External"/><Relationship Id="rId202" Type="http://schemas.openxmlformats.org/officeDocument/2006/relationships/hyperlink" Target="https://digital.library.pitt.edu/islandora/object/pitt:31735066266275" TargetMode="External"/><Relationship Id="rId203" Type="http://schemas.openxmlformats.org/officeDocument/2006/relationships/hyperlink" Target="https://digital.library.pitt.edu/islandora/object/pitt:31735066266283" TargetMode="External"/><Relationship Id="rId204" Type="http://schemas.openxmlformats.org/officeDocument/2006/relationships/hyperlink" Target="https://digital.library.pitt.edu/islandora/object/pitt:31735066266291" TargetMode="External"/><Relationship Id="rId205" Type="http://schemas.openxmlformats.org/officeDocument/2006/relationships/hyperlink" Target="https://digital.library.pitt.edu/islandora/object/pitt:31735066266309" TargetMode="External"/><Relationship Id="rId206" Type="http://schemas.openxmlformats.org/officeDocument/2006/relationships/hyperlink" Target="https://digital.library.pitt.edu/islandora/object/pitt:31735066266317" TargetMode="External"/><Relationship Id="rId207" Type="http://schemas.openxmlformats.org/officeDocument/2006/relationships/hyperlink" Target="https://digital.library.pitt.edu/islandora/object/pitt:31735066266325" TargetMode="External"/><Relationship Id="rId208" Type="http://schemas.openxmlformats.org/officeDocument/2006/relationships/hyperlink" Target="https://digital.library.pitt.edu/islandora/object/pitt:31735066266333" TargetMode="External"/><Relationship Id="rId209" Type="http://schemas.openxmlformats.org/officeDocument/2006/relationships/hyperlink" Target="https://digital.library.pitt.edu/islandora/object/pitt:31735066266341" TargetMode="External"/><Relationship Id="rId210" Type="http://schemas.openxmlformats.org/officeDocument/2006/relationships/hyperlink" Target="https://digital.library.pitt.edu/islandora/object/pitt:31735066266358" TargetMode="External"/><Relationship Id="rId211" Type="http://schemas.openxmlformats.org/officeDocument/2006/relationships/hyperlink" Target="https://digital.library.pitt.edu/islandora/object/pitt:31735066266366" TargetMode="External"/><Relationship Id="rId212" Type="http://schemas.openxmlformats.org/officeDocument/2006/relationships/hyperlink" Target="https://digital.library.pitt.edu/islandora/object/pitt:31735066266374" TargetMode="External"/><Relationship Id="rId213" Type="http://schemas.openxmlformats.org/officeDocument/2006/relationships/hyperlink" Target="https://digital.library.pitt.edu/islandora/object/pitt:31735066266374" TargetMode="External"/><Relationship Id="rId214" Type="http://schemas.openxmlformats.org/officeDocument/2006/relationships/hyperlink" Target="https://digital.library.pitt.edu/islandora/object/pitt:31735066266382" TargetMode="External"/><Relationship Id="rId215" Type="http://schemas.openxmlformats.org/officeDocument/2006/relationships/hyperlink" Target="https://digital.library.pitt.edu/islandora/object/pitt:31735066266382" TargetMode="External"/><Relationship Id="rId216" Type="http://schemas.openxmlformats.org/officeDocument/2006/relationships/hyperlink" Target="https://digital.library.pitt.edu/islandora/object/pitt:31735066266390" TargetMode="External"/><Relationship Id="rId217" Type="http://schemas.openxmlformats.org/officeDocument/2006/relationships/hyperlink" Target="https://digital.library.pitt.edu/islandora/object/pitt:31735066266408" TargetMode="External"/><Relationship Id="rId218" Type="http://schemas.openxmlformats.org/officeDocument/2006/relationships/hyperlink" Target="https://digital.library.pitt.edu/islandora/object/pitt:31735066266416" TargetMode="External"/><Relationship Id="rId219" Type="http://schemas.openxmlformats.org/officeDocument/2006/relationships/hyperlink" Target="https://digital.library.pitt.edu/islandora/object/pitt:31735066266424" TargetMode="External"/><Relationship Id="rId220" Type="http://schemas.openxmlformats.org/officeDocument/2006/relationships/hyperlink" Target="https://digital.library.pitt.edu/islandora/object/pitt:31735066266432" TargetMode="External"/><Relationship Id="rId221" Type="http://schemas.openxmlformats.org/officeDocument/2006/relationships/hyperlink" Target="https://digital.library.pitt.edu/islandora/object/pitt:31735066266440" TargetMode="External"/><Relationship Id="rId222" Type="http://schemas.openxmlformats.org/officeDocument/2006/relationships/hyperlink" Target="https://digital.library.pitt.edu/islandora/object/pitt:31735066266457" TargetMode="External"/><Relationship Id="rId223" Type="http://schemas.openxmlformats.org/officeDocument/2006/relationships/hyperlink" Target="https://digital.library.pitt.edu/islandora/object/pitt:31735066266465" TargetMode="External"/><Relationship Id="rId224" Type="http://schemas.openxmlformats.org/officeDocument/2006/relationships/hyperlink" Target="https://digital.library.pitt.edu/islandora/object/pitt:31735066266473" TargetMode="External"/><Relationship Id="rId225" Type="http://schemas.openxmlformats.org/officeDocument/2006/relationships/hyperlink" Target="https://digital.library.pitt.edu/islandora/object/pitt:31735066266473" TargetMode="External"/><Relationship Id="rId226" Type="http://schemas.openxmlformats.org/officeDocument/2006/relationships/hyperlink" Target="https://digital.library.pitt.edu/islandora/object/pitt:31735066266473" TargetMode="External"/><Relationship Id="rId227" Type="http://schemas.openxmlformats.org/officeDocument/2006/relationships/hyperlink" Target="https://digital.library.pitt.edu/islandora/object/pitt:31735066266481" TargetMode="External"/><Relationship Id="rId228" Type="http://schemas.openxmlformats.org/officeDocument/2006/relationships/hyperlink" Target="https://digital.library.pitt.edu/islandora/object/pitt:31735066266499" TargetMode="External"/><Relationship Id="rId229" Type="http://schemas.openxmlformats.org/officeDocument/2006/relationships/hyperlink" Target="https://digital.library.pitt.edu/islandora/object/pitt:31735066266507" TargetMode="External"/><Relationship Id="rId230" Type="http://schemas.openxmlformats.org/officeDocument/2006/relationships/hyperlink" Target="https://digital.library.pitt.edu/islandora/object/pitt:31735066266515" TargetMode="External"/><Relationship Id="rId231" Type="http://schemas.openxmlformats.org/officeDocument/2006/relationships/hyperlink" Target="https://digital.library.pitt.edu/islandora/object/pitt:31735066266523" TargetMode="External"/><Relationship Id="rId232" Type="http://schemas.openxmlformats.org/officeDocument/2006/relationships/hyperlink" Target="https://digital.library.pitt.edu/islandora/object/pitt:31735066266531" TargetMode="External"/><Relationship Id="rId233" Type="http://schemas.openxmlformats.org/officeDocument/2006/relationships/hyperlink" Target="https://digital.library.pitt.edu/islandora/object/pitt:31735066266549" TargetMode="External"/><Relationship Id="rId234" Type="http://schemas.openxmlformats.org/officeDocument/2006/relationships/hyperlink" Target="https://digital.library.pitt.edu/islandora/object/pitt:31735066266549" TargetMode="External"/><Relationship Id="rId235" Type="http://schemas.openxmlformats.org/officeDocument/2006/relationships/hyperlink" Target="https://digital.library.pitt.edu/islandora/object/pitt:31735066266556" TargetMode="External"/><Relationship Id="rId236" Type="http://schemas.openxmlformats.org/officeDocument/2006/relationships/hyperlink" Target="https://digital.library.pitt.edu/islandora/object/pitt:31735066266556" TargetMode="External"/><Relationship Id="rId237" Type="http://schemas.openxmlformats.org/officeDocument/2006/relationships/hyperlink" Target="https://digital.library.pitt.edu/islandora/object/pitt:31735066266564" TargetMode="External"/><Relationship Id="rId238" Type="http://schemas.openxmlformats.org/officeDocument/2006/relationships/hyperlink" Target="https://digital.library.pitt.edu/islandora/object/pitt:31735066266564" TargetMode="External"/><Relationship Id="rId239" Type="http://schemas.openxmlformats.org/officeDocument/2006/relationships/hyperlink" Target="https://digital.library.pitt.edu/islandora/object/pitt:31735066266572" TargetMode="External"/><Relationship Id="rId240" Type="http://schemas.openxmlformats.org/officeDocument/2006/relationships/hyperlink" Target="https://digital.library.pitt.edu/islandora/object/pitt:31735066266580" TargetMode="External"/><Relationship Id="rId241" Type="http://schemas.openxmlformats.org/officeDocument/2006/relationships/hyperlink" Target="https://digital.library.pitt.edu/islandora/object/pitt:31735066266598" TargetMode="External"/><Relationship Id="rId242" Type="http://schemas.openxmlformats.org/officeDocument/2006/relationships/hyperlink" Target="https://digital.library.pitt.edu/islandora/object/pitt:31735066266606" TargetMode="External"/><Relationship Id="rId243" Type="http://schemas.openxmlformats.org/officeDocument/2006/relationships/hyperlink" Target="https://digital.library.pitt.edu/islandora/object/pitt:31735066266614" TargetMode="External"/><Relationship Id="rId244" Type="http://schemas.openxmlformats.org/officeDocument/2006/relationships/hyperlink" Target="https://digital.library.pitt.edu/islandora/object/pitt:31735066266622" TargetMode="External"/><Relationship Id="rId245" Type="http://schemas.openxmlformats.org/officeDocument/2006/relationships/hyperlink" Target="https://digital.library.pitt.edu/islandora/object/pitt:31735066266630" TargetMode="External"/><Relationship Id="rId246" Type="http://schemas.openxmlformats.org/officeDocument/2006/relationships/hyperlink" Target="https://digital.library.pitt.edu/islandora/object/pitt:31735066266648" TargetMode="External"/><Relationship Id="rId247" Type="http://schemas.openxmlformats.org/officeDocument/2006/relationships/hyperlink" Target="https://digital.library.pitt.edu/islandora/object/pitt:31735066266655" TargetMode="External"/><Relationship Id="rId248" Type="http://schemas.openxmlformats.org/officeDocument/2006/relationships/hyperlink" Target="https://digital.library.pitt.edu/islandora/object/pitt:31735066266663" TargetMode="External"/><Relationship Id="rId249" Type="http://schemas.openxmlformats.org/officeDocument/2006/relationships/hyperlink" Target="https://digital.library.pitt.edu/islandora/object/pitt:31735066266671" TargetMode="External"/><Relationship Id="rId250" Type="http://schemas.openxmlformats.org/officeDocument/2006/relationships/hyperlink" Target="https://digital.library.pitt.edu/islandora/object/pitt:31735066266689" TargetMode="External"/><Relationship Id="rId251" Type="http://schemas.openxmlformats.org/officeDocument/2006/relationships/hyperlink" Target="https://digital.library.pitt.edu/islandora/object/pitt:31735066266697" TargetMode="External"/><Relationship Id="rId252" Type="http://schemas.openxmlformats.org/officeDocument/2006/relationships/hyperlink" Target="https://digital.library.pitt.edu/islandora/object/pitt:31735066266705" TargetMode="External"/><Relationship Id="rId253" Type="http://schemas.openxmlformats.org/officeDocument/2006/relationships/hyperlink" Target="https://digital.library.pitt.edu/islandora/object/pitt:31735066266705" TargetMode="External"/><Relationship Id="rId254" Type="http://schemas.openxmlformats.org/officeDocument/2006/relationships/hyperlink" Target="https://digital.library.pitt.edu/islandora/object/pitt:31735066266705" TargetMode="External"/><Relationship Id="rId255" Type="http://schemas.openxmlformats.org/officeDocument/2006/relationships/hyperlink" Target="https://digital.library.pitt.edu/islandora/object/pitt:31735066266713" TargetMode="External"/><Relationship Id="rId256" Type="http://schemas.openxmlformats.org/officeDocument/2006/relationships/hyperlink" Target="https://digital.library.pitt.edu/islandora/object/pitt:31735066266721" TargetMode="External"/><Relationship Id="rId257" Type="http://schemas.openxmlformats.org/officeDocument/2006/relationships/hyperlink" Target="https://digital.library.pitt.edu/islandora/object/pitt:31735066266739" TargetMode="External"/><Relationship Id="rId258" Type="http://schemas.openxmlformats.org/officeDocument/2006/relationships/hyperlink" Target="https://digital.library.pitt.edu/islandora/object/pitt:31735066266747" TargetMode="External"/><Relationship Id="rId259" Type="http://schemas.openxmlformats.org/officeDocument/2006/relationships/hyperlink" Target="https://digital.library.pitt.edu/islandora/object/pitt:31735066266754" TargetMode="External"/><Relationship Id="rId260" Type="http://schemas.openxmlformats.org/officeDocument/2006/relationships/hyperlink" Target="https://digital.library.pitt.edu/islandora/object/pitt:31735066266762" TargetMode="External"/><Relationship Id="rId261" Type="http://schemas.openxmlformats.org/officeDocument/2006/relationships/hyperlink" Target="https://digital.library.pitt.edu/islandora/object/pitt:31735066267414" TargetMode="External"/><Relationship Id="rId262" Type="http://schemas.openxmlformats.org/officeDocument/2006/relationships/hyperlink" Target="https://digital.library.pitt.edu/islandora/object/pitt:31735066267422" TargetMode="External"/><Relationship Id="rId263" Type="http://schemas.openxmlformats.org/officeDocument/2006/relationships/hyperlink" Target="https://digital.library.pitt.edu/islandora/object/pitt:31735066267430" TargetMode="External"/><Relationship Id="rId264" Type="http://schemas.openxmlformats.org/officeDocument/2006/relationships/hyperlink" Target="https://digital.library.pitt.edu/islandora/object/pitt:31735066267430" TargetMode="External"/><Relationship Id="rId265" Type="http://schemas.openxmlformats.org/officeDocument/2006/relationships/hyperlink" Target="https://digital.library.pitt.edu/islandora/object/pitt:31735066267430" TargetMode="External"/><Relationship Id="rId266" Type="http://schemas.openxmlformats.org/officeDocument/2006/relationships/hyperlink" Target="https://digital.library.pitt.edu/islandora/object/pitt:31735066267448" TargetMode="External"/><Relationship Id="rId267" Type="http://schemas.openxmlformats.org/officeDocument/2006/relationships/hyperlink" Target="https://digital.library.pitt.edu/islandora/object/pitt:31735066267455" TargetMode="External"/><Relationship Id="rId268" Type="http://schemas.openxmlformats.org/officeDocument/2006/relationships/hyperlink" Target="https://digital.library.pitt.edu/islandora/object/pitt:31735066267463" TargetMode="External"/><Relationship Id="rId269" Type="http://schemas.openxmlformats.org/officeDocument/2006/relationships/hyperlink" Target="https://digital.library.pitt.edu/islandora/object/pitt:31735066267471" TargetMode="External"/><Relationship Id="rId270" Type="http://schemas.openxmlformats.org/officeDocument/2006/relationships/hyperlink" Target="https://digital.library.pitt.edu/islandora/object/pitt:31735066267489" TargetMode="External"/><Relationship Id="rId271" Type="http://schemas.openxmlformats.org/officeDocument/2006/relationships/hyperlink" Target="https://digital.library.pitt.edu/islandora/object/pitt:31735066267489" TargetMode="External"/><Relationship Id="rId272" Type="http://schemas.openxmlformats.org/officeDocument/2006/relationships/hyperlink" Target="https://digital.library.pitt.edu/islandora/object/pitt:31735066267497" TargetMode="External"/><Relationship Id="rId273" Type="http://schemas.openxmlformats.org/officeDocument/2006/relationships/hyperlink" Target="https://digital.library.pitt.edu/islandora/object/pitt:31735066267497" TargetMode="External"/><Relationship Id="rId274" Type="http://schemas.openxmlformats.org/officeDocument/2006/relationships/hyperlink" Target="https://digital.library.pitt.edu/islandora/object/pitt:31735066267497" TargetMode="External"/><Relationship Id="rId275" Type="http://schemas.openxmlformats.org/officeDocument/2006/relationships/hyperlink" Target="https://digital.library.pitt.edu/islandora/object/pitt:31735066267505" TargetMode="External"/><Relationship Id="rId276" Type="http://schemas.openxmlformats.org/officeDocument/2006/relationships/hyperlink" Target="https://digital.library.pitt.edu/islandora/object/pitt:31735066267505" TargetMode="External"/><Relationship Id="rId277" Type="http://schemas.openxmlformats.org/officeDocument/2006/relationships/hyperlink" Target="https://digital.library.pitt.edu/islandora/object/pitt:31735066267505" TargetMode="External"/><Relationship Id="rId278" Type="http://schemas.openxmlformats.org/officeDocument/2006/relationships/hyperlink" Target="https://digital.library.pitt.edu/islandora/object/pitt:31735066267505" TargetMode="External"/><Relationship Id="rId279" Type="http://schemas.openxmlformats.org/officeDocument/2006/relationships/hyperlink" Target="https://digital.library.pitt.edu/islandora/object/pitt:31735066267513" TargetMode="External"/><Relationship Id="rId280" Type="http://schemas.openxmlformats.org/officeDocument/2006/relationships/hyperlink" Target="https://digital.library.pitt.edu/islandora/object/pitt:31735066267521" TargetMode="External"/><Relationship Id="rId281" Type="http://schemas.openxmlformats.org/officeDocument/2006/relationships/hyperlink" Target="https://digital.library.pitt.edu/islandora/object/pitt:31735066267521" TargetMode="External"/><Relationship Id="rId282" Type="http://schemas.openxmlformats.org/officeDocument/2006/relationships/hyperlink" Target="https://digital.library.pitt.edu/islandora/object/pitt:31735066267539" TargetMode="External"/><Relationship Id="rId283" Type="http://schemas.openxmlformats.org/officeDocument/2006/relationships/hyperlink" Target="https://digital.library.pitt.edu/islandora/object/pitt:31735066267539" TargetMode="External"/><Relationship Id="rId284" Type="http://schemas.openxmlformats.org/officeDocument/2006/relationships/hyperlink" Target="https://digital.library.pitt.edu/islandora/object/pitt:31735066267539" TargetMode="External"/><Relationship Id="rId285" Type="http://schemas.openxmlformats.org/officeDocument/2006/relationships/hyperlink" Target="https://digital.library.pitt.edu/islandora/object/pitt:31735066267539" TargetMode="External"/><Relationship Id="rId286" Type="http://schemas.openxmlformats.org/officeDocument/2006/relationships/hyperlink" Target="https://digital.library.pitt.edu/islandora/object/pitt:31735066267547" TargetMode="External"/><Relationship Id="rId287" Type="http://schemas.openxmlformats.org/officeDocument/2006/relationships/hyperlink" Target="https://digital.library.pitt.edu/islandora/object/pitt:31735066267547" TargetMode="External"/><Relationship Id="rId288" Type="http://schemas.openxmlformats.org/officeDocument/2006/relationships/hyperlink" Target="https://digital.library.pitt.edu/islandora/object/pitt:31735066267547" TargetMode="External"/><Relationship Id="rId289" Type="http://schemas.openxmlformats.org/officeDocument/2006/relationships/hyperlink" Target="https://digital.library.pitt.edu/islandora/object/pitt:31735066267554" TargetMode="External"/><Relationship Id="rId290" Type="http://schemas.openxmlformats.org/officeDocument/2006/relationships/hyperlink" Target="https://digital.library.pitt.edu/islandora/object/pitt:31735066267554" TargetMode="External"/><Relationship Id="rId291" Type="http://schemas.openxmlformats.org/officeDocument/2006/relationships/hyperlink" Target="https://digital.library.pitt.edu/islandora/object/pitt:31735066267554" TargetMode="External"/><Relationship Id="rId292" Type="http://schemas.openxmlformats.org/officeDocument/2006/relationships/hyperlink" Target="https://digital.library.pitt.edu/islandora/object/pitt:31735066267562" TargetMode="External"/><Relationship Id="rId293" Type="http://schemas.openxmlformats.org/officeDocument/2006/relationships/hyperlink" Target="https://digital.library.pitt.edu/islandora/object/pitt:31735066267562" TargetMode="External"/><Relationship Id="rId294" Type="http://schemas.openxmlformats.org/officeDocument/2006/relationships/hyperlink" Target="https://digital.library.pitt.edu/islandora/object/pitt:31735066267562" TargetMode="External"/><Relationship Id="rId295" Type="http://schemas.openxmlformats.org/officeDocument/2006/relationships/hyperlink" Target="https://digital.library.pitt.edu/islandora/object/pitt:31735066267570" TargetMode="External"/><Relationship Id="rId296" Type="http://schemas.openxmlformats.org/officeDocument/2006/relationships/hyperlink" Target="https://digital.library.pitt.edu/islandora/object/pitt:31735066267570" TargetMode="External"/><Relationship Id="rId297" Type="http://schemas.openxmlformats.org/officeDocument/2006/relationships/hyperlink" Target="https://digital.library.pitt.edu/islandora/object/pitt:31735066267588" TargetMode="External"/><Relationship Id="rId298" Type="http://schemas.openxmlformats.org/officeDocument/2006/relationships/hyperlink" Target="https://digital.library.pitt.edu/islandora/object/pitt:31735066267588" TargetMode="External"/><Relationship Id="rId299" Type="http://schemas.openxmlformats.org/officeDocument/2006/relationships/hyperlink" Target="https://digital.library.pitt.edu/islandora/object/pitt:31735066267596" TargetMode="External"/><Relationship Id="rId300" Type="http://schemas.openxmlformats.org/officeDocument/2006/relationships/hyperlink" Target="https://digital.library.pitt.edu/islandora/object/pitt:31735066267596" TargetMode="External"/><Relationship Id="rId301" Type="http://schemas.openxmlformats.org/officeDocument/2006/relationships/hyperlink" Target="https://digital.library.pitt.edu/islandora/object/pitt:31735066267596" TargetMode="External"/><Relationship Id="rId302" Type="http://schemas.openxmlformats.org/officeDocument/2006/relationships/hyperlink" Target="https://digital.library.pitt.edu/islandora/object/pitt:31735066267604" TargetMode="External"/><Relationship Id="rId303" Type="http://schemas.openxmlformats.org/officeDocument/2006/relationships/hyperlink" Target="https://digital.library.pitt.edu/islandora/object/pitt:31735066267612" TargetMode="External"/><Relationship Id="rId304" Type="http://schemas.openxmlformats.org/officeDocument/2006/relationships/hyperlink" Target="https://digital.library.pitt.edu/islandora/object/pitt:31735066267620" TargetMode="External"/><Relationship Id="rId305" Type="http://schemas.openxmlformats.org/officeDocument/2006/relationships/hyperlink" Target="https://digital.library.pitt.edu/islandora/object/pitt:31735066267638" TargetMode="External"/><Relationship Id="rId306" Type="http://schemas.openxmlformats.org/officeDocument/2006/relationships/hyperlink" Target="https://digital.library.pitt.edu/islandora/object/pitt:31735066267646" TargetMode="External"/><Relationship Id="rId307" Type="http://schemas.openxmlformats.org/officeDocument/2006/relationships/hyperlink" Target="https://digital.library.pitt.edu/islandora/object/pitt:31735066267653" TargetMode="External"/><Relationship Id="rId308" Type="http://schemas.openxmlformats.org/officeDocument/2006/relationships/hyperlink" Target="https://digital.library.pitt.edu/islandora/object/pitt:31735066267661" TargetMode="External"/><Relationship Id="rId309" Type="http://schemas.openxmlformats.org/officeDocument/2006/relationships/hyperlink" Target="https://digital.library.pitt.edu/islandora/object/pitt:31735066267679" TargetMode="External"/><Relationship Id="rId310" Type="http://schemas.openxmlformats.org/officeDocument/2006/relationships/hyperlink" Target="https://digital.library.pitt.edu/islandora/object/pitt:31735066267679" TargetMode="External"/><Relationship Id="rId311" Type="http://schemas.openxmlformats.org/officeDocument/2006/relationships/hyperlink" Target="https://digital.library.pitt.edu/islandora/object/pitt:31735066267679" TargetMode="External"/><Relationship Id="rId312" Type="http://schemas.openxmlformats.org/officeDocument/2006/relationships/hyperlink" Target="https://digital.library.pitt.edu/islandora/object/pitt:31735066267687" TargetMode="External"/><Relationship Id="rId313" Type="http://schemas.openxmlformats.org/officeDocument/2006/relationships/hyperlink" Target="https://digital.library.pitt.edu/islandora/object/pitt:31735066267695" TargetMode="External"/><Relationship Id="rId314" Type="http://schemas.openxmlformats.org/officeDocument/2006/relationships/hyperlink" Target="https://digital.library.pitt.edu/islandora/object/pitt:31735066267695" TargetMode="External"/><Relationship Id="rId315" Type="http://schemas.openxmlformats.org/officeDocument/2006/relationships/hyperlink" Target="https://digital.library.pitt.edu/islandora/object/pitt:31735066267695" TargetMode="External"/><Relationship Id="rId316" Type="http://schemas.openxmlformats.org/officeDocument/2006/relationships/hyperlink" Target="https://digital.library.pitt.edu/islandora/object/pitt:31735066267703" TargetMode="External"/><Relationship Id="rId317" Type="http://schemas.openxmlformats.org/officeDocument/2006/relationships/hyperlink" Target="https://digital.library.pitt.edu/islandora/object/pitt:31735066267703" TargetMode="External"/><Relationship Id="rId318" Type="http://schemas.openxmlformats.org/officeDocument/2006/relationships/hyperlink" Target="https://digital.library.pitt.edu/islandora/object/pitt:31735066267711" TargetMode="External"/><Relationship Id="rId319" Type="http://schemas.openxmlformats.org/officeDocument/2006/relationships/hyperlink" Target="https://digital.library.pitt.edu/islandora/object/pitt:31735066267729" TargetMode="External"/><Relationship Id="rId320" Type="http://schemas.openxmlformats.org/officeDocument/2006/relationships/hyperlink" Target="https://digital.library.pitt.edu/islandora/object/pitt:31735066267737" TargetMode="External"/><Relationship Id="rId321" Type="http://schemas.openxmlformats.org/officeDocument/2006/relationships/hyperlink" Target="https://digital.library.pitt.edu/islandora/object/pitt:31735066267745" TargetMode="External"/><Relationship Id="rId322" Type="http://schemas.openxmlformats.org/officeDocument/2006/relationships/hyperlink" Target="https://digital.library.pitt.edu/islandora/object/pitt:31735066267745" TargetMode="External"/><Relationship Id="rId323" Type="http://schemas.openxmlformats.org/officeDocument/2006/relationships/hyperlink" Target="https://digital.library.pitt.edu/islandora/object/pitt:31735066267745" TargetMode="External"/><Relationship Id="rId324" Type="http://schemas.openxmlformats.org/officeDocument/2006/relationships/hyperlink" Target="https://digital.library.pitt.edu/islandora/object/pitt:31735066267752" TargetMode="External"/><Relationship Id="rId325" Type="http://schemas.openxmlformats.org/officeDocument/2006/relationships/hyperlink" Target="https://digital.library.pitt.edu/islandora/object/pitt:31735066267752" TargetMode="External"/><Relationship Id="rId326" Type="http://schemas.openxmlformats.org/officeDocument/2006/relationships/hyperlink" Target="https://digital.library.pitt.edu/islandora/object/pitt:31735066267760" TargetMode="External"/><Relationship Id="rId327" Type="http://schemas.openxmlformats.org/officeDocument/2006/relationships/hyperlink" Target="https://digital.library.pitt.edu/islandora/object/pitt:31735066267760" TargetMode="External"/><Relationship Id="rId328" Type="http://schemas.openxmlformats.org/officeDocument/2006/relationships/hyperlink" Target="https://digital.library.pitt.edu/islandora/object/pitt:31735066267778" TargetMode="External"/><Relationship Id="rId329" Type="http://schemas.openxmlformats.org/officeDocument/2006/relationships/hyperlink" Target="https://digital.library.pitt.edu/islandora/object/pitt:31735066267786" TargetMode="External"/><Relationship Id="rId330" Type="http://schemas.openxmlformats.org/officeDocument/2006/relationships/hyperlink" Target="https://digital.library.pitt.edu/islandora/object/pitt:31735066267794" TargetMode="External"/><Relationship Id="rId331" Type="http://schemas.openxmlformats.org/officeDocument/2006/relationships/hyperlink" Target="https://digital.library.pitt.edu/islandora/object/pitt:31735066267794" TargetMode="External"/><Relationship Id="rId332" Type="http://schemas.openxmlformats.org/officeDocument/2006/relationships/hyperlink" Target="https://digital.library.pitt.edu/islandora/object/pitt:31735066267794" TargetMode="External"/><Relationship Id="rId333" Type="http://schemas.openxmlformats.org/officeDocument/2006/relationships/hyperlink" Target="https://digital.library.pitt.edu/islandora/object/pitt:31735066267802" TargetMode="External"/><Relationship Id="rId334" Type="http://schemas.openxmlformats.org/officeDocument/2006/relationships/hyperlink" Target="https://digital.library.pitt.edu/islandora/object/pitt:31735066267802" TargetMode="External"/><Relationship Id="rId335" Type="http://schemas.openxmlformats.org/officeDocument/2006/relationships/hyperlink" Target="https://digital.library.pitt.edu/islandora/object/pitt:31735066267810" TargetMode="External"/><Relationship Id="rId336" Type="http://schemas.openxmlformats.org/officeDocument/2006/relationships/hyperlink" Target="https://digital.library.pitt.edu/islandora/object/pitt:31735066267810" TargetMode="External"/><Relationship Id="rId337" Type="http://schemas.openxmlformats.org/officeDocument/2006/relationships/hyperlink" Target="https://digital.library.pitt.edu/islandora/object/pitt:31735066267810" TargetMode="External"/><Relationship Id="rId338" Type="http://schemas.openxmlformats.org/officeDocument/2006/relationships/hyperlink" Target="https://digital.library.pitt.edu/islandora/object/pitt:31735066267810" TargetMode="External"/><Relationship Id="rId339" Type="http://schemas.openxmlformats.org/officeDocument/2006/relationships/hyperlink" Target="https://digital.library.pitt.edu/islandora/object/pitt:31735066267810" TargetMode="External"/><Relationship Id="rId340" Type="http://schemas.openxmlformats.org/officeDocument/2006/relationships/hyperlink" Target="https://digital.library.pitt.edu/islandora/object/pitt:31735066267810" TargetMode="External"/><Relationship Id="rId341" Type="http://schemas.openxmlformats.org/officeDocument/2006/relationships/hyperlink" Target="https://digital.library.pitt.edu/islandora/object/pitt:31735066267810" TargetMode="External"/><Relationship Id="rId342" Type="http://schemas.openxmlformats.org/officeDocument/2006/relationships/hyperlink" Target="https://digital.library.pitt.edu/islandora/object/pitt:31735066267810" TargetMode="External"/><Relationship Id="rId343" Type="http://schemas.openxmlformats.org/officeDocument/2006/relationships/hyperlink" Target="https://digital.library.pitt.edu/islandora/object/pitt:31735066267810" TargetMode="External"/><Relationship Id="rId344" Type="http://schemas.openxmlformats.org/officeDocument/2006/relationships/hyperlink" Target="https://digital.library.pitt.edu/islandora/object/pitt:31735066267810" TargetMode="External"/><Relationship Id="rId345" Type="http://schemas.openxmlformats.org/officeDocument/2006/relationships/hyperlink" Target="https://digital.library.pitt.edu/islandora/object/pitt:31735066267810" TargetMode="External"/><Relationship Id="rId346" Type="http://schemas.openxmlformats.org/officeDocument/2006/relationships/hyperlink" Target="https://digital.library.pitt.edu/islandora/object/pitt:31735066267810" TargetMode="External"/><Relationship Id="rId347" Type="http://schemas.openxmlformats.org/officeDocument/2006/relationships/hyperlink" Target="https://digital.library.pitt.edu/islandora/object/pitt:31735066267810" TargetMode="External"/><Relationship Id="rId348" Type="http://schemas.openxmlformats.org/officeDocument/2006/relationships/hyperlink" Target="https://digital.library.pitt.edu/islandora/object/pitt:31735066267810" TargetMode="External"/><Relationship Id="rId349" Type="http://schemas.openxmlformats.org/officeDocument/2006/relationships/hyperlink" Target="https://digital.library.pitt.edu/islandora/object/pitt:31735066267810" TargetMode="External"/><Relationship Id="rId350" Type="http://schemas.openxmlformats.org/officeDocument/2006/relationships/hyperlink" Target="https://digital.library.pitt.edu/islandora/object/pitt:31735066267828" TargetMode="External"/><Relationship Id="rId351" Type="http://schemas.openxmlformats.org/officeDocument/2006/relationships/hyperlink" Target="https://digital.library.pitt.edu/islandora/object/pitt:31735066267828" TargetMode="External"/><Relationship Id="rId352" Type="http://schemas.openxmlformats.org/officeDocument/2006/relationships/hyperlink" Target="https://digital.library.pitt.edu/islandora/object/pitt:31735066267836" TargetMode="External"/><Relationship Id="rId353" Type="http://schemas.openxmlformats.org/officeDocument/2006/relationships/hyperlink" Target="https://digital.library.pitt.edu/islandora/object/pitt:31735066267844" TargetMode="External"/><Relationship Id="rId354" Type="http://schemas.openxmlformats.org/officeDocument/2006/relationships/hyperlink" Target="https://digital.library.pitt.edu/islandora/object/pitt:31735066267851" TargetMode="External"/><Relationship Id="rId355" Type="http://schemas.openxmlformats.org/officeDocument/2006/relationships/hyperlink" Target="https://digital.library.pitt.edu/islandora/object/pitt:31735066267869" TargetMode="External"/><Relationship Id="rId356" Type="http://schemas.openxmlformats.org/officeDocument/2006/relationships/hyperlink" Target="https://digital.library.pitt.edu/islandora/object/pitt:31735066267877" TargetMode="External"/><Relationship Id="rId357" Type="http://schemas.openxmlformats.org/officeDocument/2006/relationships/hyperlink" Target="https://digital.library.pitt.edu/islandora/object/pitt:31735066267885" TargetMode="External"/><Relationship Id="rId358" Type="http://schemas.openxmlformats.org/officeDocument/2006/relationships/hyperlink" Target="https://digital.library.pitt.edu/islandora/object/pitt:31735066267893" TargetMode="External"/><Relationship Id="rId359" Type="http://schemas.openxmlformats.org/officeDocument/2006/relationships/hyperlink" Target="https://digital.library.pitt.edu/islandora/object/pitt:31735066267901" TargetMode="External"/><Relationship Id="rId360" Type="http://schemas.openxmlformats.org/officeDocument/2006/relationships/hyperlink" Target="https://digital.library.pitt.edu/islandora/object/pitt:31735066267919" TargetMode="External"/><Relationship Id="rId361" Type="http://schemas.openxmlformats.org/officeDocument/2006/relationships/hyperlink" Target="https://digital.library.pitt.edu/islandora/object/pitt:31735066267927" TargetMode="External"/><Relationship Id="rId362" Type="http://schemas.openxmlformats.org/officeDocument/2006/relationships/hyperlink" Target="https://digital.library.pitt.edu/islandora/object/pitt:31735066267935" TargetMode="External"/><Relationship Id="rId363" Type="http://schemas.openxmlformats.org/officeDocument/2006/relationships/hyperlink" Target="https://digital.library.pitt.edu/islandora/object/pitt:31735066267943" TargetMode="External"/><Relationship Id="rId364" Type="http://schemas.openxmlformats.org/officeDocument/2006/relationships/hyperlink" Target="https://digital.library.pitt.edu/islandora/object/pitt:31735066267976" TargetMode="External"/><Relationship Id="rId365" Type="http://schemas.openxmlformats.org/officeDocument/2006/relationships/hyperlink" Target="https://digital.library.pitt.edu/islandora/object/pitt:31735066267976" TargetMode="External"/><Relationship Id="rId366" Type="http://schemas.openxmlformats.org/officeDocument/2006/relationships/hyperlink" Target="https://digital.library.pitt.edu/islandora/object/pitt:31735066267976" TargetMode="External"/><Relationship Id="rId367" Type="http://schemas.openxmlformats.org/officeDocument/2006/relationships/hyperlink" Target="https://digital.library.pitt.edu/islandora/object/pitt:31735066267976" TargetMode="External"/><Relationship Id="rId368" Type="http://schemas.openxmlformats.org/officeDocument/2006/relationships/hyperlink" Target="https://digital.library.pitt.edu/islandora/object/pitt:31735066267976" TargetMode="External"/><Relationship Id="rId369" Type="http://schemas.openxmlformats.org/officeDocument/2006/relationships/hyperlink" Target="https://digital.library.pitt.edu/islandora/object/pitt:31735066267976" TargetMode="External"/><Relationship Id="rId370" Type="http://schemas.openxmlformats.org/officeDocument/2006/relationships/hyperlink" Target="https://digital.library.pitt.edu/islandora/object/pitt:31735066267976" TargetMode="External"/><Relationship Id="rId371" Type="http://schemas.openxmlformats.org/officeDocument/2006/relationships/hyperlink" Target="https://digital.library.pitt.edu/islandora/object/pitt:31735066267976" TargetMode="External"/><Relationship Id="rId372" Type="http://schemas.openxmlformats.org/officeDocument/2006/relationships/hyperlink" Target="https://digital.library.pitt.edu/islandora/object/pitt:31735066267976" TargetMode="External"/><Relationship Id="rId373" Type="http://schemas.openxmlformats.org/officeDocument/2006/relationships/hyperlink" Target="https://digital.library.pitt.edu/islandora/object/pitt:31735066267976" TargetMode="External"/><Relationship Id="rId374" Type="http://schemas.openxmlformats.org/officeDocument/2006/relationships/hyperlink" Target="https://digital.library.pitt.edu/islandora/object/pitt:31735066267976" TargetMode="External"/><Relationship Id="rId375" Type="http://schemas.openxmlformats.org/officeDocument/2006/relationships/hyperlink" Target="https://digital.library.pitt.edu/islandora/object/pitt:31735066268024" TargetMode="External"/><Relationship Id="rId376" Type="http://schemas.openxmlformats.org/officeDocument/2006/relationships/hyperlink" Target="https://digital.library.pitt.edu/islandora/object/pitt:31735066268032" TargetMode="External"/><Relationship Id="rId377" Type="http://schemas.openxmlformats.org/officeDocument/2006/relationships/hyperlink" Target="https://digital.library.pitt.edu/islandora/object/pitt:31735066268040" TargetMode="External"/><Relationship Id="rId378" Type="http://schemas.openxmlformats.org/officeDocument/2006/relationships/hyperlink" Target="https://digital.library.pitt.edu/islandora/object/pitt:31735066268040" TargetMode="External"/><Relationship Id="rId379" Type="http://schemas.openxmlformats.org/officeDocument/2006/relationships/hyperlink" Target="https://digital.library.pitt.edu/islandora/object/pitt:31735066268040" TargetMode="External"/><Relationship Id="rId380" Type="http://schemas.openxmlformats.org/officeDocument/2006/relationships/hyperlink" Target="https://digital.library.pitt.edu/islandora/object/pitt:31735068223258" TargetMode="External"/><Relationship Id="rId381" Type="http://schemas.openxmlformats.org/officeDocument/2006/relationships/hyperlink" Target="https://digital.library.pitt.edu/islandora/object/pitt:31735068223266" TargetMode="External"/><Relationship Id="rId382" Type="http://schemas.openxmlformats.org/officeDocument/2006/relationships/hyperlink" Target="https://digital.library.pitt.edu/islandora/object/pitt:31735068223290" TargetMode="External"/><Relationship Id="rId383" Type="http://schemas.openxmlformats.org/officeDocument/2006/relationships/hyperlink" Target="https://digital.library.pitt.edu/islandora/object/pitt:31735068223308" TargetMode="External"/><Relationship Id="rId384" Type="http://schemas.openxmlformats.org/officeDocument/2006/relationships/hyperlink" Target="https://digital.library.pitt.edu/islandora/object/pitt:31735068223316" TargetMode="External"/><Relationship Id="rId385" Type="http://schemas.openxmlformats.org/officeDocument/2006/relationships/hyperlink" Target="https://digital.library.pitt.edu/islandora/object/pitt:31735068223324" TargetMode="External"/><Relationship Id="rId386" Type="http://schemas.openxmlformats.org/officeDocument/2006/relationships/hyperlink" Target="https://digital.library.pitt.edu/islandora/object/pitt:31735068223332" TargetMode="External"/><Relationship Id="rId387" Type="http://schemas.openxmlformats.org/officeDocument/2006/relationships/hyperlink" Target="https://digital.library.pitt.edu/islandora/object/pitt:31735068223357" TargetMode="External"/><Relationship Id="rId388" Type="http://schemas.openxmlformats.org/officeDocument/2006/relationships/hyperlink" Target="https://digital.library.pitt.edu/islandora/object/pitt:31735068223365" TargetMode="External"/><Relationship Id="rId389" Type="http://schemas.openxmlformats.org/officeDocument/2006/relationships/hyperlink" Target="https://digital.library.pitt.edu/islandora/object/pitt:31735068223373" TargetMode="External"/><Relationship Id="rId390" Type="http://schemas.openxmlformats.org/officeDocument/2006/relationships/hyperlink" Target="https://digital.library.pitt.edu/islandora/object/pitt:31735068223373" TargetMode="External"/><Relationship Id="rId391" Type="http://schemas.openxmlformats.org/officeDocument/2006/relationships/hyperlink" Target="https://digital.library.pitt.edu/islandora/object/pitt:31735068223381" TargetMode="External"/><Relationship Id="rId392" Type="http://schemas.openxmlformats.org/officeDocument/2006/relationships/hyperlink" Target="https://digital.library.pitt.edu/islandora/object/pitt:31735068223381" TargetMode="External"/><Relationship Id="rId393" Type="http://schemas.openxmlformats.org/officeDocument/2006/relationships/hyperlink" Target="https://digital.library.pitt.edu/islandora/object/pitt:31735068223399" TargetMode="External"/><Relationship Id="rId394" Type="http://schemas.openxmlformats.org/officeDocument/2006/relationships/hyperlink" Target="https://digital.library.pitt.edu/islandora/object/pitt:31735068223399" TargetMode="External"/><Relationship Id="rId395" Type="http://schemas.openxmlformats.org/officeDocument/2006/relationships/hyperlink" Target="https://digital.library.pitt.edu/islandora/object/pitt:31735068223407" TargetMode="External"/><Relationship Id="rId396" Type="http://schemas.openxmlformats.org/officeDocument/2006/relationships/hyperlink" Target="https://digital.library.pitt.edu/islandora/object/pitt:31735068223415" TargetMode="External"/><Relationship Id="rId397" Type="http://schemas.openxmlformats.org/officeDocument/2006/relationships/hyperlink" Target="https://digital.library.pitt.edu/islandora/object/pitt:31735068223423" TargetMode="External"/><Relationship Id="rId398" Type="http://schemas.openxmlformats.org/officeDocument/2006/relationships/hyperlink" Target="https://digital.library.pitt.edu/islandora/object/pitt:31735068223423" TargetMode="External"/><Relationship Id="rId399" Type="http://schemas.openxmlformats.org/officeDocument/2006/relationships/hyperlink" Target="https://digital.library.pitt.edu/islandora/object/pitt:31735068223431" TargetMode="External"/><Relationship Id="rId400" Type="http://schemas.openxmlformats.org/officeDocument/2006/relationships/hyperlink" Target="https://digital.library.pitt.edu/islandora/object/pitt:31735068223431" TargetMode="External"/><Relationship Id="rId401" Type="http://schemas.openxmlformats.org/officeDocument/2006/relationships/hyperlink" Target="https://digital.library.pitt.edu/islandora/object/pitt:31735068223449" TargetMode="External"/><Relationship Id="rId402" Type="http://schemas.openxmlformats.org/officeDocument/2006/relationships/hyperlink" Target="https://digital.library.pitt.edu/islandora/object/pitt:31735068223449" TargetMode="External"/><Relationship Id="rId403" Type="http://schemas.openxmlformats.org/officeDocument/2006/relationships/hyperlink" Target="https://digital.library.pitt.edu/islandora/object/pitt:31735068223456" TargetMode="External"/><Relationship Id="rId404" Type="http://schemas.openxmlformats.org/officeDocument/2006/relationships/hyperlink" Target="https://digital.library.pitt.edu/islandora/object/pitt:31735068223464" TargetMode="External"/><Relationship Id="rId405" Type="http://schemas.openxmlformats.org/officeDocument/2006/relationships/hyperlink" Target="https://digital.library.pitt.edu/islandora/object/pitt:31735068223464" TargetMode="External"/><Relationship Id="rId406" Type="http://schemas.openxmlformats.org/officeDocument/2006/relationships/hyperlink" Target="https://digital.library.pitt.edu/islandora/object/pitt:31735068223464" TargetMode="External"/><Relationship Id="rId407" Type="http://schemas.openxmlformats.org/officeDocument/2006/relationships/hyperlink" Target="https://digital.library.pitt.edu/islandora/object/pitt:31735068223472" TargetMode="External"/><Relationship Id="rId408"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4" t="s">
        <v>2</v>
      </c>
    </row>
    <row r="5" customFormat="false" ht="15" hidden="false" customHeight="false" outlineLevel="0" collapsed="false">
      <c r="A5" s="4"/>
    </row>
    <row r="6" customFormat="false" ht="15" hidden="false" customHeight="false" outlineLevel="0" collapsed="false">
      <c r="A6" s="5" t="s">
        <v>3</v>
      </c>
    </row>
    <row r="7" customFormat="false" ht="23.85" hidden="false" customHeight="false" outlineLevel="0" collapsed="false">
      <c r="A7" s="4" t="s">
        <v>4</v>
      </c>
    </row>
    <row r="8" customFormat="false" ht="1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t="s">
        <v>10</v>
      </c>
    </row>
    <row r="14" customFormat="false" ht="15" hidden="false" customHeight="false" outlineLevel="0" collapsed="false">
      <c r="A14" s="4" t="s">
        <v>11</v>
      </c>
    </row>
    <row r="15" customFormat="false" ht="15" hidden="false" customHeight="false" outlineLevel="0" collapsed="false">
      <c r="A15" s="4"/>
    </row>
    <row r="16" customFormat="false" ht="15" hidden="false" customHeight="false" outlineLevel="0" collapsed="false">
      <c r="A16" s="5" t="s">
        <v>12</v>
      </c>
    </row>
    <row r="17" customFormat="false" ht="15" hidden="false" customHeight="false" outlineLevel="0" collapsed="false">
      <c r="A17" s="4" t="s">
        <v>13</v>
      </c>
    </row>
    <row r="18" customFormat="false" ht="15" hidden="false" customHeight="false" outlineLevel="0" collapsed="false">
      <c r="A18" s="4" t="s">
        <v>14</v>
      </c>
    </row>
    <row r="19" customFormat="false" ht="23.85" hidden="false" customHeight="false" outlineLevel="0" collapsed="false">
      <c r="A19" s="4" t="s">
        <v>15</v>
      </c>
    </row>
    <row r="20" customFormat="false" ht="15" hidden="false" customHeight="false" outlineLevel="0" collapsed="false">
      <c r="A20" s="4" t="s">
        <v>16</v>
      </c>
    </row>
    <row r="21" customFormat="false" ht="26.85" hidden="false" customHeight="false" outlineLevel="0" collapsed="false">
      <c r="A21" s="4" t="s">
        <v>17</v>
      </c>
    </row>
    <row r="22" customFormat="false" ht="15" hidden="false" customHeight="false" outlineLevel="0" collapsed="false">
      <c r="A22" s="4"/>
    </row>
    <row r="23" customFormat="false" ht="15" hidden="false" customHeight="false" outlineLevel="0" collapsed="false">
      <c r="A23"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6"/>
    <col collapsed="false" customWidth="true" hidden="false" outlineLevel="0" max="5" min="4" style="0" width="8"/>
    <col collapsed="false" customWidth="true" hidden="false" outlineLevel="0" max="6" min="6" style="0" width="10"/>
    <col collapsed="false" customWidth="true" hidden="false" outlineLevel="0" max="7" min="7" style="0" width="8"/>
    <col collapsed="false" customWidth="true" hidden="false" outlineLevel="0" max="8" min="8" style="0" width="11"/>
    <col collapsed="false" customWidth="true" hidden="false" outlineLevel="0" max="10" min="9" style="0" width="16"/>
    <col collapsed="false" customWidth="true" hidden="false" outlineLevel="0" max="11" min="11" style="0" width="11"/>
    <col collapsed="false" customWidth="true" hidden="false" outlineLevel="0" max="12" min="12" style="0" width="12"/>
    <col collapsed="false" customWidth="true" hidden="false" outlineLevel="0" max="15" min="13" style="0" width="14"/>
    <col collapsed="false" customWidth="true" hidden="false" outlineLevel="0" max="16" min="16" style="0" width="20"/>
    <col collapsed="false" customWidth="true" hidden="false" outlineLevel="0" max="18" min="17" style="0" width="18"/>
    <col collapsed="false" customWidth="true" hidden="false" outlineLevel="0" max="20" min="19" style="0" width="14"/>
    <col collapsed="false" customWidth="true" hidden="false" outlineLevel="0" max="21" min="21" style="0" width="22"/>
    <col collapsed="false" customWidth="true" hidden="false" outlineLevel="0" max="22" min="22" style="0" width="10"/>
    <col collapsed="false" customWidth="true" hidden="false" outlineLevel="0" max="23" min="23" style="0" width="20"/>
    <col collapsed="false" customWidth="true" hidden="false" outlineLevel="0" max="24" min="24" style="0" width="14"/>
    <col collapsed="false" customWidth="true" hidden="false" outlineLevel="0" max="25" min="25" style="0" width="16"/>
    <col collapsed="false" customWidth="true" hidden="false" outlineLevel="0" max="26" min="26" style="0" width="14"/>
    <col collapsed="false" customWidth="true" hidden="false" outlineLevel="0" max="27" min="27" style="0" width="12"/>
    <col collapsed="false" customWidth="true" hidden="false" outlineLevel="0" max="29" min="28" style="0" width="14"/>
    <col collapsed="false" customWidth="true" hidden="false" outlineLevel="0" max="30" min="30" style="0" width="9"/>
    <col collapsed="false" customWidth="true" hidden="false" outlineLevel="0" max="31" min="31" style="0" width="22"/>
    <col collapsed="false" customWidth="true" hidden="false" outlineLevel="0" max="32" min="32" style="0" width="20"/>
    <col collapsed="false" customWidth="true" hidden="false" outlineLevel="0" max="33" min="33" style="0" width="12"/>
    <col collapsed="false" customWidth="true" hidden="false" outlineLevel="0" max="34" min="34" style="0" width="16"/>
    <col collapsed="false" customWidth="true" hidden="false" outlineLevel="0" max="54" min="35" style="0" width="6"/>
    <col collapsed="false" customWidth="true" hidden="false" outlineLevel="0" max="55" min="55" style="0" width="8"/>
    <col collapsed="false" customWidth="true" hidden="false" outlineLevel="0" max="58" min="56" style="0" width="7"/>
    <col collapsed="false" customWidth="true" hidden="false" outlineLevel="0" max="59" min="59" style="0" width="30"/>
    <col collapsed="false" customWidth="true" hidden="false" outlineLevel="0" max="60" min="60" style="0" width="60"/>
  </cols>
  <sheetData>
    <row r="1" customFormat="false" ht="42" hidden="false" customHeight="true" outlineLevel="0" collapsed="false">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6" t="s">
        <v>36</v>
      </c>
      <c r="S1" s="6" t="s">
        <v>37</v>
      </c>
      <c r="T1" s="6" t="s">
        <v>38</v>
      </c>
      <c r="U1" s="6" t="s">
        <v>39</v>
      </c>
      <c r="V1" s="6" t="s">
        <v>40</v>
      </c>
      <c r="W1" s="6" t="s">
        <v>41</v>
      </c>
      <c r="X1" s="6" t="s">
        <v>42</v>
      </c>
      <c r="Y1" s="6" t="s">
        <v>43</v>
      </c>
      <c r="Z1" s="6" t="s">
        <v>44</v>
      </c>
      <c r="AA1" s="6" t="s">
        <v>45</v>
      </c>
      <c r="AB1" s="6" t="s">
        <v>46</v>
      </c>
      <c r="AC1" s="6" t="s">
        <v>47</v>
      </c>
      <c r="AD1" s="6" t="s">
        <v>48</v>
      </c>
      <c r="AE1" s="6" t="s">
        <v>49</v>
      </c>
      <c r="AF1" s="6" t="s">
        <v>50</v>
      </c>
      <c r="AG1" s="6" t="s">
        <v>51</v>
      </c>
      <c r="AH1" s="6" t="s">
        <v>52</v>
      </c>
      <c r="AI1" s="7" t="s">
        <v>53</v>
      </c>
      <c r="AJ1" s="7" t="s">
        <v>54</v>
      </c>
      <c r="AK1" s="7" t="s">
        <v>55</v>
      </c>
      <c r="AL1" s="7" t="s">
        <v>56</v>
      </c>
      <c r="AM1" s="7" t="s">
        <v>57</v>
      </c>
      <c r="AN1" s="7" t="s">
        <v>58</v>
      </c>
      <c r="AO1" s="7" t="s">
        <v>59</v>
      </c>
      <c r="AP1" s="7" t="s">
        <v>60</v>
      </c>
      <c r="AQ1" s="7" t="s">
        <v>61</v>
      </c>
      <c r="AR1" s="7" t="s">
        <v>62</v>
      </c>
      <c r="AS1" s="7" t="s">
        <v>63</v>
      </c>
      <c r="AT1" s="7" t="s">
        <v>64</v>
      </c>
      <c r="AU1" s="7" t="s">
        <v>65</v>
      </c>
      <c r="AV1" s="7" t="s">
        <v>66</v>
      </c>
      <c r="AW1" s="7" t="s">
        <v>67</v>
      </c>
      <c r="AX1" s="7" t="s">
        <v>68</v>
      </c>
      <c r="AY1" s="7" t="s">
        <v>69</v>
      </c>
      <c r="AZ1" s="7" t="s">
        <v>70</v>
      </c>
      <c r="BA1" s="7" t="s">
        <v>71</v>
      </c>
      <c r="BB1" s="7" t="s">
        <v>72</v>
      </c>
      <c r="BC1" s="6" t="s">
        <v>73</v>
      </c>
      <c r="BD1" s="6" t="s">
        <v>74</v>
      </c>
      <c r="BE1" s="6" t="s">
        <v>75</v>
      </c>
      <c r="BF1" s="6" t="s">
        <v>76</v>
      </c>
      <c r="BG1" s="6" t="s">
        <v>77</v>
      </c>
      <c r="BH1" s="6" t="s">
        <v>78</v>
      </c>
    </row>
    <row r="2" customFormat="false" ht="15" hidden="false" customHeight="false" outlineLevel="0" collapsed="false">
      <c r="A2" s="8" t="s">
        <v>79</v>
      </c>
      <c r="B2" s="8" t="s">
        <v>80</v>
      </c>
      <c r="C2" s="8" t="n">
        <v>1</v>
      </c>
      <c r="D2" s="8" t="n">
        <v>1886</v>
      </c>
      <c r="E2" s="8" t="n">
        <v>1886</v>
      </c>
      <c r="F2" s="8" t="str">
        <f aca="false">IF(D2="","?",IF(D2&lt;1796,"pre-1796",IF(D2&lt;1912,"1796-1911",IF(D2&lt;1949,"1912-1948","1949+"))))</f>
        <v>1796-1911</v>
      </c>
      <c r="G2" s="8" t="str">
        <f aca="false">IF(D2="","?",IF(D2&lt;1912,"Qing",IF(D2&lt;1949,"Republic","PRC")))</f>
        <v>Qing</v>
      </c>
      <c r="H2" s="8" t="s">
        <v>81</v>
      </c>
      <c r="I2" s="9" t="s">
        <v>82</v>
      </c>
      <c r="J2" s="9" t="s">
        <v>83</v>
      </c>
      <c r="K2" s="8" t="s">
        <v>84</v>
      </c>
      <c r="L2" s="9" t="s">
        <v>85</v>
      </c>
      <c r="M2" s="8"/>
      <c r="N2" s="8"/>
      <c r="O2" s="8" t="s">
        <v>86</v>
      </c>
      <c r="P2" s="8" t="s">
        <v>87</v>
      </c>
      <c r="Q2" s="8"/>
      <c r="R2" s="8"/>
      <c r="S2" s="8"/>
      <c r="T2" s="8"/>
      <c r="U2" s="8"/>
      <c r="V2" s="8"/>
      <c r="W2" s="8"/>
      <c r="X2" s="8"/>
      <c r="Y2" s="8"/>
      <c r="Z2" s="8"/>
      <c r="AA2" s="8"/>
      <c r="AB2" s="8"/>
      <c r="AC2" s="8"/>
      <c r="AD2" s="8"/>
      <c r="AE2" s="9" t="s">
        <v>88</v>
      </c>
      <c r="AF2" s="8"/>
      <c r="AG2" s="8"/>
      <c r="AH2" s="8"/>
      <c r="AI2" s="8" t="n">
        <v>0</v>
      </c>
      <c r="AJ2" s="8" t="n">
        <v>0</v>
      </c>
      <c r="AK2" s="8" t="n">
        <v>0</v>
      </c>
      <c r="AL2" s="8" t="n">
        <v>0</v>
      </c>
      <c r="AM2" s="8" t="n">
        <v>0</v>
      </c>
      <c r="AN2" s="8" t="n">
        <v>0</v>
      </c>
      <c r="AO2" s="8" t="n">
        <v>0</v>
      </c>
      <c r="AP2" s="8" t="n">
        <v>0</v>
      </c>
      <c r="AQ2" s="8" t="n">
        <v>0</v>
      </c>
      <c r="AR2" s="8" t="n">
        <v>0</v>
      </c>
      <c r="AS2" s="8" t="n">
        <v>0</v>
      </c>
      <c r="AT2" s="8" t="n">
        <v>0</v>
      </c>
      <c r="AU2" s="8" t="n">
        <v>0</v>
      </c>
      <c r="AV2" s="8" t="n">
        <v>0</v>
      </c>
      <c r="AW2" s="8" t="n">
        <v>0</v>
      </c>
      <c r="AX2" s="8" t="n">
        <v>1</v>
      </c>
      <c r="AY2" s="8" t="n">
        <v>0</v>
      </c>
      <c r="AZ2" s="8" t="n">
        <v>0</v>
      </c>
      <c r="BA2" s="8" t="n">
        <v>0</v>
      </c>
      <c r="BB2" s="8" t="n">
        <v>0</v>
      </c>
      <c r="BC2" s="8" t="n">
        <v>131</v>
      </c>
      <c r="BD2" s="8" t="n">
        <v>1</v>
      </c>
      <c r="BE2" s="8" t="n">
        <v>2</v>
      </c>
      <c r="BF2" s="8" t="n">
        <v>0</v>
      </c>
      <c r="BG2" s="10" t="s">
        <v>89</v>
      </c>
      <c r="BH2" s="9" t="s">
        <v>90</v>
      </c>
    </row>
    <row r="3" customFormat="false" ht="15" hidden="false" customHeight="false" outlineLevel="0" collapsed="false">
      <c r="A3" s="8" t="s">
        <v>91</v>
      </c>
      <c r="B3" s="8" t="s">
        <v>92</v>
      </c>
      <c r="C3" s="8" t="n">
        <v>1</v>
      </c>
      <c r="D3" s="8" t="n">
        <v>1946</v>
      </c>
      <c r="E3" s="8" t="n">
        <v>1951</v>
      </c>
      <c r="F3" s="8" t="str">
        <f aca="false">IF(D3="","?",IF(D3&lt;1796,"pre-1796",IF(D3&lt;1912,"1796-1911",IF(D3&lt;1949,"1912-1948","1949+"))))</f>
        <v>1912-1948</v>
      </c>
      <c r="G3" s="8" t="str">
        <f aca="false">IF(D3="","?",IF(D3&lt;1912,"Qing",IF(D3&lt;1949,"Republic","PRC")))</f>
        <v>Republic</v>
      </c>
      <c r="H3" s="8" t="s">
        <v>93</v>
      </c>
      <c r="I3" s="9" t="s">
        <v>82</v>
      </c>
      <c r="J3" s="9" t="s">
        <v>83</v>
      </c>
      <c r="K3" s="8" t="s">
        <v>84</v>
      </c>
      <c r="L3" s="8"/>
      <c r="M3" s="9" t="s">
        <v>94</v>
      </c>
      <c r="N3" s="9" t="s">
        <v>95</v>
      </c>
      <c r="O3" s="8" t="s">
        <v>96</v>
      </c>
      <c r="P3" s="8" t="s">
        <v>97</v>
      </c>
      <c r="Q3" s="9" t="s">
        <v>98</v>
      </c>
      <c r="R3" s="9" t="s">
        <v>99</v>
      </c>
      <c r="S3" s="9" t="s">
        <v>100</v>
      </c>
      <c r="T3" s="8"/>
      <c r="U3" s="9" t="s">
        <v>101</v>
      </c>
      <c r="V3" s="9" t="s">
        <v>102</v>
      </c>
      <c r="W3" s="9" t="s">
        <v>103</v>
      </c>
      <c r="X3" s="8"/>
      <c r="Y3" s="9" t="s">
        <v>104</v>
      </c>
      <c r="Z3" s="8"/>
      <c r="AA3" s="8"/>
      <c r="AB3" s="8"/>
      <c r="AC3" s="8"/>
      <c r="AD3" s="8"/>
      <c r="AE3" s="8"/>
      <c r="AF3" s="8"/>
      <c r="AG3" s="8"/>
      <c r="AH3" s="8"/>
      <c r="AI3" s="8" t="n">
        <v>1</v>
      </c>
      <c r="AJ3" s="8" t="n">
        <v>0</v>
      </c>
      <c r="AK3" s="8" t="n">
        <v>1</v>
      </c>
      <c r="AL3" s="8" t="n">
        <v>0</v>
      </c>
      <c r="AM3" s="8" t="n">
        <v>1</v>
      </c>
      <c r="AN3" s="8" t="n">
        <v>1</v>
      </c>
      <c r="AO3" s="8" t="n">
        <v>1</v>
      </c>
      <c r="AP3" s="8" t="n">
        <v>0</v>
      </c>
      <c r="AQ3" s="8" t="n">
        <v>0</v>
      </c>
      <c r="AR3" s="8" t="n">
        <v>1</v>
      </c>
      <c r="AS3" s="8" t="n">
        <v>0</v>
      </c>
      <c r="AT3" s="8" t="n">
        <v>1</v>
      </c>
      <c r="AU3" s="8" t="n">
        <v>0</v>
      </c>
      <c r="AV3" s="8" t="n">
        <v>0</v>
      </c>
      <c r="AW3" s="8" t="n">
        <v>0</v>
      </c>
      <c r="AX3" s="8" t="n">
        <v>0</v>
      </c>
      <c r="AY3" s="8" t="n">
        <v>0</v>
      </c>
      <c r="AZ3" s="8" t="n">
        <v>0</v>
      </c>
      <c r="BA3" s="8" t="n">
        <v>0</v>
      </c>
      <c r="BB3" s="8" t="n">
        <v>0</v>
      </c>
      <c r="BC3" s="8" t="n">
        <v>571</v>
      </c>
      <c r="BD3" s="8" t="n">
        <v>5</v>
      </c>
      <c r="BE3" s="8" t="n">
        <v>0</v>
      </c>
      <c r="BF3" s="8" t="n">
        <v>0</v>
      </c>
      <c r="BG3" s="10" t="s">
        <v>105</v>
      </c>
      <c r="BH3" s="9" t="s">
        <v>106</v>
      </c>
    </row>
    <row r="4" customFormat="false" ht="15" hidden="false" customHeight="false" outlineLevel="0" collapsed="false">
      <c r="A4" s="8" t="s">
        <v>107</v>
      </c>
      <c r="B4" s="8" t="s">
        <v>108</v>
      </c>
      <c r="C4" s="8" t="n">
        <v>1</v>
      </c>
      <c r="D4" s="8" t="n">
        <v>1929</v>
      </c>
      <c r="E4" s="8" t="n">
        <v>1929</v>
      </c>
      <c r="F4" s="8" t="str">
        <f aca="false">IF(D4="","?",IF(D4&lt;1796,"pre-1796",IF(D4&lt;1912,"1796-1911",IF(D4&lt;1949,"1912-1948","1949+"))))</f>
        <v>1912-1948</v>
      </c>
      <c r="G4" s="8" t="str">
        <f aca="false">IF(D4="","?",IF(D4&lt;1912,"Qing",IF(D4&lt;1949,"Republic","PRC")))</f>
        <v>Republic</v>
      </c>
      <c r="H4" s="8" t="s">
        <v>109</v>
      </c>
      <c r="I4" s="9" t="s">
        <v>110</v>
      </c>
      <c r="J4" s="9" t="s">
        <v>111</v>
      </c>
      <c r="K4" s="8" t="s">
        <v>84</v>
      </c>
      <c r="L4" s="9" t="s">
        <v>112</v>
      </c>
      <c r="M4" s="8"/>
      <c r="N4" s="8"/>
      <c r="O4" s="8" t="s">
        <v>113</v>
      </c>
      <c r="P4" s="8" t="s">
        <v>114</v>
      </c>
      <c r="Q4" s="9" t="s">
        <v>115</v>
      </c>
      <c r="R4" s="9" t="s">
        <v>116</v>
      </c>
      <c r="S4" s="8"/>
      <c r="T4" s="8"/>
      <c r="U4" s="9" t="s">
        <v>117</v>
      </c>
      <c r="V4" s="8"/>
      <c r="W4" s="9" t="s">
        <v>118</v>
      </c>
      <c r="X4" s="8"/>
      <c r="Y4" s="8"/>
      <c r="Z4" s="8"/>
      <c r="AA4" s="8"/>
      <c r="AB4" s="8"/>
      <c r="AC4" s="8"/>
      <c r="AD4" s="8"/>
      <c r="AE4" s="9" t="s">
        <v>119</v>
      </c>
      <c r="AF4" s="9" t="s">
        <v>120</v>
      </c>
      <c r="AG4" s="9" t="s">
        <v>121</v>
      </c>
      <c r="AH4" s="9" t="s">
        <v>122</v>
      </c>
      <c r="AI4" s="8" t="n">
        <v>0</v>
      </c>
      <c r="AJ4" s="8" t="n">
        <v>0</v>
      </c>
      <c r="AK4" s="8" t="n">
        <v>0</v>
      </c>
      <c r="AL4" s="8" t="n">
        <v>0</v>
      </c>
      <c r="AM4" s="8" t="n">
        <v>0</v>
      </c>
      <c r="AN4" s="8" t="n">
        <v>0</v>
      </c>
      <c r="AO4" s="8" t="n">
        <v>0</v>
      </c>
      <c r="AP4" s="8" t="n">
        <v>0</v>
      </c>
      <c r="AQ4" s="8" t="n">
        <v>0</v>
      </c>
      <c r="AR4" s="8" t="n">
        <v>0</v>
      </c>
      <c r="AS4" s="8" t="n">
        <v>1</v>
      </c>
      <c r="AT4" s="8" t="n">
        <v>1</v>
      </c>
      <c r="AU4" s="8" t="n">
        <v>0</v>
      </c>
      <c r="AV4" s="8" t="n">
        <v>0</v>
      </c>
      <c r="AW4" s="8" t="n">
        <v>1</v>
      </c>
      <c r="AX4" s="8" t="n">
        <v>1</v>
      </c>
      <c r="AY4" s="8" t="n">
        <v>1</v>
      </c>
      <c r="AZ4" s="8" t="n">
        <v>1</v>
      </c>
      <c r="BA4" s="8" t="n">
        <v>1</v>
      </c>
      <c r="BB4" s="8" t="n">
        <v>1</v>
      </c>
      <c r="BC4" s="8" t="n">
        <v>318</v>
      </c>
      <c r="BD4" s="8" t="n">
        <v>2</v>
      </c>
      <c r="BE4" s="8" t="n">
        <v>2</v>
      </c>
      <c r="BF4" s="8" t="n">
        <v>0</v>
      </c>
      <c r="BG4" s="10" t="s">
        <v>123</v>
      </c>
      <c r="BH4" s="9" t="s">
        <v>124</v>
      </c>
    </row>
    <row r="5" customFormat="false" ht="15" hidden="false" customHeight="false" outlineLevel="0" collapsed="false">
      <c r="A5" s="8" t="s">
        <v>125</v>
      </c>
      <c r="B5" s="8" t="s">
        <v>126</v>
      </c>
      <c r="C5" s="8" t="n">
        <v>1</v>
      </c>
      <c r="D5" s="8" t="n">
        <v>1866</v>
      </c>
      <c r="E5" s="8" t="n">
        <v>1866</v>
      </c>
      <c r="F5" s="8" t="str">
        <f aca="false">IF(D5="","?",IF(D5&lt;1796,"pre-1796",IF(D5&lt;1912,"1796-1911",IF(D5&lt;1949,"1912-1948","1949+"))))</f>
        <v>1796-1911</v>
      </c>
      <c r="G5" s="8" t="str">
        <f aca="false">IF(D5="","?",IF(D5&lt;1912,"Qing",IF(D5&lt;1949,"Republic","PRC")))</f>
        <v>Qing</v>
      </c>
      <c r="H5" s="8" t="s">
        <v>127</v>
      </c>
      <c r="I5" s="9" t="s">
        <v>128</v>
      </c>
      <c r="J5" s="9" t="s">
        <v>129</v>
      </c>
      <c r="K5" s="8" t="s">
        <v>130</v>
      </c>
      <c r="L5" s="8"/>
      <c r="M5" s="9" t="s">
        <v>131</v>
      </c>
      <c r="N5" s="8"/>
      <c r="O5" s="8" t="s">
        <v>132</v>
      </c>
      <c r="P5" s="8" t="s">
        <v>133</v>
      </c>
      <c r="Q5" s="9" t="s">
        <v>134</v>
      </c>
      <c r="R5" s="9" t="s">
        <v>135</v>
      </c>
      <c r="S5" s="9" t="s">
        <v>131</v>
      </c>
      <c r="T5" s="8"/>
      <c r="U5" s="9" t="s">
        <v>136</v>
      </c>
      <c r="V5" s="8"/>
      <c r="W5" s="9" t="s">
        <v>137</v>
      </c>
      <c r="X5" s="8"/>
      <c r="Y5" s="8"/>
      <c r="Z5" s="9" t="s">
        <v>138</v>
      </c>
      <c r="AA5" s="9" t="s">
        <v>139</v>
      </c>
      <c r="AB5" s="9" t="s">
        <v>140</v>
      </c>
      <c r="AC5" s="8"/>
      <c r="AD5" s="8"/>
      <c r="AE5" s="8"/>
      <c r="AF5" s="8"/>
      <c r="AG5" s="8"/>
      <c r="AH5" s="8"/>
      <c r="AI5" s="8" t="n">
        <v>1</v>
      </c>
      <c r="AJ5" s="8" t="n">
        <v>1</v>
      </c>
      <c r="AK5" s="8" t="n">
        <v>1</v>
      </c>
      <c r="AL5" s="8" t="n">
        <v>0</v>
      </c>
      <c r="AM5" s="8" t="n">
        <v>1</v>
      </c>
      <c r="AN5" s="8" t="n">
        <v>1</v>
      </c>
      <c r="AO5" s="8" t="n">
        <v>1</v>
      </c>
      <c r="AP5" s="8" t="n">
        <v>1</v>
      </c>
      <c r="AQ5" s="8" t="n">
        <v>1</v>
      </c>
      <c r="AR5" s="8" t="n">
        <v>0</v>
      </c>
      <c r="AS5" s="8" t="n">
        <v>1</v>
      </c>
      <c r="AT5" s="8" t="n">
        <v>0</v>
      </c>
      <c r="AU5" s="8" t="n">
        <v>1</v>
      </c>
      <c r="AV5" s="8" t="n">
        <v>1</v>
      </c>
      <c r="AW5" s="8" t="n">
        <v>0</v>
      </c>
      <c r="AX5" s="8" t="n">
        <v>0</v>
      </c>
      <c r="AY5" s="8" t="n">
        <v>0</v>
      </c>
      <c r="AZ5" s="8" t="n">
        <v>0</v>
      </c>
      <c r="BA5" s="8" t="n">
        <v>0</v>
      </c>
      <c r="BB5" s="8" t="n">
        <v>0</v>
      </c>
      <c r="BC5" s="8" t="n">
        <v>339</v>
      </c>
      <c r="BD5" s="8" t="n">
        <v>0</v>
      </c>
      <c r="BE5" s="8" t="n">
        <v>0</v>
      </c>
      <c r="BF5" s="8" t="n">
        <v>0</v>
      </c>
      <c r="BG5" s="10" t="s">
        <v>141</v>
      </c>
      <c r="BH5" s="9" t="s">
        <v>142</v>
      </c>
    </row>
    <row r="6" customFormat="false" ht="15" hidden="false" customHeight="false" outlineLevel="0" collapsed="false">
      <c r="A6" s="8" t="s">
        <v>143</v>
      </c>
      <c r="B6" s="8" t="s">
        <v>144</v>
      </c>
      <c r="C6" s="8" t="n">
        <v>1</v>
      </c>
      <c r="D6" s="8" t="n">
        <v>1862</v>
      </c>
      <c r="E6" s="8" t="n">
        <v>1862</v>
      </c>
      <c r="F6" s="8" t="str">
        <f aca="false">IF(D6="","?",IF(D6&lt;1796,"pre-1796",IF(D6&lt;1912,"1796-1911",IF(D6&lt;1949,"1912-1948","1949+"))))</f>
        <v>1796-1911</v>
      </c>
      <c r="G6" s="8" t="str">
        <f aca="false">IF(D6="","?",IF(D6&lt;1912,"Qing",IF(D6&lt;1949,"Republic","PRC")))</f>
        <v>Qing</v>
      </c>
      <c r="H6" s="8" t="s">
        <v>145</v>
      </c>
      <c r="I6" s="8"/>
      <c r="J6" s="8"/>
      <c r="K6" s="8" t="s">
        <v>130</v>
      </c>
      <c r="L6" s="8"/>
      <c r="M6" s="9" t="s">
        <v>146</v>
      </c>
      <c r="N6" s="8"/>
      <c r="O6" s="8" t="s">
        <v>147</v>
      </c>
      <c r="P6" s="8" t="s">
        <v>97</v>
      </c>
      <c r="Q6" s="9" t="s">
        <v>148</v>
      </c>
      <c r="R6" s="8"/>
      <c r="S6" s="9" t="s">
        <v>149</v>
      </c>
      <c r="T6" s="8"/>
      <c r="U6" s="9" t="s">
        <v>150</v>
      </c>
      <c r="V6" s="8"/>
      <c r="W6" s="9" t="s">
        <v>151</v>
      </c>
      <c r="X6" s="8"/>
      <c r="Y6" s="9" t="s">
        <v>152</v>
      </c>
      <c r="Z6" s="9" t="s">
        <v>153</v>
      </c>
      <c r="AA6" s="9" t="s">
        <v>154</v>
      </c>
      <c r="AB6" s="8"/>
      <c r="AC6" s="8"/>
      <c r="AD6" s="8"/>
      <c r="AE6" s="8"/>
      <c r="AF6" s="8"/>
      <c r="AG6" s="8"/>
      <c r="AH6" s="8"/>
      <c r="AI6" s="8" t="n">
        <v>0</v>
      </c>
      <c r="AJ6" s="8" t="n">
        <v>1</v>
      </c>
      <c r="AK6" s="8" t="n">
        <v>1</v>
      </c>
      <c r="AL6" s="8" t="n">
        <v>1</v>
      </c>
      <c r="AM6" s="8" t="n">
        <v>1</v>
      </c>
      <c r="AN6" s="8" t="n">
        <v>1</v>
      </c>
      <c r="AO6" s="8" t="n">
        <v>0</v>
      </c>
      <c r="AP6" s="8" t="n">
        <v>0</v>
      </c>
      <c r="AQ6" s="8" t="n">
        <v>1</v>
      </c>
      <c r="AR6" s="8" t="n">
        <v>0</v>
      </c>
      <c r="AS6" s="8" t="n">
        <v>1</v>
      </c>
      <c r="AT6" s="8" t="n">
        <v>0</v>
      </c>
      <c r="AU6" s="8" t="n">
        <v>0</v>
      </c>
      <c r="AV6" s="8" t="n">
        <v>0</v>
      </c>
      <c r="AW6" s="8" t="n">
        <v>0</v>
      </c>
      <c r="AX6" s="8" t="n">
        <v>0</v>
      </c>
      <c r="AY6" s="8" t="n">
        <v>0</v>
      </c>
      <c r="AZ6" s="8" t="n">
        <v>0</v>
      </c>
      <c r="BA6" s="8" t="n">
        <v>0</v>
      </c>
      <c r="BB6" s="8" t="n">
        <v>0</v>
      </c>
      <c r="BC6" s="8" t="n">
        <v>308</v>
      </c>
      <c r="BD6" s="8" t="n">
        <v>0</v>
      </c>
      <c r="BE6" s="8" t="n">
        <v>0</v>
      </c>
      <c r="BF6" s="8" t="n">
        <v>0</v>
      </c>
      <c r="BG6" s="10" t="s">
        <v>155</v>
      </c>
      <c r="BH6" s="9" t="s">
        <v>156</v>
      </c>
    </row>
    <row r="7" customFormat="false" ht="15" hidden="false" customHeight="false" outlineLevel="0" collapsed="false">
      <c r="A7" s="8" t="s">
        <v>157</v>
      </c>
      <c r="B7" s="8" t="s">
        <v>158</v>
      </c>
      <c r="C7" s="8" t="n">
        <v>1</v>
      </c>
      <c r="D7" s="8" t="n">
        <v>1931</v>
      </c>
      <c r="E7" s="8" t="n">
        <v>1931</v>
      </c>
      <c r="F7" s="8" t="str">
        <f aca="false">IF(D7="","?",IF(D7&lt;1796,"pre-1796",IF(D7&lt;1912,"1796-1911",IF(D7&lt;1949,"1912-1948","1949+"))))</f>
        <v>1912-1948</v>
      </c>
      <c r="G7" s="8" t="str">
        <f aca="false">IF(D7="","?",IF(D7&lt;1912,"Qing",IF(D7&lt;1949,"Republic","PRC")))</f>
        <v>Republic</v>
      </c>
      <c r="H7" s="8" t="s">
        <v>159</v>
      </c>
      <c r="I7" s="8"/>
      <c r="J7" s="8"/>
      <c r="K7" s="8" t="s">
        <v>130</v>
      </c>
      <c r="L7" s="8"/>
      <c r="M7" s="9" t="s">
        <v>160</v>
      </c>
      <c r="N7" s="9" t="s">
        <v>161</v>
      </c>
      <c r="O7" s="8" t="s">
        <v>162</v>
      </c>
      <c r="P7" s="8" t="s">
        <v>133</v>
      </c>
      <c r="Q7" s="9" t="s">
        <v>163</v>
      </c>
      <c r="R7" s="9" t="s">
        <v>164</v>
      </c>
      <c r="S7" s="9" t="s">
        <v>165</v>
      </c>
      <c r="T7" s="8"/>
      <c r="U7" s="8"/>
      <c r="V7" s="8"/>
      <c r="W7" s="8"/>
      <c r="X7" s="9" t="s">
        <v>166</v>
      </c>
      <c r="Y7" s="9" t="s">
        <v>167</v>
      </c>
      <c r="Z7" s="8"/>
      <c r="AA7" s="9" t="s">
        <v>168</v>
      </c>
      <c r="AB7" s="9" t="s">
        <v>169</v>
      </c>
      <c r="AC7" s="8"/>
      <c r="AD7" s="8"/>
      <c r="AE7" s="8"/>
      <c r="AF7" s="8"/>
      <c r="AG7" s="8"/>
      <c r="AH7" s="8"/>
      <c r="AI7" s="8" t="n">
        <v>1</v>
      </c>
      <c r="AJ7" s="8" t="n">
        <v>0</v>
      </c>
      <c r="AK7" s="8" t="n">
        <v>0</v>
      </c>
      <c r="AL7" s="8" t="n">
        <v>0</v>
      </c>
      <c r="AM7" s="8" t="n">
        <v>0</v>
      </c>
      <c r="AN7" s="8" t="n">
        <v>1</v>
      </c>
      <c r="AO7" s="8" t="n">
        <v>1</v>
      </c>
      <c r="AP7" s="8" t="n">
        <v>0</v>
      </c>
      <c r="AQ7" s="8" t="n">
        <v>1</v>
      </c>
      <c r="AR7" s="8" t="n">
        <v>1</v>
      </c>
      <c r="AS7" s="8" t="n">
        <v>1</v>
      </c>
      <c r="AT7" s="8" t="n">
        <v>0</v>
      </c>
      <c r="AU7" s="8" t="n">
        <v>0</v>
      </c>
      <c r="AV7" s="8" t="n">
        <v>0</v>
      </c>
      <c r="AW7" s="8" t="n">
        <v>0</v>
      </c>
      <c r="AX7" s="8" t="n">
        <v>0</v>
      </c>
      <c r="AY7" s="8" t="n">
        <v>0</v>
      </c>
      <c r="AZ7" s="8" t="n">
        <v>0</v>
      </c>
      <c r="BA7" s="8" t="n">
        <v>0</v>
      </c>
      <c r="BB7" s="8" t="n">
        <v>0</v>
      </c>
      <c r="BC7" s="8" t="n">
        <v>255</v>
      </c>
      <c r="BD7" s="8" t="n">
        <v>0</v>
      </c>
      <c r="BE7" s="8" t="n">
        <v>0</v>
      </c>
      <c r="BF7" s="8" t="n">
        <v>0</v>
      </c>
      <c r="BG7" s="10" t="s">
        <v>170</v>
      </c>
      <c r="BH7" s="9" t="s">
        <v>171</v>
      </c>
    </row>
    <row r="8" customFormat="false" ht="15" hidden="false" customHeight="false" outlineLevel="0" collapsed="false">
      <c r="A8" s="8" t="s">
        <v>172</v>
      </c>
      <c r="B8" s="8" t="s">
        <v>173</v>
      </c>
      <c r="C8" s="8" t="n">
        <v>1</v>
      </c>
      <c r="D8" s="8" t="n">
        <v>1887</v>
      </c>
      <c r="E8" s="8" t="n">
        <v>1887</v>
      </c>
      <c r="F8" s="8" t="str">
        <f aca="false">IF(D8="","?",IF(D8&lt;1796,"pre-1796",IF(D8&lt;1912,"1796-1911",IF(D8&lt;1949,"1912-1948","1949+"))))</f>
        <v>1796-1911</v>
      </c>
      <c r="G8" s="8" t="str">
        <f aca="false">IF(D8="","?",IF(D8&lt;1912,"Qing",IF(D8&lt;1949,"Republic","PRC")))</f>
        <v>Qing</v>
      </c>
      <c r="H8" s="8" t="s">
        <v>174</v>
      </c>
      <c r="I8" s="9" t="s">
        <v>128</v>
      </c>
      <c r="J8" s="9" t="s">
        <v>175</v>
      </c>
      <c r="K8" s="8" t="s">
        <v>130</v>
      </c>
      <c r="L8" s="8"/>
      <c r="M8" s="9" t="s">
        <v>176</v>
      </c>
      <c r="N8" s="9" t="s">
        <v>177</v>
      </c>
      <c r="O8" s="8" t="s">
        <v>178</v>
      </c>
      <c r="P8" s="8" t="s">
        <v>133</v>
      </c>
      <c r="Q8" s="9" t="s">
        <v>134</v>
      </c>
      <c r="R8" s="9" t="s">
        <v>179</v>
      </c>
      <c r="S8" s="9" t="s">
        <v>176</v>
      </c>
      <c r="T8" s="8"/>
      <c r="U8" s="9" t="s">
        <v>180</v>
      </c>
      <c r="V8" s="8"/>
      <c r="W8" s="9" t="s">
        <v>181</v>
      </c>
      <c r="X8" s="8"/>
      <c r="Y8" s="9" t="s">
        <v>182</v>
      </c>
      <c r="Z8" s="9" t="s">
        <v>183</v>
      </c>
      <c r="AA8" s="9" t="s">
        <v>184</v>
      </c>
      <c r="AB8" s="9" t="s">
        <v>185</v>
      </c>
      <c r="AC8" s="9" t="s">
        <v>186</v>
      </c>
      <c r="AD8" s="8"/>
      <c r="AE8" s="8"/>
      <c r="AF8" s="8"/>
      <c r="AG8" s="8"/>
      <c r="AH8" s="8"/>
      <c r="AI8" s="8" t="n">
        <v>1</v>
      </c>
      <c r="AJ8" s="8" t="n">
        <v>1</v>
      </c>
      <c r="AK8" s="8" t="n">
        <v>1</v>
      </c>
      <c r="AL8" s="8" t="n">
        <v>1</v>
      </c>
      <c r="AM8" s="8" t="n">
        <v>1</v>
      </c>
      <c r="AN8" s="8" t="n">
        <v>1</v>
      </c>
      <c r="AO8" s="8" t="n">
        <v>1</v>
      </c>
      <c r="AP8" s="8" t="n">
        <v>0</v>
      </c>
      <c r="AQ8" s="8" t="n">
        <v>1</v>
      </c>
      <c r="AR8" s="8" t="n">
        <v>1</v>
      </c>
      <c r="AS8" s="8" t="n">
        <v>1</v>
      </c>
      <c r="AT8" s="8" t="n">
        <v>0</v>
      </c>
      <c r="AU8" s="8" t="n">
        <v>0</v>
      </c>
      <c r="AV8" s="8" t="n">
        <v>0</v>
      </c>
      <c r="AW8" s="8" t="n">
        <v>0</v>
      </c>
      <c r="AX8" s="8" t="n">
        <v>0</v>
      </c>
      <c r="AY8" s="8" t="n">
        <v>0</v>
      </c>
      <c r="AZ8" s="8" t="n">
        <v>0</v>
      </c>
      <c r="BA8" s="8" t="n">
        <v>0</v>
      </c>
      <c r="BB8" s="8" t="n">
        <v>0</v>
      </c>
      <c r="BC8" s="8" t="n">
        <v>394</v>
      </c>
      <c r="BD8" s="8" t="n">
        <v>0</v>
      </c>
      <c r="BE8" s="8" t="n">
        <v>0</v>
      </c>
      <c r="BF8" s="8" t="n">
        <v>0</v>
      </c>
      <c r="BG8" s="10" t="s">
        <v>187</v>
      </c>
      <c r="BH8" s="9" t="s">
        <v>188</v>
      </c>
    </row>
    <row r="9" customFormat="false" ht="15" hidden="false" customHeight="false" outlineLevel="0" collapsed="false">
      <c r="A9" s="8" t="s">
        <v>189</v>
      </c>
      <c r="B9" s="8" t="s">
        <v>190</v>
      </c>
      <c r="C9" s="8" t="n">
        <v>1</v>
      </c>
      <c r="D9" s="8" t="n">
        <v>1890</v>
      </c>
      <c r="E9" s="8" t="n">
        <v>1890</v>
      </c>
      <c r="F9" s="8" t="str">
        <f aca="false">IF(D9="","?",IF(D9&lt;1796,"pre-1796",IF(D9&lt;1912,"1796-1911",IF(D9&lt;1949,"1912-1948","1949+"))))</f>
        <v>1796-1911</v>
      </c>
      <c r="G9" s="8" t="str">
        <f aca="false">IF(D9="","?",IF(D9&lt;1912,"Qing",IF(D9&lt;1949,"Republic","PRC")))</f>
        <v>Qing</v>
      </c>
      <c r="H9" s="8" t="s">
        <v>191</v>
      </c>
      <c r="I9" s="9" t="s">
        <v>128</v>
      </c>
      <c r="J9" s="9" t="s">
        <v>192</v>
      </c>
      <c r="K9" s="8" t="s">
        <v>84</v>
      </c>
      <c r="L9" s="8"/>
      <c r="M9" s="9" t="s">
        <v>193</v>
      </c>
      <c r="N9" s="9" t="s">
        <v>194</v>
      </c>
      <c r="O9" s="8" t="s">
        <v>195</v>
      </c>
      <c r="P9" s="8" t="s">
        <v>97</v>
      </c>
      <c r="Q9" s="9" t="s">
        <v>134</v>
      </c>
      <c r="R9" s="9" t="s">
        <v>196</v>
      </c>
      <c r="S9" s="9" t="s">
        <v>193</v>
      </c>
      <c r="T9" s="8"/>
      <c r="U9" s="9" t="s">
        <v>197</v>
      </c>
      <c r="V9" s="8"/>
      <c r="W9" s="8"/>
      <c r="X9" s="8"/>
      <c r="Y9" s="9" t="s">
        <v>198</v>
      </c>
      <c r="Z9" s="9" t="s">
        <v>199</v>
      </c>
      <c r="AA9" s="9" t="s">
        <v>200</v>
      </c>
      <c r="AB9" s="9" t="s">
        <v>201</v>
      </c>
      <c r="AC9" s="9" t="s">
        <v>202</v>
      </c>
      <c r="AD9" s="8"/>
      <c r="AE9" s="8"/>
      <c r="AF9" s="8"/>
      <c r="AG9" s="8"/>
      <c r="AH9" s="8"/>
      <c r="AI9" s="8" t="n">
        <v>1</v>
      </c>
      <c r="AJ9" s="8" t="n">
        <v>0</v>
      </c>
      <c r="AK9" s="8" t="n">
        <v>1</v>
      </c>
      <c r="AL9" s="8" t="n">
        <v>0</v>
      </c>
      <c r="AM9" s="8" t="n">
        <v>1</v>
      </c>
      <c r="AN9" s="8" t="n">
        <v>1</v>
      </c>
      <c r="AO9" s="8" t="n">
        <v>1</v>
      </c>
      <c r="AP9" s="8" t="n">
        <v>0</v>
      </c>
      <c r="AQ9" s="8" t="n">
        <v>1</v>
      </c>
      <c r="AR9" s="8" t="n">
        <v>1</v>
      </c>
      <c r="AS9" s="8" t="n">
        <v>1</v>
      </c>
      <c r="AT9" s="8" t="n">
        <v>1</v>
      </c>
      <c r="AU9" s="8" t="n">
        <v>0</v>
      </c>
      <c r="AV9" s="8" t="n">
        <v>1</v>
      </c>
      <c r="AW9" s="8" t="n">
        <v>0</v>
      </c>
      <c r="AX9" s="8" t="n">
        <v>0</v>
      </c>
      <c r="AY9" s="8" t="n">
        <v>0</v>
      </c>
      <c r="AZ9" s="8" t="n">
        <v>0</v>
      </c>
      <c r="BA9" s="8" t="n">
        <v>0</v>
      </c>
      <c r="BB9" s="8" t="n">
        <v>0</v>
      </c>
      <c r="BC9" s="8" t="n">
        <v>551</v>
      </c>
      <c r="BD9" s="8" t="n">
        <v>0</v>
      </c>
      <c r="BE9" s="8" t="n">
        <v>0</v>
      </c>
      <c r="BF9" s="8" t="n">
        <v>0</v>
      </c>
      <c r="BG9" s="10" t="s">
        <v>203</v>
      </c>
      <c r="BH9" s="9" t="s">
        <v>204</v>
      </c>
    </row>
    <row r="10" customFormat="false" ht="15" hidden="false" customHeight="false" outlineLevel="0" collapsed="false">
      <c r="A10" s="8" t="s">
        <v>205</v>
      </c>
      <c r="B10" s="8" t="s">
        <v>206</v>
      </c>
      <c r="C10" s="8" t="n">
        <v>1</v>
      </c>
      <c r="D10" s="8" t="n">
        <v>1900</v>
      </c>
      <c r="E10" s="8" t="n">
        <v>1900</v>
      </c>
      <c r="F10" s="8" t="str">
        <f aca="false">IF(D10="","?",IF(D10&lt;1796,"pre-1796",IF(D10&lt;1912,"1796-1911",IF(D10&lt;1949,"1912-1948","1949+"))))</f>
        <v>1796-1911</v>
      </c>
      <c r="G10" s="8" t="str">
        <f aca="false">IF(D10="","?",IF(D10&lt;1912,"Qing",IF(D10&lt;1949,"Republic","PRC")))</f>
        <v>Qing</v>
      </c>
      <c r="H10" s="8" t="s">
        <v>207</v>
      </c>
      <c r="I10" s="9" t="s">
        <v>128</v>
      </c>
      <c r="J10" s="9" t="s">
        <v>192</v>
      </c>
      <c r="K10" s="8" t="s">
        <v>84</v>
      </c>
      <c r="L10" s="8"/>
      <c r="M10" s="9" t="s">
        <v>208</v>
      </c>
      <c r="N10" s="9" t="s">
        <v>209</v>
      </c>
      <c r="O10" s="8" t="s">
        <v>210</v>
      </c>
      <c r="P10" s="8" t="s">
        <v>133</v>
      </c>
      <c r="Q10" s="9" t="s">
        <v>134</v>
      </c>
      <c r="R10" s="9" t="s">
        <v>211</v>
      </c>
      <c r="S10" s="9" t="s">
        <v>208</v>
      </c>
      <c r="T10" s="9" t="s">
        <v>209</v>
      </c>
      <c r="U10" s="9" t="s">
        <v>212</v>
      </c>
      <c r="V10" s="9" t="s">
        <v>213</v>
      </c>
      <c r="W10" s="8"/>
      <c r="X10" s="8"/>
      <c r="Y10" s="9" t="s">
        <v>214</v>
      </c>
      <c r="Z10" s="9" t="s">
        <v>215</v>
      </c>
      <c r="AA10" s="9" t="s">
        <v>216</v>
      </c>
      <c r="AB10" s="9" t="s">
        <v>217</v>
      </c>
      <c r="AC10" s="8"/>
      <c r="AD10" s="8"/>
      <c r="AE10" s="8"/>
      <c r="AF10" s="8"/>
      <c r="AG10" s="8"/>
      <c r="AH10" s="8"/>
      <c r="AI10" s="8" t="n">
        <v>1</v>
      </c>
      <c r="AJ10" s="8" t="n">
        <v>0</v>
      </c>
      <c r="AK10" s="8" t="n">
        <v>1</v>
      </c>
      <c r="AL10" s="8" t="n">
        <v>1</v>
      </c>
      <c r="AM10" s="8" t="n">
        <v>1</v>
      </c>
      <c r="AN10" s="8" t="n">
        <v>1</v>
      </c>
      <c r="AO10" s="8" t="n">
        <v>1</v>
      </c>
      <c r="AP10" s="8" t="n">
        <v>0</v>
      </c>
      <c r="AQ10" s="8" t="n">
        <v>1</v>
      </c>
      <c r="AR10" s="8" t="n">
        <v>1</v>
      </c>
      <c r="AS10" s="8" t="n">
        <v>1</v>
      </c>
      <c r="AT10" s="8" t="n">
        <v>0</v>
      </c>
      <c r="AU10" s="8" t="n">
        <v>0</v>
      </c>
      <c r="AV10" s="8" t="n">
        <v>1</v>
      </c>
      <c r="AW10" s="8" t="n">
        <v>0</v>
      </c>
      <c r="AX10" s="8" t="n">
        <v>0</v>
      </c>
      <c r="AY10" s="8" t="n">
        <v>0</v>
      </c>
      <c r="AZ10" s="8" t="n">
        <v>0</v>
      </c>
      <c r="BA10" s="8" t="n">
        <v>0</v>
      </c>
      <c r="BB10" s="8" t="n">
        <v>0</v>
      </c>
      <c r="BC10" s="8" t="n">
        <v>336</v>
      </c>
      <c r="BD10" s="8" t="n">
        <v>1</v>
      </c>
      <c r="BE10" s="8" t="n">
        <v>0</v>
      </c>
      <c r="BF10" s="8" t="n">
        <v>0</v>
      </c>
      <c r="BG10" s="10" t="s">
        <v>218</v>
      </c>
      <c r="BH10" s="9" t="s">
        <v>219</v>
      </c>
    </row>
    <row r="11" customFormat="false" ht="15" hidden="false" customHeight="false" outlineLevel="0" collapsed="false">
      <c r="A11" s="8" t="s">
        <v>220</v>
      </c>
      <c r="B11" s="8" t="s">
        <v>221</v>
      </c>
      <c r="C11" s="8" t="n">
        <v>1</v>
      </c>
      <c r="D11" s="8" t="n">
        <v>1918</v>
      </c>
      <c r="E11" s="8" t="n">
        <v>1918</v>
      </c>
      <c r="F11" s="8" t="str">
        <f aca="false">IF(D11="","?",IF(D11&lt;1796,"pre-1796",IF(D11&lt;1912,"1796-1911",IF(D11&lt;1949,"1912-1948","1949+"))))</f>
        <v>1912-1948</v>
      </c>
      <c r="G11" s="8" t="str">
        <f aca="false">IF(D11="","?",IF(D11&lt;1912,"Qing",IF(D11&lt;1949,"Republic","PRC")))</f>
        <v>Republic</v>
      </c>
      <c r="H11" s="8" t="s">
        <v>222</v>
      </c>
      <c r="I11" s="9" t="s">
        <v>128</v>
      </c>
      <c r="J11" s="9" t="s">
        <v>223</v>
      </c>
      <c r="K11" s="8" t="s">
        <v>84</v>
      </c>
      <c r="L11" s="8"/>
      <c r="M11" s="9" t="s">
        <v>224</v>
      </c>
      <c r="N11" s="9" t="s">
        <v>225</v>
      </c>
      <c r="O11" s="8" t="s">
        <v>226</v>
      </c>
      <c r="P11" s="8" t="s">
        <v>97</v>
      </c>
      <c r="Q11" s="9" t="s">
        <v>98</v>
      </c>
      <c r="R11" s="9" t="s">
        <v>227</v>
      </c>
      <c r="S11" s="8"/>
      <c r="T11" s="8"/>
      <c r="U11" s="9" t="s">
        <v>228</v>
      </c>
      <c r="V11" s="9" t="s">
        <v>229</v>
      </c>
      <c r="W11" s="9" t="s">
        <v>230</v>
      </c>
      <c r="X11" s="8"/>
      <c r="Y11" s="8"/>
      <c r="Z11" s="9" t="s">
        <v>231</v>
      </c>
      <c r="AA11" s="8"/>
      <c r="AB11" s="8"/>
      <c r="AC11" s="8"/>
      <c r="AD11" s="8"/>
      <c r="AE11" s="9" t="s">
        <v>232</v>
      </c>
      <c r="AF11" s="8"/>
      <c r="AG11" s="8"/>
      <c r="AH11" s="8"/>
      <c r="AI11" s="8" t="n">
        <v>0</v>
      </c>
      <c r="AJ11" s="8" t="n">
        <v>0</v>
      </c>
      <c r="AK11" s="8" t="n">
        <v>0</v>
      </c>
      <c r="AL11" s="8" t="n">
        <v>0</v>
      </c>
      <c r="AM11" s="8" t="n">
        <v>0</v>
      </c>
      <c r="AN11" s="8" t="n">
        <v>0</v>
      </c>
      <c r="AO11" s="8" t="n">
        <v>0</v>
      </c>
      <c r="AP11" s="8" t="n">
        <v>0</v>
      </c>
      <c r="AQ11" s="8" t="n">
        <v>0</v>
      </c>
      <c r="AR11" s="8" t="n">
        <v>0</v>
      </c>
      <c r="AS11" s="8" t="n">
        <v>1</v>
      </c>
      <c r="AT11" s="8" t="n">
        <v>1</v>
      </c>
      <c r="AU11" s="8" t="n">
        <v>0</v>
      </c>
      <c r="AV11" s="8" t="n">
        <v>0</v>
      </c>
      <c r="AW11" s="8" t="n">
        <v>0</v>
      </c>
      <c r="AX11" s="8" t="n">
        <v>0</v>
      </c>
      <c r="AY11" s="8" t="n">
        <v>0</v>
      </c>
      <c r="AZ11" s="8" t="n">
        <v>0</v>
      </c>
      <c r="BA11" s="8" t="n">
        <v>1</v>
      </c>
      <c r="BB11" s="8" t="n">
        <v>1</v>
      </c>
      <c r="BC11" s="8" t="n">
        <v>605</v>
      </c>
      <c r="BD11" s="8" t="n">
        <v>0</v>
      </c>
      <c r="BE11" s="8" t="n">
        <v>0</v>
      </c>
      <c r="BF11" s="8" t="n">
        <v>0</v>
      </c>
      <c r="BG11" s="10" t="s">
        <v>233</v>
      </c>
      <c r="BH11" s="9" t="s">
        <v>234</v>
      </c>
    </row>
    <row r="12" customFormat="false" ht="15" hidden="false" customHeight="false" outlineLevel="0" collapsed="false">
      <c r="A12" s="8" t="s">
        <v>235</v>
      </c>
      <c r="B12" s="8" t="s">
        <v>236</v>
      </c>
      <c r="C12" s="8" t="n">
        <v>1</v>
      </c>
      <c r="D12" s="8" t="n">
        <v>1924</v>
      </c>
      <c r="E12" s="8" t="n">
        <v>1924</v>
      </c>
      <c r="F12" s="8" t="str">
        <f aca="false">IF(D12="","?",IF(D12&lt;1796,"pre-1796",IF(D12&lt;1912,"1796-1911",IF(D12&lt;1949,"1912-1948","1949+"))))</f>
        <v>1912-1948</v>
      </c>
      <c r="G12" s="8" t="str">
        <f aca="false">IF(D12="","?",IF(D12&lt;1912,"Qing",IF(D12&lt;1949,"Republic","PRC")))</f>
        <v>Republic</v>
      </c>
      <c r="H12" s="8" t="s">
        <v>237</v>
      </c>
      <c r="I12" s="9" t="s">
        <v>128</v>
      </c>
      <c r="J12" s="9" t="s">
        <v>223</v>
      </c>
      <c r="K12" s="8" t="s">
        <v>84</v>
      </c>
      <c r="L12" s="8"/>
      <c r="M12" s="9" t="s">
        <v>238</v>
      </c>
      <c r="N12" s="9" t="s">
        <v>239</v>
      </c>
      <c r="O12" s="8" t="s">
        <v>240</v>
      </c>
      <c r="P12" s="8" t="s">
        <v>133</v>
      </c>
      <c r="Q12" s="9" t="s">
        <v>241</v>
      </c>
      <c r="R12" s="8"/>
      <c r="S12" s="9" t="s">
        <v>242</v>
      </c>
      <c r="T12" s="9" t="s">
        <v>239</v>
      </c>
      <c r="U12" s="9" t="s">
        <v>243</v>
      </c>
      <c r="V12" s="9" t="s">
        <v>244</v>
      </c>
      <c r="W12" s="9" t="s">
        <v>245</v>
      </c>
      <c r="X12" s="8"/>
      <c r="Y12" s="9" t="s">
        <v>246</v>
      </c>
      <c r="Z12" s="9" t="s">
        <v>247</v>
      </c>
      <c r="AA12" s="8"/>
      <c r="AB12" s="8"/>
      <c r="AC12" s="8"/>
      <c r="AD12" s="9" t="s">
        <v>248</v>
      </c>
      <c r="AE12" s="8"/>
      <c r="AF12" s="8"/>
      <c r="AG12" s="8"/>
      <c r="AH12" s="8"/>
      <c r="AI12" s="8" t="n">
        <v>1</v>
      </c>
      <c r="AJ12" s="8" t="n">
        <v>0</v>
      </c>
      <c r="AK12" s="8" t="n">
        <v>0</v>
      </c>
      <c r="AL12" s="8" t="n">
        <v>1</v>
      </c>
      <c r="AM12" s="8" t="n">
        <v>1</v>
      </c>
      <c r="AN12" s="8" t="n">
        <v>1</v>
      </c>
      <c r="AO12" s="8" t="n">
        <v>1</v>
      </c>
      <c r="AP12" s="8" t="n">
        <v>1</v>
      </c>
      <c r="AQ12" s="8" t="n">
        <v>0</v>
      </c>
      <c r="AR12" s="8" t="n">
        <v>1</v>
      </c>
      <c r="AS12" s="8" t="n">
        <v>1</v>
      </c>
      <c r="AT12" s="8" t="n">
        <v>1</v>
      </c>
      <c r="AU12" s="8" t="n">
        <v>0</v>
      </c>
      <c r="AV12" s="8" t="n">
        <v>0</v>
      </c>
      <c r="AW12" s="8" t="n">
        <v>0</v>
      </c>
      <c r="AX12" s="8" t="n">
        <v>0</v>
      </c>
      <c r="AY12" s="8" t="n">
        <v>0</v>
      </c>
      <c r="AZ12" s="8" t="n">
        <v>0</v>
      </c>
      <c r="BA12" s="8" t="n">
        <v>0</v>
      </c>
      <c r="BB12" s="8" t="n">
        <v>0</v>
      </c>
      <c r="BC12" s="8" t="n">
        <v>356</v>
      </c>
      <c r="BD12" s="8" t="n">
        <v>0</v>
      </c>
      <c r="BE12" s="8" t="n">
        <v>0</v>
      </c>
      <c r="BF12" s="8" t="n">
        <v>0</v>
      </c>
      <c r="BG12" s="10" t="s">
        <v>249</v>
      </c>
      <c r="BH12" s="9" t="s">
        <v>250</v>
      </c>
    </row>
    <row r="13" customFormat="false" ht="15" hidden="false" customHeight="false" outlineLevel="0" collapsed="false">
      <c r="A13" s="8" t="s">
        <v>251</v>
      </c>
      <c r="B13" s="8" t="s">
        <v>236</v>
      </c>
      <c r="C13" s="8" t="n">
        <v>2</v>
      </c>
      <c r="D13" s="8" t="n">
        <v>1924</v>
      </c>
      <c r="E13" s="8" t="n">
        <v>1924</v>
      </c>
      <c r="F13" s="8" t="str">
        <f aca="false">IF(D13="","?",IF(D13&lt;1796,"pre-1796",IF(D13&lt;1912,"1796-1911",IF(D13&lt;1949,"1912-1948","1949+"))))</f>
        <v>1912-1948</v>
      </c>
      <c r="G13" s="8" t="str">
        <f aca="false">IF(D13="","?",IF(D13&lt;1912,"Qing",IF(D13&lt;1949,"Republic","PRC")))</f>
        <v>Republic</v>
      </c>
      <c r="H13" s="8" t="s">
        <v>237</v>
      </c>
      <c r="I13" s="9" t="s">
        <v>128</v>
      </c>
      <c r="J13" s="9" t="s">
        <v>223</v>
      </c>
      <c r="K13" s="8" t="s">
        <v>84</v>
      </c>
      <c r="L13" s="8"/>
      <c r="M13" s="9" t="s">
        <v>238</v>
      </c>
      <c r="N13" s="9" t="s">
        <v>239</v>
      </c>
      <c r="O13" s="8" t="s">
        <v>240</v>
      </c>
      <c r="P13" s="8" t="s">
        <v>114</v>
      </c>
      <c r="Q13" s="9" t="s">
        <v>98</v>
      </c>
      <c r="R13" s="9" t="s">
        <v>252</v>
      </c>
      <c r="S13" s="8"/>
      <c r="T13" s="8"/>
      <c r="U13" s="9" t="s">
        <v>253</v>
      </c>
      <c r="V13" s="8"/>
      <c r="W13" s="8"/>
      <c r="X13" s="8"/>
      <c r="Y13" s="9" t="s">
        <v>198</v>
      </c>
      <c r="Z13" s="8"/>
      <c r="AA13" s="8"/>
      <c r="AB13" s="8"/>
      <c r="AC13" s="8"/>
      <c r="AD13" s="8"/>
      <c r="AE13" s="9" t="s">
        <v>254</v>
      </c>
      <c r="AF13" s="8"/>
      <c r="AG13" s="8"/>
      <c r="AH13" s="8"/>
      <c r="AI13" s="8" t="n">
        <v>0</v>
      </c>
      <c r="AJ13" s="8" t="n">
        <v>0</v>
      </c>
      <c r="AK13" s="8" t="n">
        <v>0</v>
      </c>
      <c r="AL13" s="8" t="n">
        <v>0</v>
      </c>
      <c r="AM13" s="8" t="n">
        <v>0</v>
      </c>
      <c r="AN13" s="8" t="n">
        <v>0</v>
      </c>
      <c r="AO13" s="8" t="n">
        <v>0</v>
      </c>
      <c r="AP13" s="8" t="n">
        <v>0</v>
      </c>
      <c r="AQ13" s="8" t="n">
        <v>0</v>
      </c>
      <c r="AR13" s="8" t="n">
        <v>0</v>
      </c>
      <c r="AS13" s="8" t="n">
        <v>0</v>
      </c>
      <c r="AT13" s="8" t="n">
        <v>1</v>
      </c>
      <c r="AU13" s="8" t="n">
        <v>0</v>
      </c>
      <c r="AV13" s="8" t="n">
        <v>0</v>
      </c>
      <c r="AW13" s="8" t="n">
        <v>0</v>
      </c>
      <c r="AX13" s="8" t="n">
        <v>0</v>
      </c>
      <c r="AY13" s="8" t="n">
        <v>0</v>
      </c>
      <c r="AZ13" s="8" t="n">
        <v>0</v>
      </c>
      <c r="BA13" s="8" t="n">
        <v>0</v>
      </c>
      <c r="BB13" s="8" t="n">
        <v>1</v>
      </c>
      <c r="BC13" s="8" t="n">
        <v>171</v>
      </c>
      <c r="BD13" s="8" t="n">
        <v>0</v>
      </c>
      <c r="BE13" s="8" t="n">
        <v>0</v>
      </c>
      <c r="BF13" s="8" t="n">
        <v>0</v>
      </c>
      <c r="BG13" s="10" t="s">
        <v>249</v>
      </c>
      <c r="BH13" s="9" t="s">
        <v>255</v>
      </c>
    </row>
    <row r="14" customFormat="false" ht="15" hidden="false" customHeight="false" outlineLevel="0" collapsed="false">
      <c r="A14" s="8" t="s">
        <v>256</v>
      </c>
      <c r="B14" s="8" t="s">
        <v>257</v>
      </c>
      <c r="C14" s="8" t="n">
        <v>1</v>
      </c>
      <c r="D14" s="8" t="n">
        <v>1876</v>
      </c>
      <c r="E14" s="8" t="n">
        <v>1876</v>
      </c>
      <c r="F14" s="8" t="str">
        <f aca="false">IF(D14="","?",IF(D14&lt;1796,"pre-1796",IF(D14&lt;1912,"1796-1911",IF(D14&lt;1949,"1912-1948","1949+"))))</f>
        <v>1796-1911</v>
      </c>
      <c r="G14" s="8" t="str">
        <f aca="false">IF(D14="","?",IF(D14&lt;1912,"Qing",IF(D14&lt;1949,"Republic","PRC")))</f>
        <v>Qing</v>
      </c>
      <c r="H14" s="8" t="s">
        <v>258</v>
      </c>
      <c r="I14" s="9" t="s">
        <v>259</v>
      </c>
      <c r="J14" s="9" t="s">
        <v>260</v>
      </c>
      <c r="K14" s="8" t="s">
        <v>84</v>
      </c>
      <c r="L14" s="8"/>
      <c r="M14" s="9" t="s">
        <v>261</v>
      </c>
      <c r="N14" s="8"/>
      <c r="O14" s="8" t="s">
        <v>262</v>
      </c>
      <c r="P14" s="8" t="s">
        <v>133</v>
      </c>
      <c r="Q14" s="9" t="s">
        <v>263</v>
      </c>
      <c r="R14" s="9" t="s">
        <v>264</v>
      </c>
      <c r="S14" s="9" t="s">
        <v>265</v>
      </c>
      <c r="T14" s="8"/>
      <c r="U14" s="9" t="s">
        <v>266</v>
      </c>
      <c r="V14" s="8"/>
      <c r="W14" s="8"/>
      <c r="X14" s="8"/>
      <c r="Y14" s="9" t="s">
        <v>267</v>
      </c>
      <c r="Z14" s="8"/>
      <c r="AA14" s="9" t="s">
        <v>268</v>
      </c>
      <c r="AB14" s="9" t="s">
        <v>269</v>
      </c>
      <c r="AC14" s="8"/>
      <c r="AD14" s="8"/>
      <c r="AE14" s="8"/>
      <c r="AF14" s="8"/>
      <c r="AG14" s="8"/>
      <c r="AH14" s="8"/>
      <c r="AI14" s="8" t="n">
        <v>1</v>
      </c>
      <c r="AJ14" s="8" t="n">
        <v>0</v>
      </c>
      <c r="AK14" s="8" t="n">
        <v>1</v>
      </c>
      <c r="AL14" s="8" t="n">
        <v>1</v>
      </c>
      <c r="AM14" s="8" t="n">
        <v>1</v>
      </c>
      <c r="AN14" s="8" t="n">
        <v>0</v>
      </c>
      <c r="AO14" s="8" t="n">
        <v>0</v>
      </c>
      <c r="AP14" s="8" t="n">
        <v>0</v>
      </c>
      <c r="AQ14" s="8" t="n">
        <v>1</v>
      </c>
      <c r="AR14" s="8" t="n">
        <v>0</v>
      </c>
      <c r="AS14" s="8" t="n">
        <v>1</v>
      </c>
      <c r="AT14" s="8" t="n">
        <v>0</v>
      </c>
      <c r="AU14" s="8" t="n">
        <v>0</v>
      </c>
      <c r="AV14" s="8" t="n">
        <v>0</v>
      </c>
      <c r="AW14" s="8" t="n">
        <v>0</v>
      </c>
      <c r="AX14" s="8" t="n">
        <v>0</v>
      </c>
      <c r="AY14" s="8" t="n">
        <v>0</v>
      </c>
      <c r="AZ14" s="8" t="n">
        <v>0</v>
      </c>
      <c r="BA14" s="8" t="n">
        <v>0</v>
      </c>
      <c r="BB14" s="8" t="n">
        <v>0</v>
      </c>
      <c r="BC14" s="8" t="n">
        <v>246</v>
      </c>
      <c r="BD14" s="8" t="n">
        <v>1</v>
      </c>
      <c r="BE14" s="8" t="n">
        <v>0</v>
      </c>
      <c r="BF14" s="8" t="n">
        <v>0</v>
      </c>
      <c r="BG14" s="10" t="s">
        <v>270</v>
      </c>
      <c r="BH14" s="9" t="s">
        <v>271</v>
      </c>
    </row>
    <row r="15" customFormat="false" ht="15" hidden="false" customHeight="false" outlineLevel="0" collapsed="false">
      <c r="A15" s="8" t="s">
        <v>272</v>
      </c>
      <c r="B15" s="8" t="s">
        <v>273</v>
      </c>
      <c r="C15" s="8" t="n">
        <v>1</v>
      </c>
      <c r="D15" s="8" t="n">
        <v>1761</v>
      </c>
      <c r="E15" s="8" t="n">
        <v>1762</v>
      </c>
      <c r="F15" s="8" t="str">
        <f aca="false">IF(D15="","?",IF(D15&lt;1796,"pre-1796",IF(D15&lt;1912,"1796-1911",IF(D15&lt;1949,"1912-1948","1949+"))))</f>
        <v>pre-1796</v>
      </c>
      <c r="G15" s="8" t="str">
        <f aca="false">IF(D15="","?",IF(D15&lt;1912,"Qing",IF(D15&lt;1949,"Republic","PRC")))</f>
        <v>Qing</v>
      </c>
      <c r="H15" s="8" t="s">
        <v>274</v>
      </c>
      <c r="I15" s="9" t="s">
        <v>275</v>
      </c>
      <c r="J15" s="9" t="s">
        <v>276</v>
      </c>
      <c r="K15" s="8" t="s">
        <v>84</v>
      </c>
      <c r="L15" s="8"/>
      <c r="M15" s="9" t="s">
        <v>277</v>
      </c>
      <c r="N15" s="9" t="s">
        <v>278</v>
      </c>
      <c r="O15" s="8" t="s">
        <v>279</v>
      </c>
      <c r="P15" s="8" t="s">
        <v>87</v>
      </c>
      <c r="Q15" s="9" t="s">
        <v>280</v>
      </c>
      <c r="R15" s="9" t="s">
        <v>281</v>
      </c>
      <c r="S15" s="9" t="s">
        <v>282</v>
      </c>
      <c r="T15" s="8"/>
      <c r="U15" s="9" t="s">
        <v>283</v>
      </c>
      <c r="V15" s="8"/>
      <c r="W15" s="9" t="s">
        <v>284</v>
      </c>
      <c r="X15" s="8"/>
      <c r="Y15" s="9" t="s">
        <v>285</v>
      </c>
      <c r="Z15" s="8"/>
      <c r="AA15" s="8"/>
      <c r="AB15" s="8"/>
      <c r="AC15" s="8"/>
      <c r="AD15" s="8"/>
      <c r="AE15" s="8"/>
      <c r="AF15" s="8"/>
      <c r="AG15" s="8"/>
      <c r="AH15" s="8"/>
      <c r="AI15" s="8" t="n">
        <v>0</v>
      </c>
      <c r="AJ15" s="8" t="n">
        <v>0</v>
      </c>
      <c r="AK15" s="8" t="n">
        <v>1</v>
      </c>
      <c r="AL15" s="8" t="n">
        <v>0</v>
      </c>
      <c r="AM15" s="8" t="n">
        <v>1</v>
      </c>
      <c r="AN15" s="8" t="n">
        <v>0</v>
      </c>
      <c r="AO15" s="8" t="n">
        <v>0</v>
      </c>
      <c r="AP15" s="8" t="n">
        <v>0</v>
      </c>
      <c r="AQ15" s="8" t="n">
        <v>1</v>
      </c>
      <c r="AR15" s="8" t="n">
        <v>1</v>
      </c>
      <c r="AS15" s="8" t="n">
        <v>1</v>
      </c>
      <c r="AT15" s="8" t="n">
        <v>0</v>
      </c>
      <c r="AU15" s="8" t="n">
        <v>0</v>
      </c>
      <c r="AV15" s="8" t="n">
        <v>0</v>
      </c>
      <c r="AW15" s="8" t="n">
        <v>0</v>
      </c>
      <c r="AX15" s="8" t="n">
        <v>0</v>
      </c>
      <c r="AY15" s="8" t="n">
        <v>0</v>
      </c>
      <c r="AZ15" s="8" t="n">
        <v>0</v>
      </c>
      <c r="BA15" s="8" t="n">
        <v>0</v>
      </c>
      <c r="BB15" s="8" t="n">
        <v>0</v>
      </c>
      <c r="BC15" s="8" t="n">
        <v>335</v>
      </c>
      <c r="BD15" s="8" t="n">
        <v>3</v>
      </c>
      <c r="BE15" s="8" t="n">
        <v>0</v>
      </c>
      <c r="BF15" s="8" t="n">
        <v>0</v>
      </c>
      <c r="BG15" s="10" t="s">
        <v>286</v>
      </c>
      <c r="BH15" s="9" t="s">
        <v>287</v>
      </c>
    </row>
    <row r="16" customFormat="false" ht="15" hidden="false" customHeight="false" outlineLevel="0" collapsed="false">
      <c r="A16" s="8" t="s">
        <v>288</v>
      </c>
      <c r="B16" s="8" t="s">
        <v>273</v>
      </c>
      <c r="C16" s="8" t="n">
        <v>2</v>
      </c>
      <c r="D16" s="8" t="n">
        <v>1761</v>
      </c>
      <c r="E16" s="8" t="n">
        <v>1762</v>
      </c>
      <c r="F16" s="8" t="str">
        <f aca="false">IF(D16="","?",IF(D16&lt;1796,"pre-1796",IF(D16&lt;1912,"1796-1911",IF(D16&lt;1949,"1912-1948","1949+"))))</f>
        <v>pre-1796</v>
      </c>
      <c r="G16" s="8" t="str">
        <f aca="false">IF(D16="","?",IF(D16&lt;1912,"Qing",IF(D16&lt;1949,"Republic","PRC")))</f>
        <v>Qing</v>
      </c>
      <c r="H16" s="8" t="s">
        <v>274</v>
      </c>
      <c r="I16" s="9" t="s">
        <v>275</v>
      </c>
      <c r="J16" s="9" t="s">
        <v>276</v>
      </c>
      <c r="K16" s="8" t="s">
        <v>84</v>
      </c>
      <c r="L16" s="8"/>
      <c r="M16" s="9" t="s">
        <v>277</v>
      </c>
      <c r="N16" s="9" t="s">
        <v>278</v>
      </c>
      <c r="O16" s="8" t="s">
        <v>279</v>
      </c>
      <c r="P16" s="8" t="s">
        <v>114</v>
      </c>
      <c r="Q16" s="8"/>
      <c r="R16" s="9" t="s">
        <v>289</v>
      </c>
      <c r="S16" s="8"/>
      <c r="T16" s="8"/>
      <c r="U16" s="8"/>
      <c r="V16" s="8"/>
      <c r="W16" s="8"/>
      <c r="X16" s="8"/>
      <c r="Y16" s="8"/>
      <c r="Z16" s="8"/>
      <c r="AA16" s="8"/>
      <c r="AB16" s="8"/>
      <c r="AC16" s="8"/>
      <c r="AD16" s="8"/>
      <c r="AE16" s="9" t="s">
        <v>290</v>
      </c>
      <c r="AF16" s="9" t="s">
        <v>291</v>
      </c>
      <c r="AG16" s="8"/>
      <c r="AH16" s="8"/>
      <c r="AI16" s="8" t="n">
        <v>0</v>
      </c>
      <c r="AJ16" s="8" t="n">
        <v>0</v>
      </c>
      <c r="AK16" s="8" t="n">
        <v>0</v>
      </c>
      <c r="AL16" s="8" t="n">
        <v>0</v>
      </c>
      <c r="AM16" s="8" t="n">
        <v>0</v>
      </c>
      <c r="AN16" s="8" t="n">
        <v>0</v>
      </c>
      <c r="AO16" s="8" t="n">
        <v>0</v>
      </c>
      <c r="AP16" s="8" t="n">
        <v>0</v>
      </c>
      <c r="AQ16" s="8" t="n">
        <v>0</v>
      </c>
      <c r="AR16" s="8" t="n">
        <v>0</v>
      </c>
      <c r="AS16" s="8" t="n">
        <v>0</v>
      </c>
      <c r="AT16" s="8" t="n">
        <v>0</v>
      </c>
      <c r="AU16" s="8" t="n">
        <v>0</v>
      </c>
      <c r="AV16" s="8" t="n">
        <v>0</v>
      </c>
      <c r="AW16" s="8" t="n">
        <v>1</v>
      </c>
      <c r="AX16" s="8" t="n">
        <v>1</v>
      </c>
      <c r="AY16" s="8" t="n">
        <v>0</v>
      </c>
      <c r="AZ16" s="8" t="n">
        <v>0</v>
      </c>
      <c r="BA16" s="8" t="n">
        <v>0</v>
      </c>
      <c r="BB16" s="8" t="n">
        <v>0</v>
      </c>
      <c r="BC16" s="8" t="n">
        <v>742</v>
      </c>
      <c r="BD16" s="8" t="n">
        <v>3</v>
      </c>
      <c r="BE16" s="8" t="n">
        <v>0</v>
      </c>
      <c r="BF16" s="8" t="n">
        <v>0</v>
      </c>
      <c r="BG16" s="10" t="s">
        <v>286</v>
      </c>
      <c r="BH16" s="9" t="s">
        <v>292</v>
      </c>
    </row>
    <row r="17" customFormat="false" ht="15" hidden="false" customHeight="false" outlineLevel="0" collapsed="false">
      <c r="A17" s="8" t="s">
        <v>293</v>
      </c>
      <c r="B17" s="8" t="s">
        <v>294</v>
      </c>
      <c r="C17" s="8" t="n">
        <v>1</v>
      </c>
      <c r="D17" s="8" t="n">
        <v>1760</v>
      </c>
      <c r="E17" s="8" t="n">
        <v>1767</v>
      </c>
      <c r="F17" s="8" t="str">
        <f aca="false">IF(D17="","?",IF(D17&lt;1796,"pre-1796",IF(D17&lt;1912,"1796-1911",IF(D17&lt;1949,"1912-1948","1949+"))))</f>
        <v>pre-1796</v>
      </c>
      <c r="G17" s="8" t="str">
        <f aca="false">IF(D17="","?",IF(D17&lt;1912,"Qing",IF(D17&lt;1949,"Republic","PRC")))</f>
        <v>Qing</v>
      </c>
      <c r="H17" s="8" t="s">
        <v>295</v>
      </c>
      <c r="I17" s="9" t="s">
        <v>296</v>
      </c>
      <c r="J17" s="9" t="s">
        <v>297</v>
      </c>
      <c r="K17" s="8" t="s">
        <v>84</v>
      </c>
      <c r="L17" s="9" t="s">
        <v>298</v>
      </c>
      <c r="M17" s="8"/>
      <c r="N17" s="8"/>
      <c r="O17" s="8" t="s">
        <v>299</v>
      </c>
      <c r="P17" s="8" t="s">
        <v>133</v>
      </c>
      <c r="Q17" s="9" t="s">
        <v>300</v>
      </c>
      <c r="R17" s="9" t="s">
        <v>301</v>
      </c>
      <c r="S17" s="9" t="s">
        <v>302</v>
      </c>
      <c r="T17" s="9" t="s">
        <v>303</v>
      </c>
      <c r="U17" s="9" t="s">
        <v>304</v>
      </c>
      <c r="V17" s="8"/>
      <c r="W17" s="9" t="s">
        <v>305</v>
      </c>
      <c r="X17" s="8"/>
      <c r="Y17" s="9" t="s">
        <v>306</v>
      </c>
      <c r="Z17" s="9" t="s">
        <v>307</v>
      </c>
      <c r="AA17" s="8"/>
      <c r="AB17" s="9" t="s">
        <v>308</v>
      </c>
      <c r="AC17" s="8"/>
      <c r="AD17" s="8"/>
      <c r="AE17" s="8"/>
      <c r="AF17" s="8"/>
      <c r="AG17" s="8"/>
      <c r="AH17" s="8"/>
      <c r="AI17" s="8" t="n">
        <v>1</v>
      </c>
      <c r="AJ17" s="8" t="n">
        <v>0</v>
      </c>
      <c r="AK17" s="8" t="n">
        <v>1</v>
      </c>
      <c r="AL17" s="8" t="n">
        <v>0</v>
      </c>
      <c r="AM17" s="8" t="n">
        <v>1</v>
      </c>
      <c r="AN17" s="8" t="n">
        <v>1</v>
      </c>
      <c r="AO17" s="8" t="n">
        <v>0</v>
      </c>
      <c r="AP17" s="8" t="n">
        <v>1</v>
      </c>
      <c r="AQ17" s="8" t="n">
        <v>0</v>
      </c>
      <c r="AR17" s="8" t="n">
        <v>0</v>
      </c>
      <c r="AS17" s="8" t="n">
        <v>1</v>
      </c>
      <c r="AT17" s="8" t="n">
        <v>0</v>
      </c>
      <c r="AU17" s="8" t="n">
        <v>0</v>
      </c>
      <c r="AV17" s="8" t="n">
        <v>0</v>
      </c>
      <c r="AW17" s="8" t="n">
        <v>0</v>
      </c>
      <c r="AX17" s="8" t="n">
        <v>0</v>
      </c>
      <c r="AY17" s="8" t="n">
        <v>0</v>
      </c>
      <c r="AZ17" s="8" t="n">
        <v>0</v>
      </c>
      <c r="BA17" s="8" t="n">
        <v>0</v>
      </c>
      <c r="BB17" s="8" t="n">
        <v>0</v>
      </c>
      <c r="BC17" s="8" t="n">
        <v>341</v>
      </c>
      <c r="BD17" s="8" t="n">
        <v>1</v>
      </c>
      <c r="BE17" s="8" t="n">
        <v>0</v>
      </c>
      <c r="BF17" s="8" t="n">
        <v>0</v>
      </c>
      <c r="BG17" s="10" t="s">
        <v>309</v>
      </c>
      <c r="BH17" s="9" t="s">
        <v>310</v>
      </c>
    </row>
    <row r="18" customFormat="false" ht="15" hidden="false" customHeight="false" outlineLevel="0" collapsed="false">
      <c r="A18" s="8" t="s">
        <v>311</v>
      </c>
      <c r="B18" s="8" t="s">
        <v>294</v>
      </c>
      <c r="C18" s="8" t="n">
        <v>2</v>
      </c>
      <c r="D18" s="8" t="n">
        <v>1760</v>
      </c>
      <c r="E18" s="8" t="n">
        <v>1767</v>
      </c>
      <c r="F18" s="8" t="str">
        <f aca="false">IF(D18="","?",IF(D18&lt;1796,"pre-1796",IF(D18&lt;1912,"1796-1911",IF(D18&lt;1949,"1912-1948","1949+"))))</f>
        <v>pre-1796</v>
      </c>
      <c r="G18" s="8" t="str">
        <f aca="false">IF(D18="","?",IF(D18&lt;1912,"Qing",IF(D18&lt;1949,"Republic","PRC")))</f>
        <v>Qing</v>
      </c>
      <c r="H18" s="8" t="s">
        <v>295</v>
      </c>
      <c r="I18" s="9" t="s">
        <v>296</v>
      </c>
      <c r="J18" s="9" t="s">
        <v>297</v>
      </c>
      <c r="K18" s="8" t="s">
        <v>84</v>
      </c>
      <c r="L18" s="9" t="s">
        <v>298</v>
      </c>
      <c r="M18" s="8"/>
      <c r="N18" s="8"/>
      <c r="O18" s="8" t="s">
        <v>299</v>
      </c>
      <c r="P18" s="8" t="s">
        <v>133</v>
      </c>
      <c r="Q18" s="9" t="s">
        <v>312</v>
      </c>
      <c r="R18" s="9" t="s">
        <v>313</v>
      </c>
      <c r="S18" s="9" t="s">
        <v>314</v>
      </c>
      <c r="T18" s="8"/>
      <c r="U18" s="8"/>
      <c r="V18" s="8"/>
      <c r="W18" s="8"/>
      <c r="X18" s="8"/>
      <c r="Y18" s="9" t="s">
        <v>315</v>
      </c>
      <c r="Z18" s="9" t="s">
        <v>316</v>
      </c>
      <c r="AA18" s="8"/>
      <c r="AB18" s="8"/>
      <c r="AC18" s="8"/>
      <c r="AD18" s="8"/>
      <c r="AE18" s="8"/>
      <c r="AF18" s="8"/>
      <c r="AG18" s="8"/>
      <c r="AH18" s="8"/>
      <c r="AI18" s="8" t="n">
        <v>0</v>
      </c>
      <c r="AJ18" s="8" t="n">
        <v>0</v>
      </c>
      <c r="AK18" s="8" t="n">
        <v>1</v>
      </c>
      <c r="AL18" s="8" t="n">
        <v>0</v>
      </c>
      <c r="AM18" s="8" t="n">
        <v>1</v>
      </c>
      <c r="AN18" s="8" t="n">
        <v>0</v>
      </c>
      <c r="AO18" s="8" t="n">
        <v>0</v>
      </c>
      <c r="AP18" s="8" t="n">
        <v>0</v>
      </c>
      <c r="AQ18" s="8" t="n">
        <v>0</v>
      </c>
      <c r="AR18" s="8" t="n">
        <v>0</v>
      </c>
      <c r="AS18" s="8" t="n">
        <v>0</v>
      </c>
      <c r="AT18" s="8" t="n">
        <v>0</v>
      </c>
      <c r="AU18" s="8" t="n">
        <v>0</v>
      </c>
      <c r="AV18" s="8" t="n">
        <v>0</v>
      </c>
      <c r="AW18" s="8" t="n">
        <v>0</v>
      </c>
      <c r="AX18" s="8" t="n">
        <v>0</v>
      </c>
      <c r="AY18" s="8" t="n">
        <v>0</v>
      </c>
      <c r="AZ18" s="8" t="n">
        <v>0</v>
      </c>
      <c r="BA18" s="8" t="n">
        <v>0</v>
      </c>
      <c r="BB18" s="8" t="n">
        <v>0</v>
      </c>
      <c r="BC18" s="8" t="n">
        <v>127</v>
      </c>
      <c r="BD18" s="8" t="n">
        <v>0</v>
      </c>
      <c r="BE18" s="8" t="n">
        <v>0</v>
      </c>
      <c r="BF18" s="8" t="n">
        <v>0</v>
      </c>
      <c r="BG18" s="10" t="s">
        <v>309</v>
      </c>
      <c r="BH18" s="9" t="s">
        <v>317</v>
      </c>
    </row>
    <row r="19" customFormat="false" ht="15" hidden="false" customHeight="false" outlineLevel="0" collapsed="false">
      <c r="A19" s="8" t="s">
        <v>318</v>
      </c>
      <c r="B19" s="8" t="s">
        <v>319</v>
      </c>
      <c r="C19" s="8" t="n">
        <v>1</v>
      </c>
      <c r="D19" s="8" t="n">
        <v>1940</v>
      </c>
      <c r="E19" s="8" t="n">
        <v>1940</v>
      </c>
      <c r="F19" s="8" t="str">
        <f aca="false">IF(D19="","?",IF(D19&lt;1796,"pre-1796",IF(D19&lt;1912,"1796-1911",IF(D19&lt;1949,"1912-1948","1949+"))))</f>
        <v>1912-1948</v>
      </c>
      <c r="G19" s="8" t="str">
        <f aca="false">IF(D19="","?",IF(D19&lt;1912,"Qing",IF(D19&lt;1949,"Republic","PRC")))</f>
        <v>Republic</v>
      </c>
      <c r="H19" s="8" t="s">
        <v>320</v>
      </c>
      <c r="I19" s="8"/>
      <c r="J19" s="8"/>
      <c r="K19" s="8" t="s">
        <v>130</v>
      </c>
      <c r="L19" s="8"/>
      <c r="M19" s="9" t="s">
        <v>321</v>
      </c>
      <c r="N19" s="9" t="s">
        <v>322</v>
      </c>
      <c r="O19" s="8" t="s">
        <v>323</v>
      </c>
      <c r="P19" s="8" t="s">
        <v>133</v>
      </c>
      <c r="Q19" s="9" t="s">
        <v>324</v>
      </c>
      <c r="R19" s="8"/>
      <c r="S19" s="9" t="s">
        <v>325</v>
      </c>
      <c r="T19" s="8"/>
      <c r="U19" s="9" t="s">
        <v>326</v>
      </c>
      <c r="V19" s="9" t="s">
        <v>327</v>
      </c>
      <c r="W19" s="8"/>
      <c r="X19" s="8"/>
      <c r="Y19" s="8"/>
      <c r="Z19" s="9" t="s">
        <v>328</v>
      </c>
      <c r="AA19" s="9" t="s">
        <v>329</v>
      </c>
      <c r="AB19" s="9" t="s">
        <v>330</v>
      </c>
      <c r="AC19" s="8"/>
      <c r="AD19" s="8"/>
      <c r="AE19" s="8"/>
      <c r="AF19" s="8"/>
      <c r="AG19" s="8"/>
      <c r="AH19" s="8"/>
      <c r="AI19" s="8" t="n">
        <v>0</v>
      </c>
      <c r="AJ19" s="8" t="n">
        <v>0</v>
      </c>
      <c r="AK19" s="8" t="n">
        <v>1</v>
      </c>
      <c r="AL19" s="8" t="n">
        <v>1</v>
      </c>
      <c r="AM19" s="8" t="n">
        <v>1</v>
      </c>
      <c r="AN19" s="8" t="n">
        <v>0</v>
      </c>
      <c r="AO19" s="8" t="n">
        <v>1</v>
      </c>
      <c r="AP19" s="8" t="n">
        <v>1</v>
      </c>
      <c r="AQ19" s="8" t="n">
        <v>1</v>
      </c>
      <c r="AR19" s="8" t="n">
        <v>1</v>
      </c>
      <c r="AS19" s="8" t="n">
        <v>1</v>
      </c>
      <c r="AT19" s="8" t="n">
        <v>0</v>
      </c>
      <c r="AU19" s="8" t="n">
        <v>0</v>
      </c>
      <c r="AV19" s="8" t="n">
        <v>1</v>
      </c>
      <c r="AW19" s="8" t="n">
        <v>0</v>
      </c>
      <c r="AX19" s="8" t="n">
        <v>0</v>
      </c>
      <c r="AY19" s="8" t="n">
        <v>0</v>
      </c>
      <c r="AZ19" s="8" t="n">
        <v>0</v>
      </c>
      <c r="BA19" s="8" t="n">
        <v>0</v>
      </c>
      <c r="BB19" s="8" t="n">
        <v>0</v>
      </c>
      <c r="BC19" s="8" t="n">
        <v>297</v>
      </c>
      <c r="BD19" s="8" t="n">
        <v>1</v>
      </c>
      <c r="BE19" s="8" t="n">
        <v>0</v>
      </c>
      <c r="BF19" s="8" t="n">
        <v>1</v>
      </c>
      <c r="BG19" s="10" t="s">
        <v>331</v>
      </c>
      <c r="BH19" s="9" t="s">
        <v>332</v>
      </c>
    </row>
    <row r="20" customFormat="false" ht="15" hidden="false" customHeight="false" outlineLevel="0" collapsed="false">
      <c r="A20" s="8" t="s">
        <v>333</v>
      </c>
      <c r="B20" s="8" t="s">
        <v>334</v>
      </c>
      <c r="C20" s="8" t="n">
        <v>1</v>
      </c>
      <c r="D20" s="8" t="n">
        <v>1917</v>
      </c>
      <c r="E20" s="8" t="n">
        <v>1917</v>
      </c>
      <c r="F20" s="8" t="str">
        <f aca="false">IF(D20="","?",IF(D20&lt;1796,"pre-1796",IF(D20&lt;1912,"1796-1911",IF(D20&lt;1949,"1912-1948","1949+"))))</f>
        <v>1912-1948</v>
      </c>
      <c r="G20" s="8" t="str">
        <f aca="false">IF(D20="","?",IF(D20&lt;1912,"Qing",IF(D20&lt;1949,"Republic","PRC")))</f>
        <v>Republic</v>
      </c>
      <c r="H20" s="8" t="s">
        <v>335</v>
      </c>
      <c r="I20" s="8"/>
      <c r="J20" s="8"/>
      <c r="K20" s="8" t="s">
        <v>130</v>
      </c>
      <c r="L20" s="8"/>
      <c r="M20" s="9" t="s">
        <v>336</v>
      </c>
      <c r="N20" s="8"/>
      <c r="O20" s="8" t="s">
        <v>337</v>
      </c>
      <c r="P20" s="8" t="s">
        <v>133</v>
      </c>
      <c r="Q20" s="9" t="s">
        <v>134</v>
      </c>
      <c r="R20" s="8"/>
      <c r="S20" s="9" t="s">
        <v>338</v>
      </c>
      <c r="T20" s="8"/>
      <c r="U20" s="9" t="s">
        <v>339</v>
      </c>
      <c r="V20" s="9" t="s">
        <v>340</v>
      </c>
      <c r="W20" s="9" t="s">
        <v>341</v>
      </c>
      <c r="X20" s="8"/>
      <c r="Y20" s="8"/>
      <c r="Z20" s="8"/>
      <c r="AA20" s="9" t="s">
        <v>342</v>
      </c>
      <c r="AB20" s="9" t="s">
        <v>343</v>
      </c>
      <c r="AC20" s="8"/>
      <c r="AD20" s="8"/>
      <c r="AE20" s="8"/>
      <c r="AF20" s="8"/>
      <c r="AG20" s="8"/>
      <c r="AH20" s="8"/>
      <c r="AI20" s="8" t="n">
        <v>1</v>
      </c>
      <c r="AJ20" s="8" t="n">
        <v>0</v>
      </c>
      <c r="AK20" s="8" t="n">
        <v>1</v>
      </c>
      <c r="AL20" s="8" t="n">
        <v>0</v>
      </c>
      <c r="AM20" s="8" t="n">
        <v>1</v>
      </c>
      <c r="AN20" s="8" t="n">
        <v>1</v>
      </c>
      <c r="AO20" s="8" t="n">
        <v>1</v>
      </c>
      <c r="AP20" s="8" t="n">
        <v>1</v>
      </c>
      <c r="AQ20" s="8" t="n">
        <v>1</v>
      </c>
      <c r="AR20" s="8" t="n">
        <v>1</v>
      </c>
      <c r="AS20" s="8" t="n">
        <v>1</v>
      </c>
      <c r="AT20" s="8" t="n">
        <v>0</v>
      </c>
      <c r="AU20" s="8" t="n">
        <v>0</v>
      </c>
      <c r="AV20" s="8" t="n">
        <v>0</v>
      </c>
      <c r="AW20" s="8" t="n">
        <v>0</v>
      </c>
      <c r="AX20" s="8" t="n">
        <v>0</v>
      </c>
      <c r="AY20" s="8" t="n">
        <v>0</v>
      </c>
      <c r="AZ20" s="8" t="n">
        <v>0</v>
      </c>
      <c r="BA20" s="8" t="n">
        <v>0</v>
      </c>
      <c r="BB20" s="8" t="n">
        <v>0</v>
      </c>
      <c r="BC20" s="8" t="n">
        <v>295</v>
      </c>
      <c r="BD20" s="8" t="n">
        <v>0</v>
      </c>
      <c r="BE20" s="8" t="n">
        <v>0</v>
      </c>
      <c r="BF20" s="8" t="n">
        <v>0</v>
      </c>
      <c r="BG20" s="10" t="s">
        <v>344</v>
      </c>
      <c r="BH20" s="9" t="s">
        <v>345</v>
      </c>
    </row>
    <row r="21" customFormat="false" ht="15" hidden="false" customHeight="false" outlineLevel="0" collapsed="false">
      <c r="A21" s="8" t="s">
        <v>346</v>
      </c>
      <c r="B21" s="8" t="s">
        <v>347</v>
      </c>
      <c r="C21" s="8" t="n">
        <v>1</v>
      </c>
      <c r="D21" s="8" t="n">
        <v>1805</v>
      </c>
      <c r="E21" s="8" t="n">
        <v>1816</v>
      </c>
      <c r="F21" s="8" t="str">
        <f aca="false">IF(D21="","?",IF(D21&lt;1796,"pre-1796",IF(D21&lt;1912,"1796-1911",IF(D21&lt;1949,"1912-1948","1949+"))))</f>
        <v>1796-1911</v>
      </c>
      <c r="G21" s="8" t="str">
        <f aca="false">IF(D21="","?",IF(D21&lt;1912,"Qing",IF(D21&lt;1949,"Republic","PRC")))</f>
        <v>Qing</v>
      </c>
      <c r="H21" s="8" t="s">
        <v>348</v>
      </c>
      <c r="I21" s="9" t="s">
        <v>128</v>
      </c>
      <c r="J21" s="9" t="s">
        <v>175</v>
      </c>
      <c r="K21" s="8" t="s">
        <v>84</v>
      </c>
      <c r="L21" s="9" t="s">
        <v>349</v>
      </c>
      <c r="M21" s="9" t="s">
        <v>349</v>
      </c>
      <c r="N21" s="9" t="s">
        <v>350</v>
      </c>
      <c r="O21" s="8" t="s">
        <v>351</v>
      </c>
      <c r="P21" s="8" t="s">
        <v>133</v>
      </c>
      <c r="Q21" s="9" t="s">
        <v>352</v>
      </c>
      <c r="R21" s="9" t="s">
        <v>353</v>
      </c>
      <c r="S21" s="9" t="s">
        <v>354</v>
      </c>
      <c r="T21" s="8"/>
      <c r="U21" s="8"/>
      <c r="V21" s="8"/>
      <c r="W21" s="8"/>
      <c r="X21" s="8"/>
      <c r="Y21" s="8"/>
      <c r="Z21" s="9" t="s">
        <v>355</v>
      </c>
      <c r="AA21" s="8"/>
      <c r="AB21" s="8"/>
      <c r="AC21" s="9" t="s">
        <v>356</v>
      </c>
      <c r="AD21" s="8"/>
      <c r="AE21" s="8"/>
      <c r="AF21" s="8"/>
      <c r="AG21" s="8"/>
      <c r="AH21" s="8"/>
      <c r="AI21" s="8" t="n">
        <v>0</v>
      </c>
      <c r="AJ21" s="8" t="n">
        <v>0</v>
      </c>
      <c r="AK21" s="8" t="n">
        <v>0</v>
      </c>
      <c r="AL21" s="8" t="n">
        <v>0</v>
      </c>
      <c r="AM21" s="8" t="n">
        <v>0</v>
      </c>
      <c r="AN21" s="8" t="n">
        <v>0</v>
      </c>
      <c r="AO21" s="8" t="n">
        <v>0</v>
      </c>
      <c r="AP21" s="8" t="n">
        <v>0</v>
      </c>
      <c r="AQ21" s="8" t="n">
        <v>0</v>
      </c>
      <c r="AR21" s="8" t="n">
        <v>0</v>
      </c>
      <c r="AS21" s="8" t="n">
        <v>0</v>
      </c>
      <c r="AT21" s="8" t="n">
        <v>0</v>
      </c>
      <c r="AU21" s="8" t="n">
        <v>0</v>
      </c>
      <c r="AV21" s="8" t="n">
        <v>0</v>
      </c>
      <c r="AW21" s="8" t="n">
        <v>0</v>
      </c>
      <c r="AX21" s="8" t="n">
        <v>0</v>
      </c>
      <c r="AY21" s="8" t="n">
        <v>0</v>
      </c>
      <c r="AZ21" s="8" t="n">
        <v>0</v>
      </c>
      <c r="BA21" s="8" t="n">
        <v>0</v>
      </c>
      <c r="BB21" s="8" t="n">
        <v>0</v>
      </c>
      <c r="BC21" s="8" t="n">
        <v>46</v>
      </c>
      <c r="BD21" s="8" t="n">
        <v>2</v>
      </c>
      <c r="BE21" s="8" t="n">
        <v>0</v>
      </c>
      <c r="BF21" s="8" t="n">
        <v>0</v>
      </c>
      <c r="BG21" s="10" t="s">
        <v>357</v>
      </c>
      <c r="BH21" s="9" t="s">
        <v>358</v>
      </c>
    </row>
    <row r="22" customFormat="false" ht="15" hidden="false" customHeight="false" outlineLevel="0" collapsed="false">
      <c r="A22" s="8" t="s">
        <v>359</v>
      </c>
      <c r="B22" s="8" t="s">
        <v>347</v>
      </c>
      <c r="C22" s="8" t="n">
        <v>2</v>
      </c>
      <c r="D22" s="8" t="n">
        <v>1805</v>
      </c>
      <c r="E22" s="8" t="n">
        <v>1816</v>
      </c>
      <c r="F22" s="8" t="str">
        <f aca="false">IF(D22="","?",IF(D22&lt;1796,"pre-1796",IF(D22&lt;1912,"1796-1911",IF(D22&lt;1949,"1912-1948","1949+"))))</f>
        <v>1796-1911</v>
      </c>
      <c r="G22" s="8" t="str">
        <f aca="false">IF(D22="","?",IF(D22&lt;1912,"Qing",IF(D22&lt;1949,"Republic","PRC")))</f>
        <v>Qing</v>
      </c>
      <c r="H22" s="8" t="s">
        <v>348</v>
      </c>
      <c r="I22" s="9" t="s">
        <v>128</v>
      </c>
      <c r="J22" s="9" t="s">
        <v>175</v>
      </c>
      <c r="K22" s="8" t="s">
        <v>84</v>
      </c>
      <c r="L22" s="9" t="s">
        <v>349</v>
      </c>
      <c r="M22" s="9" t="s">
        <v>349</v>
      </c>
      <c r="N22" s="9" t="s">
        <v>350</v>
      </c>
      <c r="O22" s="8" t="s">
        <v>351</v>
      </c>
      <c r="P22" s="8" t="s">
        <v>87</v>
      </c>
      <c r="Q22" s="8"/>
      <c r="R22" s="8"/>
      <c r="S22" s="8"/>
      <c r="T22" s="8"/>
      <c r="U22" s="8"/>
      <c r="V22" s="8"/>
      <c r="W22" s="8"/>
      <c r="X22" s="8"/>
      <c r="Y22" s="8"/>
      <c r="Z22" s="8"/>
      <c r="AA22" s="8"/>
      <c r="AB22" s="8"/>
      <c r="AC22" s="8"/>
      <c r="AD22" s="8"/>
      <c r="AE22" s="8"/>
      <c r="AF22" s="8"/>
      <c r="AG22" s="8"/>
      <c r="AH22" s="8"/>
      <c r="AI22" s="8" t="n">
        <v>0</v>
      </c>
      <c r="AJ22" s="8" t="n">
        <v>0</v>
      </c>
      <c r="AK22" s="8" t="n">
        <v>0</v>
      </c>
      <c r="AL22" s="8" t="n">
        <v>0</v>
      </c>
      <c r="AM22" s="8" t="n">
        <v>0</v>
      </c>
      <c r="AN22" s="8" t="n">
        <v>0</v>
      </c>
      <c r="AO22" s="8" t="n">
        <v>0</v>
      </c>
      <c r="AP22" s="8" t="n">
        <v>0</v>
      </c>
      <c r="AQ22" s="8" t="n">
        <v>0</v>
      </c>
      <c r="AR22" s="8" t="n">
        <v>0</v>
      </c>
      <c r="AS22" s="8" t="n">
        <v>0</v>
      </c>
      <c r="AT22" s="8" t="n">
        <v>0</v>
      </c>
      <c r="AU22" s="8" t="n">
        <v>0</v>
      </c>
      <c r="AV22" s="8" t="n">
        <v>0</v>
      </c>
      <c r="AW22" s="8" t="n">
        <v>0</v>
      </c>
      <c r="AX22" s="8" t="n">
        <v>0</v>
      </c>
      <c r="AY22" s="8" t="n">
        <v>0</v>
      </c>
      <c r="AZ22" s="8" t="n">
        <v>0</v>
      </c>
      <c r="BA22" s="8" t="n">
        <v>0</v>
      </c>
      <c r="BB22" s="8" t="n">
        <v>0</v>
      </c>
      <c r="BC22" s="8" t="n">
        <v>1</v>
      </c>
      <c r="BD22" s="8" t="n">
        <v>1</v>
      </c>
      <c r="BE22" s="8" t="n">
        <v>0</v>
      </c>
      <c r="BF22" s="8" t="n">
        <v>0</v>
      </c>
      <c r="BG22" s="10" t="s">
        <v>357</v>
      </c>
      <c r="BH22" s="9" t="s">
        <v>360</v>
      </c>
    </row>
    <row r="23" customFormat="false" ht="15" hidden="false" customHeight="false" outlineLevel="0" collapsed="false">
      <c r="A23" s="8" t="s">
        <v>361</v>
      </c>
      <c r="B23" s="8" t="s">
        <v>362</v>
      </c>
      <c r="C23" s="8" t="n">
        <v>1</v>
      </c>
      <c r="D23" s="8" t="n">
        <v>1871</v>
      </c>
      <c r="E23" s="8" t="n">
        <v>1913</v>
      </c>
      <c r="F23" s="8" t="str">
        <f aca="false">IF(D23="","?",IF(D23&lt;1796,"pre-1796",IF(D23&lt;1912,"1796-1911",IF(D23&lt;1949,"1912-1948","1949+"))))</f>
        <v>1796-1911</v>
      </c>
      <c r="G23" s="8" t="str">
        <f aca="false">IF(D23="","?",IF(D23&lt;1912,"Qing",IF(D23&lt;1949,"Republic","PRC")))</f>
        <v>Qing</v>
      </c>
      <c r="H23" s="8" t="s">
        <v>363</v>
      </c>
      <c r="I23" s="9" t="s">
        <v>128</v>
      </c>
      <c r="J23" s="9" t="s">
        <v>223</v>
      </c>
      <c r="K23" s="8" t="s">
        <v>84</v>
      </c>
      <c r="L23" s="8"/>
      <c r="M23" s="9" t="s">
        <v>364</v>
      </c>
      <c r="N23" s="9" t="s">
        <v>365</v>
      </c>
      <c r="O23" s="8" t="s">
        <v>366</v>
      </c>
      <c r="P23" s="8" t="s">
        <v>97</v>
      </c>
      <c r="Q23" s="9" t="s">
        <v>367</v>
      </c>
      <c r="R23" s="9" t="s">
        <v>368</v>
      </c>
      <c r="S23" s="9" t="s">
        <v>369</v>
      </c>
      <c r="T23" s="8"/>
      <c r="U23" s="9" t="s">
        <v>370</v>
      </c>
      <c r="V23" s="8"/>
      <c r="W23" s="9" t="s">
        <v>371</v>
      </c>
      <c r="X23" s="8"/>
      <c r="Y23" s="9" t="s">
        <v>372</v>
      </c>
      <c r="Z23" s="9" t="s">
        <v>373</v>
      </c>
      <c r="AA23" s="9" t="s">
        <v>374</v>
      </c>
      <c r="AB23" s="9" t="s">
        <v>375</v>
      </c>
      <c r="AC23" s="9" t="s">
        <v>376</v>
      </c>
      <c r="AD23" s="8"/>
      <c r="AE23" s="9" t="s">
        <v>377</v>
      </c>
      <c r="AF23" s="9" t="s">
        <v>378</v>
      </c>
      <c r="AG23" s="9" t="s">
        <v>379</v>
      </c>
      <c r="AH23" s="8"/>
      <c r="AI23" s="8" t="n">
        <v>1</v>
      </c>
      <c r="AJ23" s="8" t="n">
        <v>0</v>
      </c>
      <c r="AK23" s="8" t="n">
        <v>1</v>
      </c>
      <c r="AL23" s="8" t="n">
        <v>0</v>
      </c>
      <c r="AM23" s="8" t="n">
        <v>1</v>
      </c>
      <c r="AN23" s="8" t="n">
        <v>1</v>
      </c>
      <c r="AO23" s="8" t="n">
        <v>0</v>
      </c>
      <c r="AP23" s="8" t="n">
        <v>0</v>
      </c>
      <c r="AQ23" s="8" t="n">
        <v>1</v>
      </c>
      <c r="AR23" s="8" t="n">
        <v>1</v>
      </c>
      <c r="AS23" s="8" t="n">
        <v>1</v>
      </c>
      <c r="AT23" s="8" t="n">
        <v>0</v>
      </c>
      <c r="AU23" s="8" t="n">
        <v>0</v>
      </c>
      <c r="AV23" s="8" t="n">
        <v>1</v>
      </c>
      <c r="AW23" s="8" t="n">
        <v>0</v>
      </c>
      <c r="AX23" s="8" t="n">
        <v>0</v>
      </c>
      <c r="AY23" s="8" t="n">
        <v>0</v>
      </c>
      <c r="AZ23" s="8" t="n">
        <v>1</v>
      </c>
      <c r="BA23" s="8" t="n">
        <v>0</v>
      </c>
      <c r="BB23" s="8" t="n">
        <v>0</v>
      </c>
      <c r="BC23" s="8" t="n">
        <v>676</v>
      </c>
      <c r="BD23" s="8" t="n">
        <v>2</v>
      </c>
      <c r="BE23" s="8" t="n">
        <v>0</v>
      </c>
      <c r="BF23" s="8" t="n">
        <v>1</v>
      </c>
      <c r="BG23" s="10" t="s">
        <v>380</v>
      </c>
      <c r="BH23" s="9" t="s">
        <v>381</v>
      </c>
    </row>
    <row r="24" customFormat="false" ht="15" hidden="false" customHeight="false" outlineLevel="0" collapsed="false">
      <c r="A24" s="8" t="s">
        <v>382</v>
      </c>
      <c r="B24" s="8" t="s">
        <v>362</v>
      </c>
      <c r="C24" s="8" t="n">
        <v>2</v>
      </c>
      <c r="D24" s="8" t="n">
        <v>1871</v>
      </c>
      <c r="E24" s="8" t="n">
        <v>1913</v>
      </c>
      <c r="F24" s="8" t="str">
        <f aca="false">IF(D24="","?",IF(D24&lt;1796,"pre-1796",IF(D24&lt;1912,"1796-1911",IF(D24&lt;1949,"1912-1948","1949+"))))</f>
        <v>1796-1911</v>
      </c>
      <c r="G24" s="8" t="str">
        <f aca="false">IF(D24="","?",IF(D24&lt;1912,"Qing",IF(D24&lt;1949,"Republic","PRC")))</f>
        <v>Qing</v>
      </c>
      <c r="H24" s="8" t="s">
        <v>363</v>
      </c>
      <c r="I24" s="9" t="s">
        <v>128</v>
      </c>
      <c r="J24" s="9" t="s">
        <v>223</v>
      </c>
      <c r="K24" s="8" t="s">
        <v>84</v>
      </c>
      <c r="L24" s="8"/>
      <c r="M24" s="9" t="s">
        <v>364</v>
      </c>
      <c r="N24" s="9" t="s">
        <v>365</v>
      </c>
      <c r="O24" s="8" t="s">
        <v>366</v>
      </c>
      <c r="P24" s="8" t="s">
        <v>133</v>
      </c>
      <c r="Q24" s="9" t="s">
        <v>367</v>
      </c>
      <c r="R24" s="9" t="s">
        <v>383</v>
      </c>
      <c r="S24" s="9" t="s">
        <v>384</v>
      </c>
      <c r="T24" s="8"/>
      <c r="U24" s="9" t="s">
        <v>385</v>
      </c>
      <c r="V24" s="8"/>
      <c r="W24" s="9" t="s">
        <v>386</v>
      </c>
      <c r="X24" s="9" t="s">
        <v>387</v>
      </c>
      <c r="Y24" s="9" t="s">
        <v>372</v>
      </c>
      <c r="Z24" s="9" t="s">
        <v>388</v>
      </c>
      <c r="AA24" s="9" t="s">
        <v>389</v>
      </c>
      <c r="AB24" s="9" t="s">
        <v>390</v>
      </c>
      <c r="AC24" s="9" t="s">
        <v>391</v>
      </c>
      <c r="AD24" s="8"/>
      <c r="AE24" s="8"/>
      <c r="AF24" s="8"/>
      <c r="AG24" s="8"/>
      <c r="AH24" s="8"/>
      <c r="AI24" s="8" t="n">
        <v>1</v>
      </c>
      <c r="AJ24" s="8" t="n">
        <v>0</v>
      </c>
      <c r="AK24" s="8" t="n">
        <v>1</v>
      </c>
      <c r="AL24" s="8" t="n">
        <v>1</v>
      </c>
      <c r="AM24" s="8" t="n">
        <v>1</v>
      </c>
      <c r="AN24" s="8" t="n">
        <v>1</v>
      </c>
      <c r="AO24" s="8" t="n">
        <v>0</v>
      </c>
      <c r="AP24" s="8" t="n">
        <v>0</v>
      </c>
      <c r="AQ24" s="8" t="n">
        <v>1</v>
      </c>
      <c r="AR24" s="8" t="n">
        <v>1</v>
      </c>
      <c r="AS24" s="8" t="n">
        <v>1</v>
      </c>
      <c r="AT24" s="8" t="n">
        <v>0</v>
      </c>
      <c r="AU24" s="8" t="n">
        <v>0</v>
      </c>
      <c r="AV24" s="8" t="n">
        <v>1</v>
      </c>
      <c r="AW24" s="8" t="n">
        <v>0</v>
      </c>
      <c r="AX24" s="8" t="n">
        <v>0</v>
      </c>
      <c r="AY24" s="8" t="n">
        <v>0</v>
      </c>
      <c r="AZ24" s="8" t="n">
        <v>0</v>
      </c>
      <c r="BA24" s="8" t="n">
        <v>0</v>
      </c>
      <c r="BB24" s="8" t="n">
        <v>0</v>
      </c>
      <c r="BC24" s="8" t="n">
        <v>346</v>
      </c>
      <c r="BD24" s="8" t="n">
        <v>3</v>
      </c>
      <c r="BE24" s="8" t="n">
        <v>0</v>
      </c>
      <c r="BF24" s="8" t="n">
        <v>0</v>
      </c>
      <c r="BG24" s="10" t="s">
        <v>380</v>
      </c>
      <c r="BH24" s="9" t="s">
        <v>392</v>
      </c>
    </row>
    <row r="25" customFormat="false" ht="15" hidden="false" customHeight="false" outlineLevel="0" collapsed="false">
      <c r="A25" s="8" t="s">
        <v>393</v>
      </c>
      <c r="B25" s="8" t="s">
        <v>362</v>
      </c>
      <c r="C25" s="8" t="n">
        <v>3</v>
      </c>
      <c r="D25" s="8" t="n">
        <v>1871</v>
      </c>
      <c r="E25" s="8" t="n">
        <v>1913</v>
      </c>
      <c r="F25" s="8" t="str">
        <f aca="false">IF(D25="","?",IF(D25&lt;1796,"pre-1796",IF(D25&lt;1912,"1796-1911",IF(D25&lt;1949,"1912-1948","1949+"))))</f>
        <v>1796-1911</v>
      </c>
      <c r="G25" s="8" t="str">
        <f aca="false">IF(D25="","?",IF(D25&lt;1912,"Qing",IF(D25&lt;1949,"Republic","PRC")))</f>
        <v>Qing</v>
      </c>
      <c r="H25" s="8" t="s">
        <v>363</v>
      </c>
      <c r="I25" s="9" t="s">
        <v>128</v>
      </c>
      <c r="J25" s="9" t="s">
        <v>223</v>
      </c>
      <c r="K25" s="8" t="s">
        <v>84</v>
      </c>
      <c r="L25" s="8"/>
      <c r="M25" s="9" t="s">
        <v>364</v>
      </c>
      <c r="N25" s="9" t="s">
        <v>365</v>
      </c>
      <c r="O25" s="8" t="s">
        <v>366</v>
      </c>
      <c r="P25" s="8" t="s">
        <v>114</v>
      </c>
      <c r="Q25" s="9" t="s">
        <v>115</v>
      </c>
      <c r="R25" s="9" t="s">
        <v>394</v>
      </c>
      <c r="S25" s="8"/>
      <c r="T25" s="8"/>
      <c r="U25" s="9" t="s">
        <v>395</v>
      </c>
      <c r="V25" s="9" t="s">
        <v>396</v>
      </c>
      <c r="W25" s="9" t="s">
        <v>397</v>
      </c>
      <c r="X25" s="8"/>
      <c r="Y25" s="8"/>
      <c r="Z25" s="8"/>
      <c r="AA25" s="8"/>
      <c r="AB25" s="8"/>
      <c r="AC25" s="8"/>
      <c r="AD25" s="8"/>
      <c r="AE25" s="9" t="s">
        <v>398</v>
      </c>
      <c r="AF25" s="9" t="s">
        <v>399</v>
      </c>
      <c r="AG25" s="9" t="s">
        <v>400</v>
      </c>
      <c r="AH25" s="9" t="s">
        <v>401</v>
      </c>
      <c r="AI25" s="8" t="n">
        <v>0</v>
      </c>
      <c r="AJ25" s="8" t="n">
        <v>0</v>
      </c>
      <c r="AK25" s="8" t="n">
        <v>0</v>
      </c>
      <c r="AL25" s="8" t="n">
        <v>0</v>
      </c>
      <c r="AM25" s="8" t="n">
        <v>0</v>
      </c>
      <c r="AN25" s="8" t="n">
        <v>0</v>
      </c>
      <c r="AO25" s="8" t="n">
        <v>0</v>
      </c>
      <c r="AP25" s="8" t="n">
        <v>0</v>
      </c>
      <c r="AQ25" s="8" t="n">
        <v>0</v>
      </c>
      <c r="AR25" s="8" t="n">
        <v>0</v>
      </c>
      <c r="AS25" s="8" t="n">
        <v>1</v>
      </c>
      <c r="AT25" s="8" t="n">
        <v>0</v>
      </c>
      <c r="AU25" s="8" t="n">
        <v>0</v>
      </c>
      <c r="AV25" s="8" t="n">
        <v>0</v>
      </c>
      <c r="AW25" s="8" t="n">
        <v>0</v>
      </c>
      <c r="AX25" s="8" t="n">
        <v>1</v>
      </c>
      <c r="AY25" s="8" t="n">
        <v>1</v>
      </c>
      <c r="AZ25" s="8" t="n">
        <v>1</v>
      </c>
      <c r="BA25" s="8" t="n">
        <v>1</v>
      </c>
      <c r="BB25" s="8" t="n">
        <v>1</v>
      </c>
      <c r="BC25" s="8" t="n">
        <v>352</v>
      </c>
      <c r="BD25" s="8" t="n">
        <v>0</v>
      </c>
      <c r="BE25" s="8" t="n">
        <v>0</v>
      </c>
      <c r="BF25" s="8" t="n">
        <v>0</v>
      </c>
      <c r="BG25" s="10" t="s">
        <v>380</v>
      </c>
      <c r="BH25" s="9" t="s">
        <v>402</v>
      </c>
    </row>
    <row r="26" customFormat="false" ht="15" hidden="false" customHeight="false" outlineLevel="0" collapsed="false">
      <c r="A26" s="8" t="s">
        <v>403</v>
      </c>
      <c r="B26" s="8" t="s">
        <v>362</v>
      </c>
      <c r="C26" s="8" t="n">
        <v>4</v>
      </c>
      <c r="D26" s="8" t="n">
        <v>1871</v>
      </c>
      <c r="E26" s="8" t="n">
        <v>1913</v>
      </c>
      <c r="F26" s="8" t="str">
        <f aca="false">IF(D26="","?",IF(D26&lt;1796,"pre-1796",IF(D26&lt;1912,"1796-1911",IF(D26&lt;1949,"1912-1948","1949+"))))</f>
        <v>1796-1911</v>
      </c>
      <c r="G26" s="8" t="str">
        <f aca="false">IF(D26="","?",IF(D26&lt;1912,"Qing",IF(D26&lt;1949,"Republic","PRC")))</f>
        <v>Qing</v>
      </c>
      <c r="H26" s="8" t="s">
        <v>363</v>
      </c>
      <c r="I26" s="9" t="s">
        <v>128</v>
      </c>
      <c r="J26" s="9" t="s">
        <v>223</v>
      </c>
      <c r="K26" s="8" t="s">
        <v>84</v>
      </c>
      <c r="L26" s="8"/>
      <c r="M26" s="9" t="s">
        <v>364</v>
      </c>
      <c r="N26" s="9" t="s">
        <v>365</v>
      </c>
      <c r="O26" s="8" t="s">
        <v>366</v>
      </c>
      <c r="P26" s="8" t="s">
        <v>114</v>
      </c>
      <c r="Q26" s="8"/>
      <c r="R26" s="9" t="s">
        <v>404</v>
      </c>
      <c r="S26" s="8"/>
      <c r="T26" s="8"/>
      <c r="U26" s="8"/>
      <c r="V26" s="8"/>
      <c r="W26" s="8" t="s">
        <v>405</v>
      </c>
      <c r="X26" s="8"/>
      <c r="Y26" s="8"/>
      <c r="Z26" s="8"/>
      <c r="AA26" s="8"/>
      <c r="AB26" s="8"/>
      <c r="AC26" s="8"/>
      <c r="AD26" s="8"/>
      <c r="AE26" s="8"/>
      <c r="AF26" s="8"/>
      <c r="AG26" s="8"/>
      <c r="AH26" s="8"/>
      <c r="AI26" s="8" t="n">
        <v>0</v>
      </c>
      <c r="AJ26" s="8" t="n">
        <v>0</v>
      </c>
      <c r="AK26" s="8" t="n">
        <v>0</v>
      </c>
      <c r="AL26" s="8" t="n">
        <v>0</v>
      </c>
      <c r="AM26" s="8" t="n">
        <v>0</v>
      </c>
      <c r="AN26" s="8" t="n">
        <v>0</v>
      </c>
      <c r="AO26" s="8" t="n">
        <v>0</v>
      </c>
      <c r="AP26" s="8" t="n">
        <v>0</v>
      </c>
      <c r="AQ26" s="8" t="n">
        <v>0</v>
      </c>
      <c r="AR26" s="8" t="n">
        <v>0</v>
      </c>
      <c r="AS26" s="8" t="n">
        <v>0</v>
      </c>
      <c r="AT26" s="8" t="n">
        <v>0</v>
      </c>
      <c r="AU26" s="8" t="n">
        <v>0</v>
      </c>
      <c r="AV26" s="8" t="n">
        <v>0</v>
      </c>
      <c r="AW26" s="8" t="n">
        <v>0</v>
      </c>
      <c r="AX26" s="8" t="n">
        <v>0</v>
      </c>
      <c r="AY26" s="8" t="n">
        <v>0</v>
      </c>
      <c r="AZ26" s="8" t="n">
        <v>0</v>
      </c>
      <c r="BA26" s="8" t="n">
        <v>0</v>
      </c>
      <c r="BB26" s="8" t="n">
        <v>0</v>
      </c>
      <c r="BC26" s="8" t="n">
        <v>144</v>
      </c>
      <c r="BD26" s="8" t="n">
        <v>4</v>
      </c>
      <c r="BE26" s="8" t="n">
        <v>1</v>
      </c>
      <c r="BF26" s="8" t="n">
        <v>0</v>
      </c>
      <c r="BG26" s="10" t="s">
        <v>380</v>
      </c>
      <c r="BH26" s="9" t="s">
        <v>406</v>
      </c>
    </row>
    <row r="27" customFormat="false" ht="15" hidden="false" customHeight="false" outlineLevel="0" collapsed="false">
      <c r="A27" s="8" t="s">
        <v>407</v>
      </c>
      <c r="B27" s="8" t="s">
        <v>408</v>
      </c>
      <c r="C27" s="8" t="n">
        <v>1</v>
      </c>
      <c r="D27" s="8" t="n">
        <v>1932</v>
      </c>
      <c r="E27" s="8" t="n">
        <v>1932</v>
      </c>
      <c r="F27" s="8" t="str">
        <f aca="false">IF(D27="","?",IF(D27&lt;1796,"pre-1796",IF(D27&lt;1912,"1796-1911",IF(D27&lt;1949,"1912-1948","1949+"))))</f>
        <v>1912-1948</v>
      </c>
      <c r="G27" s="8" t="str">
        <f aca="false">IF(D27="","?",IF(D27&lt;1912,"Qing",IF(D27&lt;1949,"Republic","PRC")))</f>
        <v>Republic</v>
      </c>
      <c r="H27" s="8" t="s">
        <v>409</v>
      </c>
      <c r="I27" s="9" t="s">
        <v>296</v>
      </c>
      <c r="J27" s="9" t="s">
        <v>297</v>
      </c>
      <c r="K27" s="8" t="s">
        <v>84</v>
      </c>
      <c r="L27" s="8"/>
      <c r="M27" s="9" t="s">
        <v>410</v>
      </c>
      <c r="N27" s="9" t="s">
        <v>411</v>
      </c>
      <c r="O27" s="8" t="s">
        <v>412</v>
      </c>
      <c r="P27" s="8" t="s">
        <v>97</v>
      </c>
      <c r="Q27" s="9" t="s">
        <v>413</v>
      </c>
      <c r="R27" s="9" t="s">
        <v>414</v>
      </c>
      <c r="S27" s="9" t="s">
        <v>415</v>
      </c>
      <c r="T27" s="8"/>
      <c r="U27" s="9" t="s">
        <v>416</v>
      </c>
      <c r="V27" s="9" t="s">
        <v>229</v>
      </c>
      <c r="W27" s="8"/>
      <c r="X27" s="8"/>
      <c r="Y27" s="9" t="s">
        <v>306</v>
      </c>
      <c r="Z27" s="9" t="s">
        <v>417</v>
      </c>
      <c r="AA27" s="8"/>
      <c r="AB27" s="9" t="s">
        <v>418</v>
      </c>
      <c r="AC27" s="8"/>
      <c r="AD27" s="8"/>
      <c r="AE27" s="8"/>
      <c r="AF27" s="8"/>
      <c r="AG27" s="8"/>
      <c r="AH27" s="8"/>
      <c r="AI27" s="8" t="n">
        <v>0</v>
      </c>
      <c r="AJ27" s="8" t="n">
        <v>0</v>
      </c>
      <c r="AK27" s="8" t="n">
        <v>0</v>
      </c>
      <c r="AL27" s="8" t="n">
        <v>1</v>
      </c>
      <c r="AM27" s="8" t="n">
        <v>1</v>
      </c>
      <c r="AN27" s="8" t="n">
        <v>1</v>
      </c>
      <c r="AO27" s="8" t="n">
        <v>0</v>
      </c>
      <c r="AP27" s="8" t="n">
        <v>0</v>
      </c>
      <c r="AQ27" s="8" t="n">
        <v>1</v>
      </c>
      <c r="AR27" s="8" t="n">
        <v>1</v>
      </c>
      <c r="AS27" s="8" t="n">
        <v>1</v>
      </c>
      <c r="AT27" s="8" t="n">
        <v>0</v>
      </c>
      <c r="AU27" s="8" t="n">
        <v>0</v>
      </c>
      <c r="AV27" s="8" t="n">
        <v>0</v>
      </c>
      <c r="AW27" s="8" t="n">
        <v>0</v>
      </c>
      <c r="AX27" s="8" t="n">
        <v>0</v>
      </c>
      <c r="AY27" s="8" t="n">
        <v>0</v>
      </c>
      <c r="AZ27" s="8" t="n">
        <v>0</v>
      </c>
      <c r="BA27" s="8" t="n">
        <v>0</v>
      </c>
      <c r="BB27" s="8" t="n">
        <v>0</v>
      </c>
      <c r="BC27" s="8" t="n">
        <v>244</v>
      </c>
      <c r="BD27" s="8" t="n">
        <v>1</v>
      </c>
      <c r="BE27" s="8" t="n">
        <v>0</v>
      </c>
      <c r="BF27" s="8" t="n">
        <v>0</v>
      </c>
      <c r="BG27" s="10" t="s">
        <v>419</v>
      </c>
      <c r="BH27" s="9" t="s">
        <v>420</v>
      </c>
    </row>
    <row r="28" customFormat="false" ht="15" hidden="false" customHeight="false" outlineLevel="0" collapsed="false">
      <c r="A28" s="8" t="s">
        <v>421</v>
      </c>
      <c r="B28" s="8" t="s">
        <v>408</v>
      </c>
      <c r="C28" s="8" t="n">
        <v>2</v>
      </c>
      <c r="D28" s="8" t="n">
        <v>1932</v>
      </c>
      <c r="E28" s="8" t="n">
        <v>1932</v>
      </c>
      <c r="F28" s="8" t="str">
        <f aca="false">IF(D28="","?",IF(D28&lt;1796,"pre-1796",IF(D28&lt;1912,"1796-1911",IF(D28&lt;1949,"1912-1948","1949+"))))</f>
        <v>1912-1948</v>
      </c>
      <c r="G28" s="8" t="str">
        <f aca="false">IF(D28="","?",IF(D28&lt;1912,"Qing",IF(D28&lt;1949,"Republic","PRC")))</f>
        <v>Republic</v>
      </c>
      <c r="H28" s="8" t="s">
        <v>409</v>
      </c>
      <c r="I28" s="9" t="s">
        <v>296</v>
      </c>
      <c r="J28" s="9" t="s">
        <v>297</v>
      </c>
      <c r="K28" s="8" t="s">
        <v>84</v>
      </c>
      <c r="L28" s="8"/>
      <c r="M28" s="9" t="s">
        <v>410</v>
      </c>
      <c r="N28" s="9" t="s">
        <v>411</v>
      </c>
      <c r="O28" s="8" t="s">
        <v>412</v>
      </c>
      <c r="P28" s="8" t="s">
        <v>114</v>
      </c>
      <c r="Q28" s="8"/>
      <c r="R28" s="8"/>
      <c r="S28" s="8"/>
      <c r="T28" s="8"/>
      <c r="U28" s="8"/>
      <c r="V28" s="9" t="s">
        <v>327</v>
      </c>
      <c r="W28" s="8"/>
      <c r="X28" s="8"/>
      <c r="Y28" s="8"/>
      <c r="Z28" s="8"/>
      <c r="AA28" s="8"/>
      <c r="AB28" s="8"/>
      <c r="AC28" s="8"/>
      <c r="AD28" s="8"/>
      <c r="AE28" s="9" t="s">
        <v>422</v>
      </c>
      <c r="AF28" s="8"/>
      <c r="AG28" s="8"/>
      <c r="AH28" s="8"/>
      <c r="AI28" s="8" t="n">
        <v>0</v>
      </c>
      <c r="AJ28" s="8" t="n">
        <v>0</v>
      </c>
      <c r="AK28" s="8" t="n">
        <v>0</v>
      </c>
      <c r="AL28" s="8" t="n">
        <v>0</v>
      </c>
      <c r="AM28" s="8" t="n">
        <v>0</v>
      </c>
      <c r="AN28" s="8" t="n">
        <v>0</v>
      </c>
      <c r="AO28" s="8" t="n">
        <v>0</v>
      </c>
      <c r="AP28" s="8" t="n">
        <v>0</v>
      </c>
      <c r="AQ28" s="8" t="n">
        <v>0</v>
      </c>
      <c r="AR28" s="8" t="n">
        <v>0</v>
      </c>
      <c r="AS28" s="8" t="n">
        <v>0</v>
      </c>
      <c r="AT28" s="8" t="n">
        <v>1</v>
      </c>
      <c r="AU28" s="8" t="n">
        <v>0</v>
      </c>
      <c r="AV28" s="8" t="n">
        <v>0</v>
      </c>
      <c r="AW28" s="8" t="n">
        <v>0</v>
      </c>
      <c r="AX28" s="8" t="n">
        <v>0</v>
      </c>
      <c r="AY28" s="8" t="n">
        <v>0</v>
      </c>
      <c r="AZ28" s="8" t="n">
        <v>0</v>
      </c>
      <c r="BA28" s="8" t="n">
        <v>1</v>
      </c>
      <c r="BB28" s="8" t="n">
        <v>0</v>
      </c>
      <c r="BC28" s="8" t="n">
        <v>297</v>
      </c>
      <c r="BD28" s="8" t="n">
        <v>0</v>
      </c>
      <c r="BE28" s="8" t="n">
        <v>0</v>
      </c>
      <c r="BF28" s="8" t="n">
        <v>0</v>
      </c>
      <c r="BG28" s="10" t="s">
        <v>419</v>
      </c>
      <c r="BH28" s="9" t="s">
        <v>423</v>
      </c>
    </row>
    <row r="29" customFormat="false" ht="15" hidden="false" customHeight="false" outlineLevel="0" collapsed="false">
      <c r="A29" s="8" t="s">
        <v>424</v>
      </c>
      <c r="B29" s="8" t="s">
        <v>425</v>
      </c>
      <c r="C29" s="8" t="n">
        <v>1</v>
      </c>
      <c r="D29" s="8"/>
      <c r="E29" s="8"/>
      <c r="F29" s="8" t="str">
        <f aca="false">IF(D29="","?",IF(D29&lt;1796,"pre-1796",IF(D29&lt;1912,"1796-1911",IF(D29&lt;1949,"1912-1948","1949+"))))</f>
        <v>?</v>
      </c>
      <c r="G29" s="8" t="str">
        <f aca="false">IF(D29="","?",IF(D29&lt;1912,"Qing",IF(D29&lt;1949,"Republic","PRC")))</f>
        <v>?</v>
      </c>
      <c r="H29" s="8"/>
      <c r="I29" s="8"/>
      <c r="J29" s="9" t="s">
        <v>426</v>
      </c>
      <c r="K29" s="8" t="s">
        <v>84</v>
      </c>
      <c r="L29" s="8"/>
      <c r="M29" s="8"/>
      <c r="N29" s="8"/>
      <c r="O29" s="8" t="s">
        <v>427</v>
      </c>
      <c r="P29" s="8" t="s">
        <v>114</v>
      </c>
      <c r="Q29" s="8"/>
      <c r="R29" s="9" t="s">
        <v>428</v>
      </c>
      <c r="S29" s="8"/>
      <c r="T29" s="8"/>
      <c r="U29" s="8"/>
      <c r="V29" s="8"/>
      <c r="W29" s="8"/>
      <c r="X29" s="8"/>
      <c r="Y29" s="8"/>
      <c r="Z29" s="8"/>
      <c r="AA29" s="8"/>
      <c r="AB29" s="8"/>
      <c r="AC29" s="8"/>
      <c r="AD29" s="8"/>
      <c r="AE29" s="8"/>
      <c r="AF29" s="9" t="s">
        <v>429</v>
      </c>
      <c r="AG29" s="8"/>
      <c r="AH29" s="9" t="s">
        <v>430</v>
      </c>
      <c r="AI29" s="8" t="n">
        <v>0</v>
      </c>
      <c r="AJ29" s="8" t="n">
        <v>0</v>
      </c>
      <c r="AK29" s="8" t="n">
        <v>0</v>
      </c>
      <c r="AL29" s="8" t="n">
        <v>0</v>
      </c>
      <c r="AM29" s="8" t="n">
        <v>0</v>
      </c>
      <c r="AN29" s="8" t="n">
        <v>0</v>
      </c>
      <c r="AO29" s="8" t="n">
        <v>0</v>
      </c>
      <c r="AP29" s="8" t="n">
        <v>0</v>
      </c>
      <c r="AQ29" s="8" t="n">
        <v>0</v>
      </c>
      <c r="AR29" s="8" t="n">
        <v>0</v>
      </c>
      <c r="AS29" s="8" t="n">
        <v>0</v>
      </c>
      <c r="AT29" s="8" t="n">
        <v>0</v>
      </c>
      <c r="AU29" s="8" t="n">
        <v>0</v>
      </c>
      <c r="AV29" s="8" t="n">
        <v>0</v>
      </c>
      <c r="AW29" s="8" t="n">
        <v>0</v>
      </c>
      <c r="AX29" s="8" t="n">
        <v>0</v>
      </c>
      <c r="AY29" s="8" t="n">
        <v>0</v>
      </c>
      <c r="AZ29" s="8" t="n">
        <v>0</v>
      </c>
      <c r="BA29" s="8" t="n">
        <v>0</v>
      </c>
      <c r="BB29" s="8" t="n">
        <v>0</v>
      </c>
      <c r="BC29" s="8" t="n">
        <v>96</v>
      </c>
      <c r="BD29" s="8" t="n">
        <v>0</v>
      </c>
      <c r="BE29" s="8" t="n">
        <v>0</v>
      </c>
      <c r="BF29" s="8" t="n">
        <v>0</v>
      </c>
      <c r="BG29" s="10" t="s">
        <v>431</v>
      </c>
      <c r="BH29" s="9" t="s">
        <v>432</v>
      </c>
    </row>
    <row r="30" customFormat="false" ht="15" hidden="false" customHeight="false" outlineLevel="0" collapsed="false">
      <c r="A30" s="8" t="s">
        <v>433</v>
      </c>
      <c r="B30" s="8" t="s">
        <v>434</v>
      </c>
      <c r="C30" s="8" t="n">
        <v>1</v>
      </c>
      <c r="D30" s="8" t="n">
        <v>1925</v>
      </c>
      <c r="E30" s="8" t="n">
        <v>1925</v>
      </c>
      <c r="F30" s="8" t="str">
        <f aca="false">IF(D30="","?",IF(D30&lt;1796,"pre-1796",IF(D30&lt;1912,"1796-1911",IF(D30&lt;1949,"1912-1948","1949+"))))</f>
        <v>1912-1948</v>
      </c>
      <c r="G30" s="8" t="str">
        <f aca="false">IF(D30="","?",IF(D30&lt;1912,"Qing",IF(D30&lt;1949,"Republic","PRC")))</f>
        <v>Republic</v>
      </c>
      <c r="H30" s="8" t="s">
        <v>435</v>
      </c>
      <c r="I30" s="9" t="s">
        <v>128</v>
      </c>
      <c r="J30" s="9" t="s">
        <v>223</v>
      </c>
      <c r="K30" s="8" t="s">
        <v>84</v>
      </c>
      <c r="L30" s="8"/>
      <c r="M30" s="9" t="s">
        <v>436</v>
      </c>
      <c r="N30" s="9" t="s">
        <v>437</v>
      </c>
      <c r="O30" s="8" t="s">
        <v>438</v>
      </c>
      <c r="P30" s="8" t="s">
        <v>133</v>
      </c>
      <c r="Q30" s="9" t="s">
        <v>439</v>
      </c>
      <c r="R30" s="8"/>
      <c r="S30" s="9" t="s">
        <v>436</v>
      </c>
      <c r="T30" s="9" t="s">
        <v>437</v>
      </c>
      <c r="U30" s="9" t="s">
        <v>440</v>
      </c>
      <c r="V30" s="8"/>
      <c r="W30" s="8"/>
      <c r="X30" s="8"/>
      <c r="Y30" s="9" t="s">
        <v>214</v>
      </c>
      <c r="Z30" s="8"/>
      <c r="AA30" s="8"/>
      <c r="AB30" s="8"/>
      <c r="AC30" s="8"/>
      <c r="AD30" s="8"/>
      <c r="AE30" s="8"/>
      <c r="AF30" s="8"/>
      <c r="AG30" s="8"/>
      <c r="AH30" s="8"/>
      <c r="AI30" s="8" t="n">
        <v>1</v>
      </c>
      <c r="AJ30" s="8" t="n">
        <v>0</v>
      </c>
      <c r="AK30" s="8" t="n">
        <v>1</v>
      </c>
      <c r="AL30" s="8" t="n">
        <v>1</v>
      </c>
      <c r="AM30" s="8" t="n">
        <v>1</v>
      </c>
      <c r="AN30" s="8" t="n">
        <v>1</v>
      </c>
      <c r="AO30" s="8" t="n">
        <v>0</v>
      </c>
      <c r="AP30" s="8" t="n">
        <v>0</v>
      </c>
      <c r="AQ30" s="8" t="n">
        <v>1</v>
      </c>
      <c r="AR30" s="8" t="n">
        <v>1</v>
      </c>
      <c r="AS30" s="8" t="n">
        <v>1</v>
      </c>
      <c r="AT30" s="8" t="n">
        <v>0</v>
      </c>
      <c r="AU30" s="8" t="n">
        <v>0</v>
      </c>
      <c r="AV30" s="8" t="n">
        <v>0</v>
      </c>
      <c r="AW30" s="8" t="n">
        <v>0</v>
      </c>
      <c r="AX30" s="8" t="n">
        <v>0</v>
      </c>
      <c r="AY30" s="8" t="n">
        <v>0</v>
      </c>
      <c r="AZ30" s="8" t="n">
        <v>0</v>
      </c>
      <c r="BA30" s="8" t="n">
        <v>0</v>
      </c>
      <c r="BB30" s="8" t="n">
        <v>0</v>
      </c>
      <c r="BC30" s="8" t="n">
        <v>317</v>
      </c>
      <c r="BD30" s="8" t="n">
        <v>0</v>
      </c>
      <c r="BE30" s="8" t="n">
        <v>0</v>
      </c>
      <c r="BF30" s="8" t="n">
        <v>0</v>
      </c>
      <c r="BG30" s="10" t="s">
        <v>441</v>
      </c>
      <c r="BH30" s="9" t="s">
        <v>442</v>
      </c>
    </row>
    <row r="31" customFormat="false" ht="15" hidden="false" customHeight="false" outlineLevel="0" collapsed="false">
      <c r="A31" s="8" t="s">
        <v>443</v>
      </c>
      <c r="B31" s="8" t="s">
        <v>434</v>
      </c>
      <c r="C31" s="8" t="n">
        <v>2</v>
      </c>
      <c r="D31" s="8" t="n">
        <v>1925</v>
      </c>
      <c r="E31" s="8" t="n">
        <v>1925</v>
      </c>
      <c r="F31" s="8" t="str">
        <f aca="false">IF(D31="","?",IF(D31&lt;1796,"pre-1796",IF(D31&lt;1912,"1796-1911",IF(D31&lt;1949,"1912-1948","1949+"))))</f>
        <v>1912-1948</v>
      </c>
      <c r="G31" s="8" t="str">
        <f aca="false">IF(D31="","?",IF(D31&lt;1912,"Qing",IF(D31&lt;1949,"Republic","PRC")))</f>
        <v>Republic</v>
      </c>
      <c r="H31" s="8" t="s">
        <v>435</v>
      </c>
      <c r="I31" s="9" t="s">
        <v>128</v>
      </c>
      <c r="J31" s="9" t="s">
        <v>223</v>
      </c>
      <c r="K31" s="8" t="s">
        <v>84</v>
      </c>
      <c r="L31" s="8"/>
      <c r="M31" s="9" t="s">
        <v>436</v>
      </c>
      <c r="N31" s="9" t="s">
        <v>437</v>
      </c>
      <c r="O31" s="8" t="s">
        <v>438</v>
      </c>
      <c r="P31" s="8" t="s">
        <v>114</v>
      </c>
      <c r="Q31" s="9" t="s">
        <v>98</v>
      </c>
      <c r="R31" s="9" t="s">
        <v>444</v>
      </c>
      <c r="S31" s="8"/>
      <c r="T31" s="8"/>
      <c r="U31" s="8"/>
      <c r="V31" s="8"/>
      <c r="W31" s="8"/>
      <c r="X31" s="8"/>
      <c r="Y31" s="8"/>
      <c r="Z31" s="8"/>
      <c r="AA31" s="8"/>
      <c r="AB31" s="8"/>
      <c r="AC31" s="8"/>
      <c r="AD31" s="8"/>
      <c r="AE31" s="9" t="s">
        <v>445</v>
      </c>
      <c r="AF31" s="8"/>
      <c r="AG31" s="8"/>
      <c r="AH31" s="8"/>
      <c r="AI31" s="8" t="n">
        <v>0</v>
      </c>
      <c r="AJ31" s="8" t="n">
        <v>0</v>
      </c>
      <c r="AK31" s="8" t="n">
        <v>0</v>
      </c>
      <c r="AL31" s="8" t="n">
        <v>0</v>
      </c>
      <c r="AM31" s="8" t="n">
        <v>0</v>
      </c>
      <c r="AN31" s="8" t="n">
        <v>0</v>
      </c>
      <c r="AO31" s="8" t="n">
        <v>0</v>
      </c>
      <c r="AP31" s="8" t="n">
        <v>0</v>
      </c>
      <c r="AQ31" s="8" t="n">
        <v>0</v>
      </c>
      <c r="AR31" s="8" t="n">
        <v>0</v>
      </c>
      <c r="AS31" s="8" t="n">
        <v>0</v>
      </c>
      <c r="AT31" s="8" t="n">
        <v>0</v>
      </c>
      <c r="AU31" s="8" t="n">
        <v>0</v>
      </c>
      <c r="AV31" s="8" t="n">
        <v>0</v>
      </c>
      <c r="AW31" s="8" t="n">
        <v>0</v>
      </c>
      <c r="AX31" s="8" t="n">
        <v>0</v>
      </c>
      <c r="AY31" s="8" t="n">
        <v>0</v>
      </c>
      <c r="AZ31" s="8" t="n">
        <v>0</v>
      </c>
      <c r="BA31" s="8" t="n">
        <v>0</v>
      </c>
      <c r="BB31" s="8" t="n">
        <v>0</v>
      </c>
      <c r="BC31" s="8" t="n">
        <v>50</v>
      </c>
      <c r="BD31" s="8" t="n">
        <v>0</v>
      </c>
      <c r="BE31" s="8" t="n">
        <v>0</v>
      </c>
      <c r="BF31" s="8" t="n">
        <v>0</v>
      </c>
      <c r="BG31" s="10" t="s">
        <v>441</v>
      </c>
      <c r="BH31" s="9" t="s">
        <v>446</v>
      </c>
    </row>
    <row r="32" customFormat="false" ht="15" hidden="false" customHeight="false" outlineLevel="0" collapsed="false">
      <c r="A32" s="8" t="s">
        <v>447</v>
      </c>
      <c r="B32" s="8" t="s">
        <v>448</v>
      </c>
      <c r="C32" s="8" t="n">
        <v>1</v>
      </c>
      <c r="D32" s="8" t="n">
        <v>1898</v>
      </c>
      <c r="E32" s="8" t="n">
        <v>1898</v>
      </c>
      <c r="F32" s="8" t="str">
        <f aca="false">IF(D32="","?",IF(D32&lt;1796,"pre-1796",IF(D32&lt;1912,"1796-1911",IF(D32&lt;1949,"1912-1948","1949+"))))</f>
        <v>1796-1911</v>
      </c>
      <c r="G32" s="8" t="str">
        <f aca="false">IF(D32="","?",IF(D32&lt;1912,"Qing",IF(D32&lt;1949,"Republic","PRC")))</f>
        <v>Qing</v>
      </c>
      <c r="H32" s="8" t="s">
        <v>449</v>
      </c>
      <c r="I32" s="8"/>
      <c r="J32" s="8"/>
      <c r="K32" s="8" t="s">
        <v>130</v>
      </c>
      <c r="L32" s="8"/>
      <c r="M32" s="9" t="s">
        <v>450</v>
      </c>
      <c r="N32" s="9" t="s">
        <v>451</v>
      </c>
      <c r="O32" s="8" t="s">
        <v>452</v>
      </c>
      <c r="P32" s="8" t="s">
        <v>133</v>
      </c>
      <c r="Q32" s="9" t="s">
        <v>453</v>
      </c>
      <c r="R32" s="9" t="s">
        <v>454</v>
      </c>
      <c r="S32" s="9" t="s">
        <v>450</v>
      </c>
      <c r="T32" s="8"/>
      <c r="U32" s="9" t="s">
        <v>455</v>
      </c>
      <c r="V32" s="9" t="s">
        <v>456</v>
      </c>
      <c r="W32" s="9" t="s">
        <v>457</v>
      </c>
      <c r="X32" s="8"/>
      <c r="Y32" s="9" t="s">
        <v>458</v>
      </c>
      <c r="Z32" s="9" t="s">
        <v>459</v>
      </c>
      <c r="AA32" s="9" t="s">
        <v>460</v>
      </c>
      <c r="AB32" s="8"/>
      <c r="AC32" s="8"/>
      <c r="AD32" s="8"/>
      <c r="AE32" s="8"/>
      <c r="AF32" s="8"/>
      <c r="AG32" s="8"/>
      <c r="AH32" s="8"/>
      <c r="AI32" s="8" t="n">
        <v>0</v>
      </c>
      <c r="AJ32" s="8" t="n">
        <v>1</v>
      </c>
      <c r="AK32" s="8" t="n">
        <v>0</v>
      </c>
      <c r="AL32" s="8" t="n">
        <v>1</v>
      </c>
      <c r="AM32" s="8" t="n">
        <v>0</v>
      </c>
      <c r="AN32" s="8" t="n">
        <v>0</v>
      </c>
      <c r="AO32" s="8" t="n">
        <v>0</v>
      </c>
      <c r="AP32" s="8" t="n">
        <v>1</v>
      </c>
      <c r="AQ32" s="8" t="n">
        <v>0</v>
      </c>
      <c r="AR32" s="8" t="n">
        <v>0</v>
      </c>
      <c r="AS32" s="8" t="n">
        <v>1</v>
      </c>
      <c r="AT32" s="8" t="n">
        <v>0</v>
      </c>
      <c r="AU32" s="8" t="n">
        <v>0</v>
      </c>
      <c r="AV32" s="8" t="n">
        <v>0</v>
      </c>
      <c r="AW32" s="8" t="n">
        <v>0</v>
      </c>
      <c r="AX32" s="8" t="n">
        <v>0</v>
      </c>
      <c r="AY32" s="8" t="n">
        <v>0</v>
      </c>
      <c r="AZ32" s="8" t="n">
        <v>0</v>
      </c>
      <c r="BA32" s="8" t="n">
        <v>0</v>
      </c>
      <c r="BB32" s="8" t="n">
        <v>0</v>
      </c>
      <c r="BC32" s="8" t="n">
        <v>383</v>
      </c>
      <c r="BD32" s="8" t="n">
        <v>0</v>
      </c>
      <c r="BE32" s="8" t="n">
        <v>0</v>
      </c>
      <c r="BF32" s="8" t="n">
        <v>0</v>
      </c>
      <c r="BG32" s="10" t="s">
        <v>461</v>
      </c>
      <c r="BH32" s="9" t="s">
        <v>462</v>
      </c>
    </row>
    <row r="33" customFormat="false" ht="15" hidden="false" customHeight="false" outlineLevel="0" collapsed="false">
      <c r="A33" s="8" t="s">
        <v>463</v>
      </c>
      <c r="B33" s="8" t="s">
        <v>464</v>
      </c>
      <c r="C33" s="8" t="n">
        <v>1</v>
      </c>
      <c r="D33" s="8" t="n">
        <v>1945</v>
      </c>
      <c r="E33" s="8" t="n">
        <v>1945</v>
      </c>
      <c r="F33" s="8" t="str">
        <f aca="false">IF(D33="","?",IF(D33&lt;1796,"pre-1796",IF(D33&lt;1912,"1796-1911",IF(D33&lt;1949,"1912-1948","1949+"))))</f>
        <v>1912-1948</v>
      </c>
      <c r="G33" s="8" t="str">
        <f aca="false">IF(D33="","?",IF(D33&lt;1912,"Qing",IF(D33&lt;1949,"Republic","PRC")))</f>
        <v>Republic</v>
      </c>
      <c r="H33" s="8" t="s">
        <v>465</v>
      </c>
      <c r="I33" s="9" t="s">
        <v>466</v>
      </c>
      <c r="J33" s="9" t="s">
        <v>467</v>
      </c>
      <c r="K33" s="8" t="s">
        <v>84</v>
      </c>
      <c r="L33" s="9" t="s">
        <v>468</v>
      </c>
      <c r="M33" s="8"/>
      <c r="N33" s="8"/>
      <c r="O33" s="8" t="s">
        <v>469</v>
      </c>
      <c r="P33" s="8" t="s">
        <v>87</v>
      </c>
      <c r="Q33" s="8"/>
      <c r="R33" s="8"/>
      <c r="S33" s="8"/>
      <c r="T33" s="8"/>
      <c r="U33" s="8"/>
      <c r="V33" s="8"/>
      <c r="W33" s="8"/>
      <c r="X33" s="8"/>
      <c r="Y33" s="8"/>
      <c r="Z33" s="8"/>
      <c r="AA33" s="8"/>
      <c r="AB33" s="8"/>
      <c r="AC33" s="8"/>
      <c r="AD33" s="8"/>
      <c r="AE33" s="9" t="s">
        <v>470</v>
      </c>
      <c r="AF33" s="8"/>
      <c r="AG33" s="8"/>
      <c r="AH33" s="8"/>
      <c r="AI33" s="8" t="n">
        <v>0</v>
      </c>
      <c r="AJ33" s="8" t="n">
        <v>0</v>
      </c>
      <c r="AK33" s="8" t="n">
        <v>0</v>
      </c>
      <c r="AL33" s="8" t="n">
        <v>0</v>
      </c>
      <c r="AM33" s="8" t="n">
        <v>0</v>
      </c>
      <c r="AN33" s="8" t="n">
        <v>0</v>
      </c>
      <c r="AO33" s="8" t="n">
        <v>0</v>
      </c>
      <c r="AP33" s="8" t="n">
        <v>0</v>
      </c>
      <c r="AQ33" s="8" t="n">
        <v>0</v>
      </c>
      <c r="AR33" s="8" t="n">
        <v>0</v>
      </c>
      <c r="AS33" s="8" t="n">
        <v>0</v>
      </c>
      <c r="AT33" s="8" t="n">
        <v>0</v>
      </c>
      <c r="AU33" s="8" t="n">
        <v>0</v>
      </c>
      <c r="AV33" s="8" t="n">
        <v>0</v>
      </c>
      <c r="AW33" s="8" t="n">
        <v>0</v>
      </c>
      <c r="AX33" s="8" t="n">
        <v>0</v>
      </c>
      <c r="AY33" s="8" t="n">
        <v>0</v>
      </c>
      <c r="AZ33" s="8" t="n">
        <v>0</v>
      </c>
      <c r="BA33" s="8" t="n">
        <v>0</v>
      </c>
      <c r="BB33" s="8" t="n">
        <v>0</v>
      </c>
      <c r="BC33" s="8" t="n">
        <v>140</v>
      </c>
      <c r="BD33" s="8" t="n">
        <v>0</v>
      </c>
      <c r="BE33" s="8" t="n">
        <v>0</v>
      </c>
      <c r="BF33" s="8" t="n">
        <v>0</v>
      </c>
      <c r="BG33" s="10" t="s">
        <v>471</v>
      </c>
      <c r="BH33" s="9" t="s">
        <v>472</v>
      </c>
    </row>
    <row r="34" customFormat="false" ht="15" hidden="false" customHeight="false" outlineLevel="0" collapsed="false">
      <c r="A34" s="8" t="s">
        <v>473</v>
      </c>
      <c r="B34" s="8" t="s">
        <v>464</v>
      </c>
      <c r="C34" s="8" t="n">
        <v>2</v>
      </c>
      <c r="D34" s="8" t="n">
        <v>1945</v>
      </c>
      <c r="E34" s="8" t="n">
        <v>1945</v>
      </c>
      <c r="F34" s="8" t="str">
        <f aca="false">IF(D34="","?",IF(D34&lt;1796,"pre-1796",IF(D34&lt;1912,"1796-1911",IF(D34&lt;1949,"1912-1948","1949+"))))</f>
        <v>1912-1948</v>
      </c>
      <c r="G34" s="8" t="str">
        <f aca="false">IF(D34="","?",IF(D34&lt;1912,"Qing",IF(D34&lt;1949,"Republic","PRC")))</f>
        <v>Republic</v>
      </c>
      <c r="H34" s="8" t="s">
        <v>465</v>
      </c>
      <c r="I34" s="9" t="s">
        <v>466</v>
      </c>
      <c r="J34" s="9" t="s">
        <v>467</v>
      </c>
      <c r="K34" s="8" t="s">
        <v>84</v>
      </c>
      <c r="L34" s="9" t="s">
        <v>468</v>
      </c>
      <c r="M34" s="8"/>
      <c r="N34" s="8"/>
      <c r="O34" s="8" t="s">
        <v>469</v>
      </c>
      <c r="P34" s="8" t="s">
        <v>114</v>
      </c>
      <c r="Q34" s="8"/>
      <c r="R34" s="8"/>
      <c r="S34" s="8"/>
      <c r="T34" s="8"/>
      <c r="U34" s="8"/>
      <c r="V34" s="8"/>
      <c r="W34" s="8"/>
      <c r="X34" s="8"/>
      <c r="Y34" s="8"/>
      <c r="Z34" s="8"/>
      <c r="AA34" s="8"/>
      <c r="AB34" s="8"/>
      <c r="AC34" s="8"/>
      <c r="AD34" s="8"/>
      <c r="AE34" s="8"/>
      <c r="AF34" s="8"/>
      <c r="AG34" s="8"/>
      <c r="AH34" s="8"/>
      <c r="AI34" s="8" t="n">
        <v>0</v>
      </c>
      <c r="AJ34" s="8" t="n">
        <v>0</v>
      </c>
      <c r="AK34" s="8" t="n">
        <v>0</v>
      </c>
      <c r="AL34" s="8" t="n">
        <v>0</v>
      </c>
      <c r="AM34" s="8" t="n">
        <v>0</v>
      </c>
      <c r="AN34" s="8" t="n">
        <v>0</v>
      </c>
      <c r="AO34" s="8" t="n">
        <v>0</v>
      </c>
      <c r="AP34" s="8" t="n">
        <v>0</v>
      </c>
      <c r="AQ34" s="8" t="n">
        <v>0</v>
      </c>
      <c r="AR34" s="8" t="n">
        <v>0</v>
      </c>
      <c r="AS34" s="8" t="n">
        <v>0</v>
      </c>
      <c r="AT34" s="8" t="n">
        <v>0</v>
      </c>
      <c r="AU34" s="8" t="n">
        <v>0</v>
      </c>
      <c r="AV34" s="8" t="n">
        <v>0</v>
      </c>
      <c r="AW34" s="8" t="n">
        <v>0</v>
      </c>
      <c r="AX34" s="8" t="n">
        <v>0</v>
      </c>
      <c r="AY34" s="8" t="n">
        <v>0</v>
      </c>
      <c r="AZ34" s="8" t="n">
        <v>0</v>
      </c>
      <c r="BA34" s="8" t="n">
        <v>0</v>
      </c>
      <c r="BB34" s="8" t="n">
        <v>0</v>
      </c>
      <c r="BC34" s="8" t="n">
        <v>9</v>
      </c>
      <c r="BD34" s="8" t="n">
        <v>0</v>
      </c>
      <c r="BE34" s="8" t="n">
        <v>0</v>
      </c>
      <c r="BF34" s="8" t="n">
        <v>0</v>
      </c>
      <c r="BG34" s="10" t="s">
        <v>471</v>
      </c>
      <c r="BH34" s="9" t="s">
        <v>474</v>
      </c>
    </row>
    <row r="35" customFormat="false" ht="15" hidden="false" customHeight="false" outlineLevel="0" collapsed="false">
      <c r="A35" s="8" t="s">
        <v>475</v>
      </c>
      <c r="B35" s="8" t="s">
        <v>464</v>
      </c>
      <c r="C35" s="8" t="n">
        <v>3</v>
      </c>
      <c r="D35" s="8" t="n">
        <v>1945</v>
      </c>
      <c r="E35" s="8" t="n">
        <v>1945</v>
      </c>
      <c r="F35" s="8" t="str">
        <f aca="false">IF(D35="","?",IF(D35&lt;1796,"pre-1796",IF(D35&lt;1912,"1796-1911",IF(D35&lt;1949,"1912-1948","1949+"))))</f>
        <v>1912-1948</v>
      </c>
      <c r="G35" s="8" t="str">
        <f aca="false">IF(D35="","?",IF(D35&lt;1912,"Qing",IF(D35&lt;1949,"Republic","PRC")))</f>
        <v>Republic</v>
      </c>
      <c r="H35" s="8" t="s">
        <v>465</v>
      </c>
      <c r="I35" s="9" t="s">
        <v>466</v>
      </c>
      <c r="J35" s="9" t="s">
        <v>467</v>
      </c>
      <c r="K35" s="8" t="s">
        <v>84</v>
      </c>
      <c r="L35" s="9" t="s">
        <v>468</v>
      </c>
      <c r="M35" s="8"/>
      <c r="N35" s="8"/>
      <c r="O35" s="8" t="s">
        <v>469</v>
      </c>
      <c r="P35" s="8" t="s">
        <v>114</v>
      </c>
      <c r="Q35" s="8"/>
      <c r="R35" s="9" t="s">
        <v>476</v>
      </c>
      <c r="S35" s="8"/>
      <c r="T35" s="8"/>
      <c r="U35" s="8"/>
      <c r="V35" s="8"/>
      <c r="W35" s="8"/>
      <c r="X35" s="8"/>
      <c r="Y35" s="9" t="s">
        <v>477</v>
      </c>
      <c r="Z35" s="8"/>
      <c r="AA35" s="8"/>
      <c r="AB35" s="8"/>
      <c r="AC35" s="8"/>
      <c r="AD35" s="8"/>
      <c r="AE35" s="9" t="s">
        <v>478</v>
      </c>
      <c r="AF35" s="9" t="s">
        <v>479</v>
      </c>
      <c r="AG35" s="9" t="s">
        <v>468</v>
      </c>
      <c r="AH35" s="9" t="s">
        <v>480</v>
      </c>
      <c r="AI35" s="8" t="n">
        <v>0</v>
      </c>
      <c r="AJ35" s="8" t="n">
        <v>0</v>
      </c>
      <c r="AK35" s="8" t="n">
        <v>0</v>
      </c>
      <c r="AL35" s="8" t="n">
        <v>0</v>
      </c>
      <c r="AM35" s="8" t="n">
        <v>0</v>
      </c>
      <c r="AN35" s="8" t="n">
        <v>0</v>
      </c>
      <c r="AO35" s="8" t="n">
        <v>0</v>
      </c>
      <c r="AP35" s="8" t="n">
        <v>0</v>
      </c>
      <c r="AQ35" s="8" t="n">
        <v>0</v>
      </c>
      <c r="AR35" s="8" t="n">
        <v>0</v>
      </c>
      <c r="AS35" s="8" t="n">
        <v>0</v>
      </c>
      <c r="AT35" s="8" t="n">
        <v>0</v>
      </c>
      <c r="AU35" s="8" t="n">
        <v>0</v>
      </c>
      <c r="AV35" s="8" t="n">
        <v>0</v>
      </c>
      <c r="AW35" s="8" t="n">
        <v>1</v>
      </c>
      <c r="AX35" s="8" t="n">
        <v>1</v>
      </c>
      <c r="AY35" s="8" t="n">
        <v>1</v>
      </c>
      <c r="AZ35" s="8" t="n">
        <v>1</v>
      </c>
      <c r="BA35" s="8" t="n">
        <v>0</v>
      </c>
      <c r="BB35" s="8" t="n">
        <v>0</v>
      </c>
      <c r="BC35" s="8" t="n">
        <v>294</v>
      </c>
      <c r="BD35" s="8" t="n">
        <v>0</v>
      </c>
      <c r="BE35" s="8" t="n">
        <v>0</v>
      </c>
      <c r="BF35" s="8" t="n">
        <v>0</v>
      </c>
      <c r="BG35" s="10" t="s">
        <v>471</v>
      </c>
      <c r="BH35" s="9" t="s">
        <v>481</v>
      </c>
    </row>
    <row r="36" customFormat="false" ht="15" hidden="false" customHeight="false" outlineLevel="0" collapsed="false">
      <c r="A36" s="8" t="s">
        <v>482</v>
      </c>
      <c r="B36" s="8" t="s">
        <v>483</v>
      </c>
      <c r="C36" s="8" t="n">
        <v>1</v>
      </c>
      <c r="D36" s="8" t="n">
        <v>1891</v>
      </c>
      <c r="E36" s="8" t="n">
        <v>1891</v>
      </c>
      <c r="F36" s="8" t="str">
        <f aca="false">IF(D36="","?",IF(D36&lt;1796,"pre-1796",IF(D36&lt;1912,"1796-1911",IF(D36&lt;1949,"1912-1948","1949+"))))</f>
        <v>1796-1911</v>
      </c>
      <c r="G36" s="8" t="str">
        <f aca="false">IF(D36="","?",IF(D36&lt;1912,"Qing",IF(D36&lt;1949,"Republic","PRC")))</f>
        <v>Qing</v>
      </c>
      <c r="H36" s="8" t="s">
        <v>484</v>
      </c>
      <c r="I36" s="8"/>
      <c r="J36" s="8"/>
      <c r="K36" s="8" t="s">
        <v>130</v>
      </c>
      <c r="L36" s="9" t="s">
        <v>485</v>
      </c>
      <c r="M36" s="8"/>
      <c r="N36" s="8"/>
      <c r="O36" s="8" t="s">
        <v>486</v>
      </c>
      <c r="P36" s="8" t="s">
        <v>87</v>
      </c>
      <c r="Q36" s="9" t="s">
        <v>487</v>
      </c>
      <c r="R36" s="8"/>
      <c r="S36" s="9" t="s">
        <v>488</v>
      </c>
      <c r="T36" s="8"/>
      <c r="U36" s="8"/>
      <c r="V36" s="8"/>
      <c r="W36" s="8"/>
      <c r="X36" s="8"/>
      <c r="Y36" s="9" t="s">
        <v>489</v>
      </c>
      <c r="Z36" s="8"/>
      <c r="AA36" s="8"/>
      <c r="AB36" s="8"/>
      <c r="AC36" s="8"/>
      <c r="AD36" s="8"/>
      <c r="AE36" s="8"/>
      <c r="AF36" s="8"/>
      <c r="AG36" s="8"/>
      <c r="AH36" s="8"/>
      <c r="AI36" s="8" t="n">
        <v>0</v>
      </c>
      <c r="AJ36" s="8" t="n">
        <v>0</v>
      </c>
      <c r="AK36" s="8" t="n">
        <v>0</v>
      </c>
      <c r="AL36" s="8" t="n">
        <v>0</v>
      </c>
      <c r="AM36" s="8" t="n">
        <v>0</v>
      </c>
      <c r="AN36" s="8" t="n">
        <v>0</v>
      </c>
      <c r="AO36" s="8" t="n">
        <v>0</v>
      </c>
      <c r="AP36" s="8" t="n">
        <v>0</v>
      </c>
      <c r="AQ36" s="8" t="n">
        <v>0</v>
      </c>
      <c r="AR36" s="8" t="n">
        <v>0</v>
      </c>
      <c r="AS36" s="8" t="n">
        <v>0</v>
      </c>
      <c r="AT36" s="8" t="n">
        <v>0</v>
      </c>
      <c r="AU36" s="8" t="n">
        <v>0</v>
      </c>
      <c r="AV36" s="8" t="n">
        <v>0</v>
      </c>
      <c r="AW36" s="8" t="n">
        <v>0</v>
      </c>
      <c r="AX36" s="8" t="n">
        <v>0</v>
      </c>
      <c r="AY36" s="8" t="n">
        <v>0</v>
      </c>
      <c r="AZ36" s="8" t="n">
        <v>0</v>
      </c>
      <c r="BA36" s="8" t="n">
        <v>0</v>
      </c>
      <c r="BB36" s="8" t="n">
        <v>0</v>
      </c>
      <c r="BC36" s="8" t="n">
        <v>283</v>
      </c>
      <c r="BD36" s="8" t="n">
        <v>0</v>
      </c>
      <c r="BE36" s="8" t="n">
        <v>0</v>
      </c>
      <c r="BF36" s="8" t="n">
        <v>0</v>
      </c>
      <c r="BG36" s="10" t="s">
        <v>490</v>
      </c>
      <c r="BH36" s="9" t="s">
        <v>491</v>
      </c>
    </row>
    <row r="37" customFormat="false" ht="15" hidden="false" customHeight="false" outlineLevel="0" collapsed="false">
      <c r="A37" s="8" t="s">
        <v>492</v>
      </c>
      <c r="B37" s="8" t="s">
        <v>483</v>
      </c>
      <c r="C37" s="8" t="n">
        <v>2</v>
      </c>
      <c r="D37" s="8" t="n">
        <v>1891</v>
      </c>
      <c r="E37" s="8" t="n">
        <v>1891</v>
      </c>
      <c r="F37" s="8" t="str">
        <f aca="false">IF(D37="","?",IF(D37&lt;1796,"pre-1796",IF(D37&lt;1912,"1796-1911",IF(D37&lt;1949,"1912-1948","1949+"))))</f>
        <v>1796-1911</v>
      </c>
      <c r="G37" s="8" t="str">
        <f aca="false">IF(D37="","?",IF(D37&lt;1912,"Qing",IF(D37&lt;1949,"Republic","PRC")))</f>
        <v>Qing</v>
      </c>
      <c r="H37" s="8" t="s">
        <v>484</v>
      </c>
      <c r="I37" s="8"/>
      <c r="J37" s="8"/>
      <c r="K37" s="8" t="s">
        <v>130</v>
      </c>
      <c r="L37" s="9" t="s">
        <v>485</v>
      </c>
      <c r="M37" s="8"/>
      <c r="N37" s="8"/>
      <c r="O37" s="8" t="s">
        <v>486</v>
      </c>
      <c r="P37" s="8" t="s">
        <v>87</v>
      </c>
      <c r="Q37" s="8"/>
      <c r="R37" s="8"/>
      <c r="S37" s="8"/>
      <c r="T37" s="8"/>
      <c r="U37" s="9" t="s">
        <v>493</v>
      </c>
      <c r="V37" s="8"/>
      <c r="W37" s="8"/>
      <c r="X37" s="8"/>
      <c r="Y37" s="9" t="s">
        <v>198</v>
      </c>
      <c r="Z37" s="8"/>
      <c r="AA37" s="8"/>
      <c r="AB37" s="8"/>
      <c r="AC37" s="8"/>
      <c r="AD37" s="8"/>
      <c r="AE37" s="8"/>
      <c r="AF37" s="8"/>
      <c r="AG37" s="8"/>
      <c r="AH37" s="8"/>
      <c r="AI37" s="8" t="n">
        <v>0</v>
      </c>
      <c r="AJ37" s="8" t="n">
        <v>0</v>
      </c>
      <c r="AK37" s="8" t="n">
        <v>0</v>
      </c>
      <c r="AL37" s="8" t="n">
        <v>0</v>
      </c>
      <c r="AM37" s="8" t="n">
        <v>0</v>
      </c>
      <c r="AN37" s="8" t="n">
        <v>0</v>
      </c>
      <c r="AO37" s="8" t="n">
        <v>0</v>
      </c>
      <c r="AP37" s="8" t="n">
        <v>0</v>
      </c>
      <c r="AQ37" s="8" t="n">
        <v>0</v>
      </c>
      <c r="AR37" s="8" t="n">
        <v>0</v>
      </c>
      <c r="AS37" s="8" t="n">
        <v>0</v>
      </c>
      <c r="AT37" s="8" t="n">
        <v>0</v>
      </c>
      <c r="AU37" s="8" t="n">
        <v>0</v>
      </c>
      <c r="AV37" s="8" t="n">
        <v>0</v>
      </c>
      <c r="AW37" s="8" t="n">
        <v>0</v>
      </c>
      <c r="AX37" s="8" t="n">
        <v>0</v>
      </c>
      <c r="AY37" s="8" t="n">
        <v>0</v>
      </c>
      <c r="AZ37" s="8" t="n">
        <v>0</v>
      </c>
      <c r="BA37" s="8" t="n">
        <v>0</v>
      </c>
      <c r="BB37" s="8" t="n">
        <v>0</v>
      </c>
      <c r="BC37" s="8" t="n">
        <v>167</v>
      </c>
      <c r="BD37" s="8" t="n">
        <v>2</v>
      </c>
      <c r="BE37" s="8" t="n">
        <v>0</v>
      </c>
      <c r="BF37" s="8" t="n">
        <v>0</v>
      </c>
      <c r="BG37" s="10" t="s">
        <v>490</v>
      </c>
      <c r="BH37" s="9" t="s">
        <v>494</v>
      </c>
    </row>
    <row r="38" customFormat="false" ht="15" hidden="false" customHeight="false" outlineLevel="0" collapsed="false">
      <c r="A38" s="8" t="s">
        <v>495</v>
      </c>
      <c r="B38" s="8" t="s">
        <v>483</v>
      </c>
      <c r="C38" s="8" t="n">
        <v>3</v>
      </c>
      <c r="D38" s="8" t="n">
        <v>1891</v>
      </c>
      <c r="E38" s="8" t="n">
        <v>1891</v>
      </c>
      <c r="F38" s="8" t="str">
        <f aca="false">IF(D38="","?",IF(D38&lt;1796,"pre-1796",IF(D38&lt;1912,"1796-1911",IF(D38&lt;1949,"1912-1948","1949+"))))</f>
        <v>1796-1911</v>
      </c>
      <c r="G38" s="8" t="str">
        <f aca="false">IF(D38="","?",IF(D38&lt;1912,"Qing",IF(D38&lt;1949,"Republic","PRC")))</f>
        <v>Qing</v>
      </c>
      <c r="H38" s="8" t="s">
        <v>484</v>
      </c>
      <c r="I38" s="8"/>
      <c r="J38" s="8"/>
      <c r="K38" s="8" t="s">
        <v>130</v>
      </c>
      <c r="L38" s="9" t="s">
        <v>485</v>
      </c>
      <c r="M38" s="8"/>
      <c r="N38" s="8"/>
      <c r="O38" s="8" t="s">
        <v>486</v>
      </c>
      <c r="P38" s="8" t="s">
        <v>87</v>
      </c>
      <c r="Q38" s="8"/>
      <c r="R38" s="8"/>
      <c r="S38" s="8"/>
      <c r="T38" s="8"/>
      <c r="U38" s="8"/>
      <c r="V38" s="8"/>
      <c r="W38" s="8"/>
      <c r="X38" s="9" t="s">
        <v>496</v>
      </c>
      <c r="Y38" s="8"/>
      <c r="Z38" s="8"/>
      <c r="AA38" s="8"/>
      <c r="AB38" s="8"/>
      <c r="AC38" s="8"/>
      <c r="AD38" s="8"/>
      <c r="AE38" s="8"/>
      <c r="AF38" s="8"/>
      <c r="AG38" s="8"/>
      <c r="AH38" s="8"/>
      <c r="AI38" s="8" t="n">
        <v>0</v>
      </c>
      <c r="AJ38" s="8" t="n">
        <v>0</v>
      </c>
      <c r="AK38" s="8" t="n">
        <v>0</v>
      </c>
      <c r="AL38" s="8" t="n">
        <v>0</v>
      </c>
      <c r="AM38" s="8" t="n">
        <v>0</v>
      </c>
      <c r="AN38" s="8" t="n">
        <v>0</v>
      </c>
      <c r="AO38" s="8" t="n">
        <v>0</v>
      </c>
      <c r="AP38" s="8" t="n">
        <v>0</v>
      </c>
      <c r="AQ38" s="8" t="n">
        <v>0</v>
      </c>
      <c r="AR38" s="8" t="n">
        <v>0</v>
      </c>
      <c r="AS38" s="8" t="n">
        <v>0</v>
      </c>
      <c r="AT38" s="8" t="n">
        <v>0</v>
      </c>
      <c r="AU38" s="8" t="n">
        <v>0</v>
      </c>
      <c r="AV38" s="8" t="n">
        <v>0</v>
      </c>
      <c r="AW38" s="8" t="n">
        <v>0</v>
      </c>
      <c r="AX38" s="8" t="n">
        <v>0</v>
      </c>
      <c r="AY38" s="8" t="n">
        <v>0</v>
      </c>
      <c r="AZ38" s="8" t="n">
        <v>0</v>
      </c>
      <c r="BA38" s="8" t="n">
        <v>0</v>
      </c>
      <c r="BB38" s="8" t="n">
        <v>0</v>
      </c>
      <c r="BC38" s="8" t="n">
        <v>179</v>
      </c>
      <c r="BD38" s="8" t="n">
        <v>0</v>
      </c>
      <c r="BE38" s="8" t="n">
        <v>0</v>
      </c>
      <c r="BF38" s="8" t="n">
        <v>0</v>
      </c>
      <c r="BG38" s="10" t="s">
        <v>490</v>
      </c>
      <c r="BH38" s="9" t="s">
        <v>497</v>
      </c>
    </row>
    <row r="39" customFormat="false" ht="15" hidden="false" customHeight="false" outlineLevel="0" collapsed="false">
      <c r="A39" s="8" t="s">
        <v>498</v>
      </c>
      <c r="B39" s="8" t="s">
        <v>483</v>
      </c>
      <c r="C39" s="8" t="n">
        <v>4</v>
      </c>
      <c r="D39" s="8" t="n">
        <v>1891</v>
      </c>
      <c r="E39" s="8" t="n">
        <v>1891</v>
      </c>
      <c r="F39" s="8" t="str">
        <f aca="false">IF(D39="","?",IF(D39&lt;1796,"pre-1796",IF(D39&lt;1912,"1796-1911",IF(D39&lt;1949,"1912-1948","1949+"))))</f>
        <v>1796-1911</v>
      </c>
      <c r="G39" s="8" t="str">
        <f aca="false">IF(D39="","?",IF(D39&lt;1912,"Qing",IF(D39&lt;1949,"Republic","PRC")))</f>
        <v>Qing</v>
      </c>
      <c r="H39" s="8" t="s">
        <v>484</v>
      </c>
      <c r="I39" s="8"/>
      <c r="J39" s="8"/>
      <c r="K39" s="8" t="s">
        <v>130</v>
      </c>
      <c r="L39" s="9" t="s">
        <v>485</v>
      </c>
      <c r="M39" s="8"/>
      <c r="N39" s="8"/>
      <c r="O39" s="8" t="s">
        <v>486</v>
      </c>
      <c r="P39" s="8" t="s">
        <v>87</v>
      </c>
      <c r="Q39" s="8"/>
      <c r="R39" s="8"/>
      <c r="S39" s="8"/>
      <c r="T39" s="8"/>
      <c r="U39" s="9" t="s">
        <v>499</v>
      </c>
      <c r="V39" s="8"/>
      <c r="W39" s="8"/>
      <c r="X39" s="8"/>
      <c r="Y39" s="9" t="s">
        <v>500</v>
      </c>
      <c r="Z39" s="8"/>
      <c r="AA39" s="8"/>
      <c r="AB39" s="8"/>
      <c r="AC39" s="8"/>
      <c r="AD39" s="8"/>
      <c r="AE39" s="8"/>
      <c r="AF39" s="8"/>
      <c r="AG39" s="8"/>
      <c r="AH39" s="8"/>
      <c r="AI39" s="8" t="n">
        <v>0</v>
      </c>
      <c r="AJ39" s="8" t="n">
        <v>0</v>
      </c>
      <c r="AK39" s="8" t="n">
        <v>0</v>
      </c>
      <c r="AL39" s="8" t="n">
        <v>0</v>
      </c>
      <c r="AM39" s="8" t="n">
        <v>0</v>
      </c>
      <c r="AN39" s="8" t="n">
        <v>0</v>
      </c>
      <c r="AO39" s="8" t="n">
        <v>0</v>
      </c>
      <c r="AP39" s="8" t="n">
        <v>0</v>
      </c>
      <c r="AQ39" s="8" t="n">
        <v>0</v>
      </c>
      <c r="AR39" s="8" t="n">
        <v>0</v>
      </c>
      <c r="AS39" s="8" t="n">
        <v>0</v>
      </c>
      <c r="AT39" s="8" t="n">
        <v>0</v>
      </c>
      <c r="AU39" s="8" t="n">
        <v>0</v>
      </c>
      <c r="AV39" s="8" t="n">
        <v>0</v>
      </c>
      <c r="AW39" s="8" t="n">
        <v>0</v>
      </c>
      <c r="AX39" s="8" t="n">
        <v>0</v>
      </c>
      <c r="AY39" s="8" t="n">
        <v>0</v>
      </c>
      <c r="AZ39" s="8" t="n">
        <v>0</v>
      </c>
      <c r="BA39" s="8" t="n">
        <v>0</v>
      </c>
      <c r="BB39" s="8" t="n">
        <v>0</v>
      </c>
      <c r="BC39" s="8" t="n">
        <v>146</v>
      </c>
      <c r="BD39" s="8" t="n">
        <v>0</v>
      </c>
      <c r="BE39" s="8" t="n">
        <v>0</v>
      </c>
      <c r="BF39" s="8" t="n">
        <v>0</v>
      </c>
      <c r="BG39" s="10" t="s">
        <v>490</v>
      </c>
      <c r="BH39" s="9" t="s">
        <v>501</v>
      </c>
    </row>
    <row r="40" customFormat="false" ht="15" hidden="false" customHeight="false" outlineLevel="0" collapsed="false">
      <c r="A40" s="8" t="s">
        <v>502</v>
      </c>
      <c r="B40" s="8" t="s">
        <v>483</v>
      </c>
      <c r="C40" s="8" t="n">
        <v>5</v>
      </c>
      <c r="D40" s="8" t="n">
        <v>1891</v>
      </c>
      <c r="E40" s="8" t="n">
        <v>1891</v>
      </c>
      <c r="F40" s="8" t="str">
        <f aca="false">IF(D40="","?",IF(D40&lt;1796,"pre-1796",IF(D40&lt;1912,"1796-1911",IF(D40&lt;1949,"1912-1948","1949+"))))</f>
        <v>1796-1911</v>
      </c>
      <c r="G40" s="8" t="str">
        <f aca="false">IF(D40="","?",IF(D40&lt;1912,"Qing",IF(D40&lt;1949,"Republic","PRC")))</f>
        <v>Qing</v>
      </c>
      <c r="H40" s="8" t="s">
        <v>484</v>
      </c>
      <c r="I40" s="8"/>
      <c r="J40" s="8"/>
      <c r="K40" s="8" t="s">
        <v>130</v>
      </c>
      <c r="L40" s="9" t="s">
        <v>485</v>
      </c>
      <c r="M40" s="8"/>
      <c r="N40" s="8"/>
      <c r="O40" s="8" t="s">
        <v>486</v>
      </c>
      <c r="P40" s="8" t="s">
        <v>87</v>
      </c>
      <c r="Q40" s="8"/>
      <c r="R40" s="8"/>
      <c r="S40" s="8"/>
      <c r="T40" s="8"/>
      <c r="U40" s="9" t="s">
        <v>503</v>
      </c>
      <c r="V40" s="8"/>
      <c r="W40" s="8"/>
      <c r="X40" s="8"/>
      <c r="Y40" s="9" t="s">
        <v>198</v>
      </c>
      <c r="Z40" s="8"/>
      <c r="AA40" s="8"/>
      <c r="AB40" s="8"/>
      <c r="AC40" s="8"/>
      <c r="AD40" s="8"/>
      <c r="AE40" s="9" t="s">
        <v>504</v>
      </c>
      <c r="AF40" s="8"/>
      <c r="AG40" s="8"/>
      <c r="AH40" s="8"/>
      <c r="AI40" s="8" t="n">
        <v>0</v>
      </c>
      <c r="AJ40" s="8" t="n">
        <v>0</v>
      </c>
      <c r="AK40" s="8" t="n">
        <v>0</v>
      </c>
      <c r="AL40" s="8" t="n">
        <v>0</v>
      </c>
      <c r="AM40" s="8" t="n">
        <v>0</v>
      </c>
      <c r="AN40" s="8" t="n">
        <v>0</v>
      </c>
      <c r="AO40" s="8" t="n">
        <v>0</v>
      </c>
      <c r="AP40" s="8" t="n">
        <v>0</v>
      </c>
      <c r="AQ40" s="8" t="n">
        <v>0</v>
      </c>
      <c r="AR40" s="8" t="n">
        <v>0</v>
      </c>
      <c r="AS40" s="8" t="n">
        <v>0</v>
      </c>
      <c r="AT40" s="8" t="n">
        <v>0</v>
      </c>
      <c r="AU40" s="8" t="n">
        <v>0</v>
      </c>
      <c r="AV40" s="8" t="n">
        <v>0</v>
      </c>
      <c r="AW40" s="8" t="n">
        <v>0</v>
      </c>
      <c r="AX40" s="8" t="n">
        <v>0</v>
      </c>
      <c r="AY40" s="8" t="n">
        <v>0</v>
      </c>
      <c r="AZ40" s="8" t="n">
        <v>0</v>
      </c>
      <c r="BA40" s="8" t="n">
        <v>0</v>
      </c>
      <c r="BB40" s="8" t="n">
        <v>0</v>
      </c>
      <c r="BC40" s="8" t="n">
        <v>196</v>
      </c>
      <c r="BD40" s="8" t="n">
        <v>1</v>
      </c>
      <c r="BE40" s="8" t="n">
        <v>0</v>
      </c>
      <c r="BF40" s="8" t="n">
        <v>0</v>
      </c>
      <c r="BG40" s="10" t="s">
        <v>490</v>
      </c>
      <c r="BH40" s="9" t="s">
        <v>505</v>
      </c>
    </row>
    <row r="41" customFormat="false" ht="15" hidden="false" customHeight="false" outlineLevel="0" collapsed="false">
      <c r="A41" s="8" t="s">
        <v>506</v>
      </c>
      <c r="B41" s="8" t="s">
        <v>483</v>
      </c>
      <c r="C41" s="8" t="n">
        <v>6</v>
      </c>
      <c r="D41" s="8" t="n">
        <v>1891</v>
      </c>
      <c r="E41" s="8" t="n">
        <v>1891</v>
      </c>
      <c r="F41" s="8" t="str">
        <f aca="false">IF(D41="","?",IF(D41&lt;1796,"pre-1796",IF(D41&lt;1912,"1796-1911",IF(D41&lt;1949,"1912-1948","1949+"))))</f>
        <v>1796-1911</v>
      </c>
      <c r="G41" s="8" t="str">
        <f aca="false">IF(D41="","?",IF(D41&lt;1912,"Qing",IF(D41&lt;1949,"Republic","PRC")))</f>
        <v>Qing</v>
      </c>
      <c r="H41" s="8" t="s">
        <v>484</v>
      </c>
      <c r="I41" s="8"/>
      <c r="J41" s="8"/>
      <c r="K41" s="8" t="s">
        <v>130</v>
      </c>
      <c r="L41" s="9" t="s">
        <v>485</v>
      </c>
      <c r="M41" s="8"/>
      <c r="N41" s="8"/>
      <c r="O41" s="8" t="s">
        <v>486</v>
      </c>
      <c r="P41" s="8" t="s">
        <v>87</v>
      </c>
      <c r="Q41" s="8"/>
      <c r="R41" s="8"/>
      <c r="S41" s="8"/>
      <c r="T41" s="8"/>
      <c r="U41" s="8"/>
      <c r="V41" s="8"/>
      <c r="W41" s="8"/>
      <c r="X41" s="8"/>
      <c r="Y41" s="9" t="s">
        <v>500</v>
      </c>
      <c r="Z41" s="8"/>
      <c r="AA41" s="8"/>
      <c r="AB41" s="8"/>
      <c r="AC41" s="8"/>
      <c r="AD41" s="8"/>
      <c r="AE41" s="8"/>
      <c r="AF41" s="8"/>
      <c r="AG41" s="8"/>
      <c r="AH41" s="8"/>
      <c r="AI41" s="8" t="n">
        <v>0</v>
      </c>
      <c r="AJ41" s="8" t="n">
        <v>0</v>
      </c>
      <c r="AK41" s="8" t="n">
        <v>0</v>
      </c>
      <c r="AL41" s="8" t="n">
        <v>0</v>
      </c>
      <c r="AM41" s="8" t="n">
        <v>0</v>
      </c>
      <c r="AN41" s="8" t="n">
        <v>0</v>
      </c>
      <c r="AO41" s="8" t="n">
        <v>0</v>
      </c>
      <c r="AP41" s="8" t="n">
        <v>0</v>
      </c>
      <c r="AQ41" s="8" t="n">
        <v>0</v>
      </c>
      <c r="AR41" s="8" t="n">
        <v>0</v>
      </c>
      <c r="AS41" s="8" t="n">
        <v>0</v>
      </c>
      <c r="AT41" s="8" t="n">
        <v>0</v>
      </c>
      <c r="AU41" s="8" t="n">
        <v>0</v>
      </c>
      <c r="AV41" s="8" t="n">
        <v>0</v>
      </c>
      <c r="AW41" s="8" t="n">
        <v>0</v>
      </c>
      <c r="AX41" s="8" t="n">
        <v>0</v>
      </c>
      <c r="AY41" s="8" t="n">
        <v>0</v>
      </c>
      <c r="AZ41" s="8" t="n">
        <v>0</v>
      </c>
      <c r="BA41" s="8" t="n">
        <v>0</v>
      </c>
      <c r="BB41" s="8" t="n">
        <v>0</v>
      </c>
      <c r="BC41" s="8" t="n">
        <v>141</v>
      </c>
      <c r="BD41" s="8" t="n">
        <v>0</v>
      </c>
      <c r="BE41" s="8" t="n">
        <v>0</v>
      </c>
      <c r="BF41" s="8" t="n">
        <v>0</v>
      </c>
      <c r="BG41" s="10" t="s">
        <v>490</v>
      </c>
      <c r="BH41" s="9" t="s">
        <v>507</v>
      </c>
    </row>
    <row r="42" customFormat="false" ht="15" hidden="false" customHeight="false" outlineLevel="0" collapsed="false">
      <c r="A42" s="8" t="s">
        <v>508</v>
      </c>
      <c r="B42" s="8" t="s">
        <v>483</v>
      </c>
      <c r="C42" s="8" t="n">
        <v>7</v>
      </c>
      <c r="D42" s="8" t="n">
        <v>1891</v>
      </c>
      <c r="E42" s="8" t="n">
        <v>1891</v>
      </c>
      <c r="F42" s="8" t="str">
        <f aca="false">IF(D42="","?",IF(D42&lt;1796,"pre-1796",IF(D42&lt;1912,"1796-1911",IF(D42&lt;1949,"1912-1948","1949+"))))</f>
        <v>1796-1911</v>
      </c>
      <c r="G42" s="8" t="str">
        <f aca="false">IF(D42="","?",IF(D42&lt;1912,"Qing",IF(D42&lt;1949,"Republic","PRC")))</f>
        <v>Qing</v>
      </c>
      <c r="H42" s="8" t="s">
        <v>484</v>
      </c>
      <c r="I42" s="8"/>
      <c r="J42" s="8"/>
      <c r="K42" s="8" t="s">
        <v>130</v>
      </c>
      <c r="L42" s="9" t="s">
        <v>485</v>
      </c>
      <c r="M42" s="8"/>
      <c r="N42" s="8"/>
      <c r="O42" s="8" t="s">
        <v>486</v>
      </c>
      <c r="P42" s="8" t="s">
        <v>87</v>
      </c>
      <c r="Q42" s="8"/>
      <c r="R42" s="8"/>
      <c r="S42" s="8"/>
      <c r="T42" s="8"/>
      <c r="U42" s="8"/>
      <c r="V42" s="8"/>
      <c r="W42" s="8"/>
      <c r="X42" s="9" t="s">
        <v>509</v>
      </c>
      <c r="Y42" s="9" t="s">
        <v>198</v>
      </c>
      <c r="Z42" s="8"/>
      <c r="AA42" s="8"/>
      <c r="AB42" s="8"/>
      <c r="AC42" s="8"/>
      <c r="AD42" s="8"/>
      <c r="AE42" s="9" t="s">
        <v>510</v>
      </c>
      <c r="AF42" s="8"/>
      <c r="AG42" s="8"/>
      <c r="AH42" s="8"/>
      <c r="AI42" s="8" t="n">
        <v>0</v>
      </c>
      <c r="AJ42" s="8" t="n">
        <v>0</v>
      </c>
      <c r="AK42" s="8" t="n">
        <v>0</v>
      </c>
      <c r="AL42" s="8" t="n">
        <v>0</v>
      </c>
      <c r="AM42" s="8" t="n">
        <v>0</v>
      </c>
      <c r="AN42" s="8" t="n">
        <v>0</v>
      </c>
      <c r="AO42" s="8" t="n">
        <v>0</v>
      </c>
      <c r="AP42" s="8" t="n">
        <v>0</v>
      </c>
      <c r="AQ42" s="8" t="n">
        <v>0</v>
      </c>
      <c r="AR42" s="8" t="n">
        <v>0</v>
      </c>
      <c r="AS42" s="8" t="n">
        <v>0</v>
      </c>
      <c r="AT42" s="8" t="n">
        <v>0</v>
      </c>
      <c r="AU42" s="8" t="n">
        <v>0</v>
      </c>
      <c r="AV42" s="8" t="n">
        <v>0</v>
      </c>
      <c r="AW42" s="8" t="n">
        <v>0</v>
      </c>
      <c r="AX42" s="8" t="n">
        <v>0</v>
      </c>
      <c r="AY42" s="8" t="n">
        <v>0</v>
      </c>
      <c r="AZ42" s="8" t="n">
        <v>0</v>
      </c>
      <c r="BA42" s="8" t="n">
        <v>0</v>
      </c>
      <c r="BB42" s="8" t="n">
        <v>0</v>
      </c>
      <c r="BC42" s="8" t="n">
        <v>175</v>
      </c>
      <c r="BD42" s="8" t="n">
        <v>1</v>
      </c>
      <c r="BE42" s="8" t="n">
        <v>0</v>
      </c>
      <c r="BF42" s="8" t="n">
        <v>0</v>
      </c>
      <c r="BG42" s="10" t="s">
        <v>490</v>
      </c>
      <c r="BH42" s="9" t="s">
        <v>511</v>
      </c>
    </row>
    <row r="43" customFormat="false" ht="15" hidden="false" customHeight="false" outlineLevel="0" collapsed="false">
      <c r="A43" s="8" t="s">
        <v>512</v>
      </c>
      <c r="B43" s="8" t="s">
        <v>483</v>
      </c>
      <c r="C43" s="8" t="n">
        <v>8</v>
      </c>
      <c r="D43" s="8" t="n">
        <v>1891</v>
      </c>
      <c r="E43" s="8" t="n">
        <v>1891</v>
      </c>
      <c r="F43" s="8" t="str">
        <f aca="false">IF(D43="","?",IF(D43&lt;1796,"pre-1796",IF(D43&lt;1912,"1796-1911",IF(D43&lt;1949,"1912-1948","1949+"))))</f>
        <v>1796-1911</v>
      </c>
      <c r="G43" s="8" t="str">
        <f aca="false">IF(D43="","?",IF(D43&lt;1912,"Qing",IF(D43&lt;1949,"Republic","PRC")))</f>
        <v>Qing</v>
      </c>
      <c r="H43" s="8" t="s">
        <v>484</v>
      </c>
      <c r="I43" s="8"/>
      <c r="J43" s="8"/>
      <c r="K43" s="8" t="s">
        <v>130</v>
      </c>
      <c r="L43" s="9" t="s">
        <v>485</v>
      </c>
      <c r="M43" s="8"/>
      <c r="N43" s="8"/>
      <c r="O43" s="8" t="s">
        <v>486</v>
      </c>
      <c r="P43" s="8" t="s">
        <v>87</v>
      </c>
      <c r="Q43" s="8"/>
      <c r="R43" s="8"/>
      <c r="S43" s="8"/>
      <c r="T43" s="8"/>
      <c r="U43" s="9" t="s">
        <v>513</v>
      </c>
      <c r="V43" s="8"/>
      <c r="W43" s="8"/>
      <c r="X43" s="8"/>
      <c r="Y43" s="9" t="s">
        <v>500</v>
      </c>
      <c r="Z43" s="8"/>
      <c r="AA43" s="8"/>
      <c r="AB43" s="8"/>
      <c r="AC43" s="8"/>
      <c r="AD43" s="8"/>
      <c r="AE43" s="8"/>
      <c r="AF43" s="8"/>
      <c r="AG43" s="8"/>
      <c r="AH43" s="8"/>
      <c r="AI43" s="8" t="n">
        <v>0</v>
      </c>
      <c r="AJ43" s="8" t="n">
        <v>0</v>
      </c>
      <c r="AK43" s="8" t="n">
        <v>0</v>
      </c>
      <c r="AL43" s="8" t="n">
        <v>0</v>
      </c>
      <c r="AM43" s="8" t="n">
        <v>0</v>
      </c>
      <c r="AN43" s="8" t="n">
        <v>0</v>
      </c>
      <c r="AO43" s="8" t="n">
        <v>0</v>
      </c>
      <c r="AP43" s="8" t="n">
        <v>0</v>
      </c>
      <c r="AQ43" s="8" t="n">
        <v>0</v>
      </c>
      <c r="AR43" s="8" t="n">
        <v>0</v>
      </c>
      <c r="AS43" s="8" t="n">
        <v>0</v>
      </c>
      <c r="AT43" s="8" t="n">
        <v>0</v>
      </c>
      <c r="AU43" s="8" t="n">
        <v>0</v>
      </c>
      <c r="AV43" s="8" t="n">
        <v>0</v>
      </c>
      <c r="AW43" s="8" t="n">
        <v>0</v>
      </c>
      <c r="AX43" s="8" t="n">
        <v>0</v>
      </c>
      <c r="AY43" s="8" t="n">
        <v>0</v>
      </c>
      <c r="AZ43" s="8" t="n">
        <v>0</v>
      </c>
      <c r="BA43" s="8" t="n">
        <v>0</v>
      </c>
      <c r="BB43" s="8" t="n">
        <v>0</v>
      </c>
      <c r="BC43" s="8" t="n">
        <v>187</v>
      </c>
      <c r="BD43" s="8" t="n">
        <v>0</v>
      </c>
      <c r="BE43" s="8" t="n">
        <v>0</v>
      </c>
      <c r="BF43" s="8" t="n">
        <v>0</v>
      </c>
      <c r="BG43" s="10" t="s">
        <v>490</v>
      </c>
      <c r="BH43" s="9" t="s">
        <v>514</v>
      </c>
    </row>
    <row r="44" customFormat="false" ht="15" hidden="false" customHeight="false" outlineLevel="0" collapsed="false">
      <c r="A44" s="8" t="s">
        <v>515</v>
      </c>
      <c r="B44" s="8" t="s">
        <v>483</v>
      </c>
      <c r="C44" s="8" t="n">
        <v>9</v>
      </c>
      <c r="D44" s="8" t="n">
        <v>1891</v>
      </c>
      <c r="E44" s="8" t="n">
        <v>1891</v>
      </c>
      <c r="F44" s="8" t="str">
        <f aca="false">IF(D44="","?",IF(D44&lt;1796,"pre-1796",IF(D44&lt;1912,"1796-1911",IF(D44&lt;1949,"1912-1948","1949+"))))</f>
        <v>1796-1911</v>
      </c>
      <c r="G44" s="8" t="str">
        <f aca="false">IF(D44="","?",IF(D44&lt;1912,"Qing",IF(D44&lt;1949,"Republic","PRC")))</f>
        <v>Qing</v>
      </c>
      <c r="H44" s="8" t="s">
        <v>484</v>
      </c>
      <c r="I44" s="8"/>
      <c r="J44" s="8"/>
      <c r="K44" s="8" t="s">
        <v>130</v>
      </c>
      <c r="L44" s="9" t="s">
        <v>485</v>
      </c>
      <c r="M44" s="8"/>
      <c r="N44" s="8"/>
      <c r="O44" s="8" t="s">
        <v>486</v>
      </c>
      <c r="P44" s="8" t="s">
        <v>87</v>
      </c>
      <c r="Q44" s="8"/>
      <c r="R44" s="8"/>
      <c r="S44" s="8"/>
      <c r="T44" s="8"/>
      <c r="U44" s="9" t="s">
        <v>516</v>
      </c>
      <c r="V44" s="8"/>
      <c r="W44" s="8"/>
      <c r="X44" s="9" t="s">
        <v>517</v>
      </c>
      <c r="Y44" s="9" t="s">
        <v>167</v>
      </c>
      <c r="Z44" s="8"/>
      <c r="AA44" s="8"/>
      <c r="AB44" s="8"/>
      <c r="AC44" s="8"/>
      <c r="AD44" s="8"/>
      <c r="AE44" s="8"/>
      <c r="AF44" s="8"/>
      <c r="AG44" s="8"/>
      <c r="AH44" s="8"/>
      <c r="AI44" s="8" t="n">
        <v>0</v>
      </c>
      <c r="AJ44" s="8" t="n">
        <v>0</v>
      </c>
      <c r="AK44" s="8" t="n">
        <v>0</v>
      </c>
      <c r="AL44" s="8" t="n">
        <v>0</v>
      </c>
      <c r="AM44" s="8" t="n">
        <v>0</v>
      </c>
      <c r="AN44" s="8" t="n">
        <v>0</v>
      </c>
      <c r="AO44" s="8" t="n">
        <v>0</v>
      </c>
      <c r="AP44" s="8" t="n">
        <v>0</v>
      </c>
      <c r="AQ44" s="8" t="n">
        <v>0</v>
      </c>
      <c r="AR44" s="8" t="n">
        <v>0</v>
      </c>
      <c r="AS44" s="8" t="n">
        <v>0</v>
      </c>
      <c r="AT44" s="8" t="n">
        <v>0</v>
      </c>
      <c r="AU44" s="8" t="n">
        <v>0</v>
      </c>
      <c r="AV44" s="8" t="n">
        <v>0</v>
      </c>
      <c r="AW44" s="8" t="n">
        <v>0</v>
      </c>
      <c r="AX44" s="8" t="n">
        <v>0</v>
      </c>
      <c r="AY44" s="8" t="n">
        <v>0</v>
      </c>
      <c r="AZ44" s="8" t="n">
        <v>0</v>
      </c>
      <c r="BA44" s="8" t="n">
        <v>0</v>
      </c>
      <c r="BB44" s="8" t="n">
        <v>0</v>
      </c>
      <c r="BC44" s="8" t="n">
        <v>238</v>
      </c>
      <c r="BD44" s="8" t="n">
        <v>1</v>
      </c>
      <c r="BE44" s="8" t="n">
        <v>0</v>
      </c>
      <c r="BF44" s="8" t="n">
        <v>0</v>
      </c>
      <c r="BG44" s="10" t="s">
        <v>490</v>
      </c>
      <c r="BH44" s="9" t="s">
        <v>518</v>
      </c>
    </row>
    <row r="45" customFormat="false" ht="15" hidden="false" customHeight="false" outlineLevel="0" collapsed="false">
      <c r="A45" s="8" t="s">
        <v>519</v>
      </c>
      <c r="B45" s="8" t="s">
        <v>483</v>
      </c>
      <c r="C45" s="8" t="n">
        <v>10</v>
      </c>
      <c r="D45" s="8" t="n">
        <v>1891</v>
      </c>
      <c r="E45" s="8" t="n">
        <v>1891</v>
      </c>
      <c r="F45" s="8" t="str">
        <f aca="false">IF(D45="","?",IF(D45&lt;1796,"pre-1796",IF(D45&lt;1912,"1796-1911",IF(D45&lt;1949,"1912-1948","1949+"))))</f>
        <v>1796-1911</v>
      </c>
      <c r="G45" s="8" t="str">
        <f aca="false">IF(D45="","?",IF(D45&lt;1912,"Qing",IF(D45&lt;1949,"Republic","PRC")))</f>
        <v>Qing</v>
      </c>
      <c r="H45" s="8" t="s">
        <v>484</v>
      </c>
      <c r="I45" s="8"/>
      <c r="J45" s="8"/>
      <c r="K45" s="8" t="s">
        <v>130</v>
      </c>
      <c r="L45" s="9" t="s">
        <v>485</v>
      </c>
      <c r="M45" s="8"/>
      <c r="N45" s="8"/>
      <c r="O45" s="8" t="s">
        <v>486</v>
      </c>
      <c r="P45" s="8" t="s">
        <v>87</v>
      </c>
      <c r="Q45" s="9" t="s">
        <v>520</v>
      </c>
      <c r="R45" s="9" t="s">
        <v>521</v>
      </c>
      <c r="S45" s="9" t="s">
        <v>485</v>
      </c>
      <c r="T45" s="8"/>
      <c r="U45" s="8"/>
      <c r="V45" s="8"/>
      <c r="W45" s="8"/>
      <c r="X45" s="8"/>
      <c r="Y45" s="8"/>
      <c r="Z45" s="8"/>
      <c r="AA45" s="8"/>
      <c r="AB45" s="9" t="s">
        <v>522</v>
      </c>
      <c r="AC45" s="8"/>
      <c r="AD45" s="8"/>
      <c r="AE45" s="8"/>
      <c r="AF45" s="8"/>
      <c r="AG45" s="8"/>
      <c r="AH45" s="8"/>
      <c r="AI45" s="8" t="n">
        <v>0</v>
      </c>
      <c r="AJ45" s="8" t="n">
        <v>0</v>
      </c>
      <c r="AK45" s="8" t="n">
        <v>0</v>
      </c>
      <c r="AL45" s="8" t="n">
        <v>0</v>
      </c>
      <c r="AM45" s="8" t="n">
        <v>0</v>
      </c>
      <c r="AN45" s="8" t="n">
        <v>0</v>
      </c>
      <c r="AO45" s="8" t="n">
        <v>0</v>
      </c>
      <c r="AP45" s="8" t="n">
        <v>0</v>
      </c>
      <c r="AQ45" s="8" t="n">
        <v>0</v>
      </c>
      <c r="AR45" s="8" t="n">
        <v>0</v>
      </c>
      <c r="AS45" s="8" t="n">
        <v>0</v>
      </c>
      <c r="AT45" s="8" t="n">
        <v>0</v>
      </c>
      <c r="AU45" s="8" t="n">
        <v>0</v>
      </c>
      <c r="AV45" s="8" t="n">
        <v>1</v>
      </c>
      <c r="AW45" s="8" t="n">
        <v>0</v>
      </c>
      <c r="AX45" s="8" t="n">
        <v>0</v>
      </c>
      <c r="AY45" s="8" t="n">
        <v>0</v>
      </c>
      <c r="AZ45" s="8" t="n">
        <v>0</v>
      </c>
      <c r="BA45" s="8" t="n">
        <v>0</v>
      </c>
      <c r="BB45" s="8" t="n">
        <v>0</v>
      </c>
      <c r="BC45" s="8" t="n">
        <v>61</v>
      </c>
      <c r="BD45" s="8" t="n">
        <v>2</v>
      </c>
      <c r="BE45" s="8" t="n">
        <v>0</v>
      </c>
      <c r="BF45" s="8" t="n">
        <v>0</v>
      </c>
      <c r="BG45" s="10" t="s">
        <v>490</v>
      </c>
      <c r="BH45" s="9" t="s">
        <v>523</v>
      </c>
    </row>
    <row r="46" customFormat="false" ht="15" hidden="false" customHeight="false" outlineLevel="0" collapsed="false">
      <c r="A46" s="8" t="s">
        <v>524</v>
      </c>
      <c r="B46" s="8" t="s">
        <v>525</v>
      </c>
      <c r="C46" s="8" t="n">
        <v>1</v>
      </c>
      <c r="D46" s="8" t="n">
        <v>1798</v>
      </c>
      <c r="E46" s="8" t="n">
        <v>1798</v>
      </c>
      <c r="F46" s="8" t="str">
        <f aca="false">IF(D46="","?",IF(D46&lt;1796,"pre-1796",IF(D46&lt;1912,"1796-1911",IF(D46&lt;1949,"1912-1948","1949+"))))</f>
        <v>1796-1911</v>
      </c>
      <c r="G46" s="8" t="str">
        <f aca="false">IF(D46="","?",IF(D46&lt;1912,"Qing",IF(D46&lt;1949,"Republic","PRC")))</f>
        <v>Qing</v>
      </c>
      <c r="H46" s="8" t="s">
        <v>526</v>
      </c>
      <c r="I46" s="9" t="s">
        <v>527</v>
      </c>
      <c r="J46" s="9" t="s">
        <v>528</v>
      </c>
      <c r="K46" s="8" t="s">
        <v>84</v>
      </c>
      <c r="L46" s="8"/>
      <c r="M46" s="9" t="s">
        <v>529</v>
      </c>
      <c r="N46" s="9" t="s">
        <v>530</v>
      </c>
      <c r="O46" s="8" t="s">
        <v>531</v>
      </c>
      <c r="P46" s="8" t="s">
        <v>133</v>
      </c>
      <c r="Q46" s="9" t="s">
        <v>532</v>
      </c>
      <c r="R46" s="9" t="s">
        <v>533</v>
      </c>
      <c r="S46" s="9" t="s">
        <v>529</v>
      </c>
      <c r="T46" s="8"/>
      <c r="U46" s="8"/>
      <c r="V46" s="9" t="s">
        <v>534</v>
      </c>
      <c r="W46" s="9" t="s">
        <v>535</v>
      </c>
      <c r="X46" s="8"/>
      <c r="Y46" s="9" t="s">
        <v>246</v>
      </c>
      <c r="Z46" s="8"/>
      <c r="AA46" s="9" t="s">
        <v>536</v>
      </c>
      <c r="AB46" s="8"/>
      <c r="AC46" s="8"/>
      <c r="AD46" s="8"/>
      <c r="AE46" s="8"/>
      <c r="AF46" s="8"/>
      <c r="AG46" s="8"/>
      <c r="AH46" s="8"/>
      <c r="AI46" s="8" t="n">
        <v>1</v>
      </c>
      <c r="AJ46" s="8" t="n">
        <v>1</v>
      </c>
      <c r="AK46" s="8" t="n">
        <v>0</v>
      </c>
      <c r="AL46" s="8" t="n">
        <v>0</v>
      </c>
      <c r="AM46" s="8" t="n">
        <v>1</v>
      </c>
      <c r="AN46" s="8" t="n">
        <v>0</v>
      </c>
      <c r="AO46" s="8" t="n">
        <v>0</v>
      </c>
      <c r="AP46" s="8" t="n">
        <v>0</v>
      </c>
      <c r="AQ46" s="8" t="n">
        <v>1</v>
      </c>
      <c r="AR46" s="8" t="n">
        <v>0</v>
      </c>
      <c r="AS46" s="8" t="n">
        <v>1</v>
      </c>
      <c r="AT46" s="8" t="n">
        <v>0</v>
      </c>
      <c r="AU46" s="8" t="n">
        <v>0</v>
      </c>
      <c r="AV46" s="8" t="n">
        <v>0</v>
      </c>
      <c r="AW46" s="8" t="n">
        <v>0</v>
      </c>
      <c r="AX46" s="8" t="n">
        <v>0</v>
      </c>
      <c r="AY46" s="8" t="n">
        <v>0</v>
      </c>
      <c r="AZ46" s="8" t="n">
        <v>0</v>
      </c>
      <c r="BA46" s="8" t="n">
        <v>0</v>
      </c>
      <c r="BB46" s="8" t="n">
        <v>0</v>
      </c>
      <c r="BC46" s="8" t="n">
        <v>250</v>
      </c>
      <c r="BD46" s="8" t="n">
        <v>2</v>
      </c>
      <c r="BE46" s="8" t="n">
        <v>0</v>
      </c>
      <c r="BF46" s="8" t="n">
        <v>0</v>
      </c>
      <c r="BG46" s="10" t="s">
        <v>537</v>
      </c>
      <c r="BH46" s="9" t="s">
        <v>538</v>
      </c>
    </row>
    <row r="47" customFormat="false" ht="15" hidden="false" customHeight="false" outlineLevel="0" collapsed="false">
      <c r="A47" s="8" t="s">
        <v>539</v>
      </c>
      <c r="B47" s="8" t="s">
        <v>540</v>
      </c>
      <c r="C47" s="8" t="n">
        <v>1</v>
      </c>
      <c r="D47" s="8" t="n">
        <v>1805</v>
      </c>
      <c r="E47" s="8" t="n">
        <v>1805</v>
      </c>
      <c r="F47" s="8" t="str">
        <f aca="false">IF(D47="","?",IF(D47&lt;1796,"pre-1796",IF(D47&lt;1912,"1796-1911",IF(D47&lt;1949,"1912-1948","1949+"))))</f>
        <v>1796-1911</v>
      </c>
      <c r="G47" s="8" t="str">
        <f aca="false">IF(D47="","?",IF(D47&lt;1912,"Qing",IF(D47&lt;1949,"Republic","PRC")))</f>
        <v>Qing</v>
      </c>
      <c r="H47" s="8" t="s">
        <v>541</v>
      </c>
      <c r="I47" s="9" t="s">
        <v>527</v>
      </c>
      <c r="J47" s="9" t="s">
        <v>528</v>
      </c>
      <c r="K47" s="8" t="s">
        <v>84</v>
      </c>
      <c r="L47" s="9" t="s">
        <v>542</v>
      </c>
      <c r="M47" s="8"/>
      <c r="N47" s="8"/>
      <c r="O47" s="8" t="s">
        <v>543</v>
      </c>
      <c r="P47" s="8" t="s">
        <v>87</v>
      </c>
      <c r="Q47" s="8"/>
      <c r="R47" s="8"/>
      <c r="S47" s="8"/>
      <c r="T47" s="8"/>
      <c r="U47" s="8"/>
      <c r="V47" s="8"/>
      <c r="W47" s="8"/>
      <c r="X47" s="8"/>
      <c r="Y47" s="8"/>
      <c r="Z47" s="8"/>
      <c r="AA47" s="8"/>
      <c r="AB47" s="8"/>
      <c r="AC47" s="8"/>
      <c r="AD47" s="8"/>
      <c r="AE47" s="9" t="s">
        <v>544</v>
      </c>
      <c r="AF47" s="8"/>
      <c r="AG47" s="8"/>
      <c r="AH47" s="8"/>
      <c r="AI47" s="8" t="n">
        <v>0</v>
      </c>
      <c r="AJ47" s="8" t="n">
        <v>0</v>
      </c>
      <c r="AK47" s="8" t="n">
        <v>0</v>
      </c>
      <c r="AL47" s="8" t="n">
        <v>0</v>
      </c>
      <c r="AM47" s="8" t="n">
        <v>0</v>
      </c>
      <c r="AN47" s="8" t="n">
        <v>0</v>
      </c>
      <c r="AO47" s="8" t="n">
        <v>0</v>
      </c>
      <c r="AP47" s="8" t="n">
        <v>0</v>
      </c>
      <c r="AQ47" s="8" t="n">
        <v>0</v>
      </c>
      <c r="AR47" s="8" t="n">
        <v>0</v>
      </c>
      <c r="AS47" s="8" t="n">
        <v>0</v>
      </c>
      <c r="AT47" s="8" t="n">
        <v>0</v>
      </c>
      <c r="AU47" s="8" t="n">
        <v>0</v>
      </c>
      <c r="AV47" s="8" t="n">
        <v>0</v>
      </c>
      <c r="AW47" s="8" t="n">
        <v>1</v>
      </c>
      <c r="AX47" s="8" t="n">
        <v>0</v>
      </c>
      <c r="AY47" s="8" t="n">
        <v>0</v>
      </c>
      <c r="AZ47" s="8" t="n">
        <v>0</v>
      </c>
      <c r="BA47" s="8" t="n">
        <v>0</v>
      </c>
      <c r="BB47" s="8" t="n">
        <v>0</v>
      </c>
      <c r="BC47" s="8" t="n">
        <v>121</v>
      </c>
      <c r="BD47" s="8" t="n">
        <v>3</v>
      </c>
      <c r="BE47" s="8" t="n">
        <v>1</v>
      </c>
      <c r="BF47" s="8" t="n">
        <v>0</v>
      </c>
      <c r="BG47" s="10" t="s">
        <v>545</v>
      </c>
      <c r="BH47" s="9" t="s">
        <v>546</v>
      </c>
    </row>
    <row r="48" customFormat="false" ht="15" hidden="false" customHeight="false" outlineLevel="0" collapsed="false">
      <c r="A48" s="8" t="s">
        <v>547</v>
      </c>
      <c r="B48" s="8" t="s">
        <v>548</v>
      </c>
      <c r="C48" s="8" t="n">
        <v>1</v>
      </c>
      <c r="D48" s="8" t="n">
        <v>1782</v>
      </c>
      <c r="E48" s="8" t="n">
        <v>1782</v>
      </c>
      <c r="F48" s="8" t="str">
        <f aca="false">IF(D48="","?",IF(D48&lt;1796,"pre-1796",IF(D48&lt;1912,"1796-1911",IF(D48&lt;1949,"1912-1948","1949+"))))</f>
        <v>pre-1796</v>
      </c>
      <c r="G48" s="8" t="str">
        <f aca="false">IF(D48="","?",IF(D48&lt;1912,"Qing",IF(D48&lt;1949,"Republic","PRC")))</f>
        <v>Qing</v>
      </c>
      <c r="H48" s="8" t="s">
        <v>549</v>
      </c>
      <c r="I48" s="9" t="s">
        <v>527</v>
      </c>
      <c r="J48" s="9" t="s">
        <v>528</v>
      </c>
      <c r="K48" s="8" t="s">
        <v>84</v>
      </c>
      <c r="L48" s="8"/>
      <c r="M48" s="9" t="s">
        <v>550</v>
      </c>
      <c r="N48" s="9" t="s">
        <v>551</v>
      </c>
      <c r="O48" s="8" t="s">
        <v>552</v>
      </c>
      <c r="P48" s="8" t="s">
        <v>133</v>
      </c>
      <c r="Q48" s="9" t="s">
        <v>553</v>
      </c>
      <c r="R48" s="9" t="s">
        <v>554</v>
      </c>
      <c r="S48" s="8"/>
      <c r="T48" s="8"/>
      <c r="U48" s="9" t="s">
        <v>555</v>
      </c>
      <c r="V48" s="9" t="s">
        <v>534</v>
      </c>
      <c r="W48" s="8"/>
      <c r="X48" s="8"/>
      <c r="Y48" s="9" t="s">
        <v>267</v>
      </c>
      <c r="Z48" s="9" t="s">
        <v>556</v>
      </c>
      <c r="AA48" s="9" t="s">
        <v>557</v>
      </c>
      <c r="AB48" s="8"/>
      <c r="AC48" s="8"/>
      <c r="AD48" s="8"/>
      <c r="AE48" s="8"/>
      <c r="AF48" s="8"/>
      <c r="AG48" s="8"/>
      <c r="AH48" s="8"/>
      <c r="AI48" s="8" t="n">
        <v>0</v>
      </c>
      <c r="AJ48" s="8" t="n">
        <v>0</v>
      </c>
      <c r="AK48" s="8" t="n">
        <v>0</v>
      </c>
      <c r="AL48" s="8" t="n">
        <v>0</v>
      </c>
      <c r="AM48" s="8" t="n">
        <v>0</v>
      </c>
      <c r="AN48" s="8" t="n">
        <v>0</v>
      </c>
      <c r="AO48" s="8" t="n">
        <v>0</v>
      </c>
      <c r="AP48" s="8" t="n">
        <v>0</v>
      </c>
      <c r="AQ48" s="8" t="n">
        <v>1</v>
      </c>
      <c r="AR48" s="8" t="n">
        <v>1</v>
      </c>
      <c r="AS48" s="8" t="n">
        <v>1</v>
      </c>
      <c r="AT48" s="8" t="n">
        <v>0</v>
      </c>
      <c r="AU48" s="8" t="n">
        <v>0</v>
      </c>
      <c r="AV48" s="8" t="n">
        <v>0</v>
      </c>
      <c r="AW48" s="8" t="n">
        <v>0</v>
      </c>
      <c r="AX48" s="8" t="n">
        <v>0</v>
      </c>
      <c r="AY48" s="8" t="n">
        <v>0</v>
      </c>
      <c r="AZ48" s="8" t="n">
        <v>0</v>
      </c>
      <c r="BA48" s="8" t="n">
        <v>0</v>
      </c>
      <c r="BB48" s="8" t="n">
        <v>0</v>
      </c>
      <c r="BC48" s="8" t="n">
        <v>246</v>
      </c>
      <c r="BD48" s="8" t="n">
        <v>2</v>
      </c>
      <c r="BE48" s="8" t="n">
        <v>0</v>
      </c>
      <c r="BF48" s="8" t="n">
        <v>0</v>
      </c>
      <c r="BG48" s="10" t="s">
        <v>558</v>
      </c>
      <c r="BH48" s="9" t="s">
        <v>559</v>
      </c>
    </row>
    <row r="49" customFormat="false" ht="15" hidden="false" customHeight="false" outlineLevel="0" collapsed="false">
      <c r="A49" s="8" t="s">
        <v>560</v>
      </c>
      <c r="B49" s="8" t="s">
        <v>561</v>
      </c>
      <c r="C49" s="8" t="n">
        <v>1</v>
      </c>
      <c r="D49" s="8" t="n">
        <v>1910</v>
      </c>
      <c r="E49" s="8" t="n">
        <v>1910</v>
      </c>
      <c r="F49" s="8" t="str">
        <f aca="false">IF(D49="","?",IF(D49&lt;1796,"pre-1796",IF(D49&lt;1912,"1796-1911",IF(D49&lt;1949,"1912-1948","1949+"))))</f>
        <v>1796-1911</v>
      </c>
      <c r="G49" s="8" t="str">
        <f aca="false">IF(D49="","?",IF(D49&lt;1912,"Qing",IF(D49&lt;1949,"Republic","PRC")))</f>
        <v>Qing</v>
      </c>
      <c r="H49" s="8" t="s">
        <v>562</v>
      </c>
      <c r="I49" s="8"/>
      <c r="J49" s="8"/>
      <c r="K49" s="8" t="s">
        <v>84</v>
      </c>
      <c r="L49" s="8"/>
      <c r="M49" s="9" t="s">
        <v>563</v>
      </c>
      <c r="N49" s="8"/>
      <c r="O49" s="8" t="s">
        <v>564</v>
      </c>
      <c r="P49" s="8" t="s">
        <v>133</v>
      </c>
      <c r="Q49" s="9" t="s">
        <v>300</v>
      </c>
      <c r="R49" s="9" t="s">
        <v>565</v>
      </c>
      <c r="S49" s="9" t="s">
        <v>566</v>
      </c>
      <c r="T49" s="8"/>
      <c r="U49" s="8"/>
      <c r="V49" s="9" t="s">
        <v>340</v>
      </c>
      <c r="W49" s="8"/>
      <c r="X49" s="8"/>
      <c r="Y49" s="9" t="s">
        <v>306</v>
      </c>
      <c r="Z49" s="9" t="s">
        <v>567</v>
      </c>
      <c r="AA49" s="8"/>
      <c r="AB49" s="9" t="s">
        <v>568</v>
      </c>
      <c r="AC49" s="8"/>
      <c r="AD49" s="8"/>
      <c r="AE49" s="8"/>
      <c r="AF49" s="8"/>
      <c r="AG49" s="8"/>
      <c r="AH49" s="8"/>
      <c r="AI49" s="8" t="n">
        <v>1</v>
      </c>
      <c r="AJ49" s="8" t="n">
        <v>0</v>
      </c>
      <c r="AK49" s="8" t="n">
        <v>1</v>
      </c>
      <c r="AL49" s="8" t="n">
        <v>0</v>
      </c>
      <c r="AM49" s="8" t="n">
        <v>1</v>
      </c>
      <c r="AN49" s="8" t="n">
        <v>1</v>
      </c>
      <c r="AO49" s="8" t="n">
        <v>1</v>
      </c>
      <c r="AP49" s="8" t="n">
        <v>1</v>
      </c>
      <c r="AQ49" s="8" t="n">
        <v>0</v>
      </c>
      <c r="AR49" s="8" t="n">
        <v>1</v>
      </c>
      <c r="AS49" s="8" t="n">
        <v>1</v>
      </c>
      <c r="AT49" s="8" t="n">
        <v>0</v>
      </c>
      <c r="AU49" s="8" t="n">
        <v>0</v>
      </c>
      <c r="AV49" s="8" t="n">
        <v>1</v>
      </c>
      <c r="AW49" s="8" t="n">
        <v>0</v>
      </c>
      <c r="AX49" s="8" t="n">
        <v>0</v>
      </c>
      <c r="AY49" s="8" t="n">
        <v>0</v>
      </c>
      <c r="AZ49" s="8" t="n">
        <v>0</v>
      </c>
      <c r="BA49" s="8" t="n">
        <v>0</v>
      </c>
      <c r="BB49" s="8" t="n">
        <v>0</v>
      </c>
      <c r="BC49" s="8" t="n">
        <v>253</v>
      </c>
      <c r="BD49" s="8" t="n">
        <v>0</v>
      </c>
      <c r="BE49" s="8" t="n">
        <v>0</v>
      </c>
      <c r="BF49" s="8" t="n">
        <v>0</v>
      </c>
      <c r="BG49" s="10" t="s">
        <v>569</v>
      </c>
      <c r="BH49" s="9" t="s">
        <v>570</v>
      </c>
    </row>
    <row r="50" customFormat="false" ht="15" hidden="false" customHeight="false" outlineLevel="0" collapsed="false">
      <c r="A50" s="8" t="s">
        <v>571</v>
      </c>
      <c r="B50" s="8" t="s">
        <v>572</v>
      </c>
      <c r="C50" s="8" t="n">
        <v>1</v>
      </c>
      <c r="D50" s="8" t="n">
        <v>1913</v>
      </c>
      <c r="E50" s="8" t="n">
        <v>1913</v>
      </c>
      <c r="F50" s="8" t="str">
        <f aca="false">IF(D50="","?",IF(D50&lt;1796,"pre-1796",IF(D50&lt;1912,"1796-1911",IF(D50&lt;1949,"1912-1948","1949+"))))</f>
        <v>1912-1948</v>
      </c>
      <c r="G50" s="8" t="str">
        <f aca="false">IF(D50="","?",IF(D50&lt;1912,"Qing",IF(D50&lt;1949,"Republic","PRC")))</f>
        <v>Republic</v>
      </c>
      <c r="H50" s="8" t="s">
        <v>573</v>
      </c>
      <c r="I50" s="9" t="s">
        <v>128</v>
      </c>
      <c r="J50" s="9" t="s">
        <v>223</v>
      </c>
      <c r="K50" s="8" t="s">
        <v>84</v>
      </c>
      <c r="L50" s="8"/>
      <c r="M50" s="9" t="s">
        <v>574</v>
      </c>
      <c r="N50" s="9" t="s">
        <v>485</v>
      </c>
      <c r="O50" s="8" t="s">
        <v>575</v>
      </c>
      <c r="P50" s="8" t="s">
        <v>114</v>
      </c>
      <c r="Q50" s="8"/>
      <c r="R50" s="9" t="s">
        <v>576</v>
      </c>
      <c r="S50" s="8"/>
      <c r="T50" s="8"/>
      <c r="U50" s="8"/>
      <c r="V50" s="8"/>
      <c r="W50" s="8"/>
      <c r="X50" s="8"/>
      <c r="Y50" s="8"/>
      <c r="Z50" s="8"/>
      <c r="AA50" s="8"/>
      <c r="AB50" s="8"/>
      <c r="AC50" s="8"/>
      <c r="AD50" s="8"/>
      <c r="AE50" s="9" t="s">
        <v>577</v>
      </c>
      <c r="AF50" s="8"/>
      <c r="AG50" s="9" t="s">
        <v>485</v>
      </c>
      <c r="AH50" s="9" t="s">
        <v>578</v>
      </c>
      <c r="AI50" s="8" t="n">
        <v>0</v>
      </c>
      <c r="AJ50" s="8" t="n">
        <v>0</v>
      </c>
      <c r="AK50" s="8" t="n">
        <v>0</v>
      </c>
      <c r="AL50" s="8" t="n">
        <v>0</v>
      </c>
      <c r="AM50" s="8" t="n">
        <v>0</v>
      </c>
      <c r="AN50" s="8" t="n">
        <v>0</v>
      </c>
      <c r="AO50" s="8" t="n">
        <v>0</v>
      </c>
      <c r="AP50" s="8" t="n">
        <v>0</v>
      </c>
      <c r="AQ50" s="8" t="n">
        <v>0</v>
      </c>
      <c r="AR50" s="8" t="n">
        <v>0</v>
      </c>
      <c r="AS50" s="8" t="n">
        <v>0</v>
      </c>
      <c r="AT50" s="8" t="n">
        <v>0</v>
      </c>
      <c r="AU50" s="8" t="n">
        <v>0</v>
      </c>
      <c r="AV50" s="8" t="n">
        <v>0</v>
      </c>
      <c r="AW50" s="8" t="n">
        <v>1</v>
      </c>
      <c r="AX50" s="8" t="n">
        <v>0</v>
      </c>
      <c r="AY50" s="8" t="n">
        <v>0</v>
      </c>
      <c r="AZ50" s="8" t="n">
        <v>1</v>
      </c>
      <c r="BA50" s="8" t="n">
        <v>0</v>
      </c>
      <c r="BB50" s="8" t="n">
        <v>0</v>
      </c>
      <c r="BC50" s="8" t="n">
        <v>152</v>
      </c>
      <c r="BD50" s="8" t="n">
        <v>0</v>
      </c>
      <c r="BE50" s="8" t="n">
        <v>0</v>
      </c>
      <c r="BF50" s="8" t="n">
        <v>0</v>
      </c>
      <c r="BG50" s="10" t="s">
        <v>579</v>
      </c>
      <c r="BH50" s="9" t="s">
        <v>580</v>
      </c>
    </row>
    <row r="51" customFormat="false" ht="15" hidden="false" customHeight="false" outlineLevel="0" collapsed="false">
      <c r="A51" s="8" t="s">
        <v>581</v>
      </c>
      <c r="B51" s="8" t="s">
        <v>582</v>
      </c>
      <c r="C51" s="8" t="n">
        <v>1</v>
      </c>
      <c r="D51" s="8" t="n">
        <v>1906</v>
      </c>
      <c r="E51" s="8" t="n">
        <v>1906</v>
      </c>
      <c r="F51" s="8" t="str">
        <f aca="false">IF(D51="","?",IF(D51&lt;1796,"pre-1796",IF(D51&lt;1912,"1796-1911",IF(D51&lt;1949,"1912-1948","1949+"))))</f>
        <v>1796-1911</v>
      </c>
      <c r="G51" s="8" t="str">
        <f aca="false">IF(D51="","?",IF(D51&lt;1912,"Qing",IF(D51&lt;1949,"Republic","PRC")))</f>
        <v>Qing</v>
      </c>
      <c r="H51" s="8" t="s">
        <v>583</v>
      </c>
      <c r="I51" s="9" t="s">
        <v>128</v>
      </c>
      <c r="J51" s="9" t="s">
        <v>223</v>
      </c>
      <c r="K51" s="8" t="s">
        <v>84</v>
      </c>
      <c r="L51" s="8"/>
      <c r="M51" s="9" t="s">
        <v>584</v>
      </c>
      <c r="N51" s="9" t="s">
        <v>585</v>
      </c>
      <c r="O51" s="8" t="s">
        <v>586</v>
      </c>
      <c r="P51" s="8" t="s">
        <v>114</v>
      </c>
      <c r="Q51" s="8"/>
      <c r="R51" s="9" t="s">
        <v>587</v>
      </c>
      <c r="S51" s="8"/>
      <c r="T51" s="8"/>
      <c r="U51" s="9" t="s">
        <v>588</v>
      </c>
      <c r="V51" s="8"/>
      <c r="W51" s="9" t="s">
        <v>589</v>
      </c>
      <c r="X51" s="8"/>
      <c r="Y51" s="9" t="s">
        <v>306</v>
      </c>
      <c r="Z51" s="9" t="s">
        <v>590</v>
      </c>
      <c r="AA51" s="9" t="s">
        <v>591</v>
      </c>
      <c r="AB51" s="9" t="s">
        <v>592</v>
      </c>
      <c r="AC51" s="8"/>
      <c r="AD51" s="8"/>
      <c r="AE51" s="8"/>
      <c r="AF51" s="8"/>
      <c r="AG51" s="8"/>
      <c r="AH51" s="8"/>
      <c r="AI51" s="8" t="n">
        <v>0</v>
      </c>
      <c r="AJ51" s="8" t="n">
        <v>0</v>
      </c>
      <c r="AK51" s="8" t="n">
        <v>1</v>
      </c>
      <c r="AL51" s="8" t="n">
        <v>0</v>
      </c>
      <c r="AM51" s="8" t="n">
        <v>1</v>
      </c>
      <c r="AN51" s="8" t="n">
        <v>1</v>
      </c>
      <c r="AO51" s="8" t="n">
        <v>1</v>
      </c>
      <c r="AP51" s="8" t="n">
        <v>0</v>
      </c>
      <c r="AQ51" s="8" t="n">
        <v>1</v>
      </c>
      <c r="AR51" s="8" t="n">
        <v>0</v>
      </c>
      <c r="AS51" s="8" t="n">
        <v>0</v>
      </c>
      <c r="AT51" s="8" t="n">
        <v>0</v>
      </c>
      <c r="AU51" s="8" t="n">
        <v>1</v>
      </c>
      <c r="AV51" s="8" t="n">
        <v>0</v>
      </c>
      <c r="AW51" s="8" t="n">
        <v>0</v>
      </c>
      <c r="AX51" s="8" t="n">
        <v>0</v>
      </c>
      <c r="AY51" s="8" t="n">
        <v>0</v>
      </c>
      <c r="AZ51" s="8" t="n">
        <v>0</v>
      </c>
      <c r="BA51" s="8" t="n">
        <v>0</v>
      </c>
      <c r="BB51" s="8" t="n">
        <v>0</v>
      </c>
      <c r="BC51" s="8" t="n">
        <v>268</v>
      </c>
      <c r="BD51" s="8" t="n">
        <v>0</v>
      </c>
      <c r="BE51" s="8" t="n">
        <v>0</v>
      </c>
      <c r="BF51" s="8" t="n">
        <v>0</v>
      </c>
      <c r="BG51" s="10" t="s">
        <v>593</v>
      </c>
      <c r="BH51" s="9" t="s">
        <v>594</v>
      </c>
    </row>
    <row r="52" customFormat="false" ht="15" hidden="false" customHeight="false" outlineLevel="0" collapsed="false">
      <c r="A52" s="8" t="s">
        <v>595</v>
      </c>
      <c r="B52" s="8" t="s">
        <v>596</v>
      </c>
      <c r="C52" s="8" t="n">
        <v>1</v>
      </c>
      <c r="D52" s="8" t="n">
        <v>1932</v>
      </c>
      <c r="E52" s="8" t="n">
        <v>1932</v>
      </c>
      <c r="F52" s="8" t="str">
        <f aca="false">IF(D52="","?",IF(D52&lt;1796,"pre-1796",IF(D52&lt;1912,"1796-1911",IF(D52&lt;1949,"1912-1948","1949+"))))</f>
        <v>1912-1948</v>
      </c>
      <c r="G52" s="8" t="str">
        <f aca="false">IF(D52="","?",IF(D52&lt;1912,"Qing",IF(D52&lt;1949,"Republic","PRC")))</f>
        <v>Republic</v>
      </c>
      <c r="H52" s="8" t="s">
        <v>409</v>
      </c>
      <c r="I52" s="8"/>
      <c r="J52" s="8"/>
      <c r="K52" s="8" t="s">
        <v>130</v>
      </c>
      <c r="L52" s="9" t="s">
        <v>597</v>
      </c>
      <c r="M52" s="8"/>
      <c r="N52" s="8"/>
      <c r="O52" s="8" t="s">
        <v>598</v>
      </c>
      <c r="P52" s="8" t="s">
        <v>87</v>
      </c>
      <c r="Q52" s="9" t="s">
        <v>599</v>
      </c>
      <c r="R52" s="9" t="s">
        <v>600</v>
      </c>
      <c r="S52" s="9" t="s">
        <v>601</v>
      </c>
      <c r="T52" s="8"/>
      <c r="U52" s="8"/>
      <c r="V52" s="8"/>
      <c r="W52" s="8"/>
      <c r="X52" s="8"/>
      <c r="Y52" s="9" t="s">
        <v>602</v>
      </c>
      <c r="Z52" s="8"/>
      <c r="AA52" s="9" t="s">
        <v>603</v>
      </c>
      <c r="AB52" s="8"/>
      <c r="AC52" s="8"/>
      <c r="AD52" s="8"/>
      <c r="AE52" s="8"/>
      <c r="AF52" s="8"/>
      <c r="AG52" s="8"/>
      <c r="AH52" s="8"/>
      <c r="AI52" s="8" t="n">
        <v>1</v>
      </c>
      <c r="AJ52" s="8" t="n">
        <v>0</v>
      </c>
      <c r="AK52" s="8" t="n">
        <v>0</v>
      </c>
      <c r="AL52" s="8" t="n">
        <v>0</v>
      </c>
      <c r="AM52" s="8" t="n">
        <v>0</v>
      </c>
      <c r="AN52" s="8" t="n">
        <v>0</v>
      </c>
      <c r="AO52" s="8" t="n">
        <v>0</v>
      </c>
      <c r="AP52" s="8" t="n">
        <v>0</v>
      </c>
      <c r="AQ52" s="8" t="n">
        <v>1</v>
      </c>
      <c r="AR52" s="8" t="n">
        <v>0</v>
      </c>
      <c r="AS52" s="8" t="n">
        <v>1</v>
      </c>
      <c r="AT52" s="8" t="n">
        <v>0</v>
      </c>
      <c r="AU52" s="8" t="n">
        <v>0</v>
      </c>
      <c r="AV52" s="8" t="n">
        <v>1</v>
      </c>
      <c r="AW52" s="8" t="n">
        <v>0</v>
      </c>
      <c r="AX52" s="8" t="n">
        <v>0</v>
      </c>
      <c r="AY52" s="8" t="n">
        <v>0</v>
      </c>
      <c r="AZ52" s="8" t="n">
        <v>0</v>
      </c>
      <c r="BA52" s="8" t="n">
        <v>0</v>
      </c>
      <c r="BB52" s="8" t="n">
        <v>0</v>
      </c>
      <c r="BC52" s="8" t="n">
        <v>238</v>
      </c>
      <c r="BD52" s="8" t="n">
        <v>0</v>
      </c>
      <c r="BE52" s="8" t="n">
        <v>0</v>
      </c>
      <c r="BF52" s="8" t="n">
        <v>0</v>
      </c>
      <c r="BG52" s="10" t="s">
        <v>604</v>
      </c>
      <c r="BH52" s="9" t="s">
        <v>605</v>
      </c>
    </row>
    <row r="53" customFormat="false" ht="15" hidden="false" customHeight="false" outlineLevel="0" collapsed="false">
      <c r="A53" s="8" t="s">
        <v>606</v>
      </c>
      <c r="B53" s="8" t="s">
        <v>607</v>
      </c>
      <c r="C53" s="8" t="n">
        <v>1</v>
      </c>
      <c r="D53" s="8" t="n">
        <v>1862</v>
      </c>
      <c r="E53" s="8" t="n">
        <v>1862</v>
      </c>
      <c r="F53" s="8" t="str">
        <f aca="false">IF(D53="","?",IF(D53&lt;1796,"pre-1796",IF(D53&lt;1912,"1796-1911",IF(D53&lt;1949,"1912-1948","1949+"))))</f>
        <v>1796-1911</v>
      </c>
      <c r="G53" s="8" t="str">
        <f aca="false">IF(D53="","?",IF(D53&lt;1912,"Qing",IF(D53&lt;1949,"Republic","PRC")))</f>
        <v>Qing</v>
      </c>
      <c r="H53" s="8" t="s">
        <v>145</v>
      </c>
      <c r="I53" s="8"/>
      <c r="J53" s="8"/>
      <c r="K53" s="8" t="s">
        <v>130</v>
      </c>
      <c r="L53" s="8"/>
      <c r="M53" s="9" t="s">
        <v>608</v>
      </c>
      <c r="N53" s="9" t="s">
        <v>609</v>
      </c>
      <c r="O53" s="8" t="s">
        <v>610</v>
      </c>
      <c r="P53" s="8" t="s">
        <v>133</v>
      </c>
      <c r="Q53" s="9" t="s">
        <v>611</v>
      </c>
      <c r="R53" s="8"/>
      <c r="S53" s="9" t="s">
        <v>612</v>
      </c>
      <c r="T53" s="9" t="s">
        <v>609</v>
      </c>
      <c r="U53" s="9" t="s">
        <v>613</v>
      </c>
      <c r="V53" s="8"/>
      <c r="W53" s="9" t="s">
        <v>614</v>
      </c>
      <c r="X53" s="8"/>
      <c r="Y53" s="9" t="s">
        <v>615</v>
      </c>
      <c r="Z53" s="9" t="s">
        <v>616</v>
      </c>
      <c r="AA53" s="8"/>
      <c r="AB53" s="9" t="s">
        <v>617</v>
      </c>
      <c r="AC53" s="8"/>
      <c r="AD53" s="9" t="s">
        <v>618</v>
      </c>
      <c r="AE53" s="8"/>
      <c r="AF53" s="8"/>
      <c r="AG53" s="8"/>
      <c r="AH53" s="8"/>
      <c r="AI53" s="8" t="n">
        <v>0</v>
      </c>
      <c r="AJ53" s="8" t="n">
        <v>0</v>
      </c>
      <c r="AK53" s="8" t="n">
        <v>1</v>
      </c>
      <c r="AL53" s="8" t="n">
        <v>1</v>
      </c>
      <c r="AM53" s="8" t="n">
        <v>1</v>
      </c>
      <c r="AN53" s="8" t="n">
        <v>1</v>
      </c>
      <c r="AO53" s="8" t="n">
        <v>1</v>
      </c>
      <c r="AP53" s="8" t="n">
        <v>1</v>
      </c>
      <c r="AQ53" s="8" t="n">
        <v>0</v>
      </c>
      <c r="AR53" s="8" t="n">
        <v>1</v>
      </c>
      <c r="AS53" s="8" t="n">
        <v>1</v>
      </c>
      <c r="AT53" s="8" t="n">
        <v>1</v>
      </c>
      <c r="AU53" s="8" t="n">
        <v>1</v>
      </c>
      <c r="AV53" s="8" t="n">
        <v>1</v>
      </c>
      <c r="AW53" s="8" t="n">
        <v>0</v>
      </c>
      <c r="AX53" s="8" t="n">
        <v>0</v>
      </c>
      <c r="AY53" s="8" t="n">
        <v>0</v>
      </c>
      <c r="AZ53" s="8" t="n">
        <v>0</v>
      </c>
      <c r="BA53" s="8" t="n">
        <v>0</v>
      </c>
      <c r="BB53" s="8" t="n">
        <v>0</v>
      </c>
      <c r="BC53" s="8" t="n">
        <v>373</v>
      </c>
      <c r="BD53" s="8" t="n">
        <v>0</v>
      </c>
      <c r="BE53" s="8" t="n">
        <v>0</v>
      </c>
      <c r="BF53" s="8" t="n">
        <v>0</v>
      </c>
      <c r="BG53" s="10" t="s">
        <v>619</v>
      </c>
      <c r="BH53" s="9" t="s">
        <v>620</v>
      </c>
    </row>
    <row r="54" customFormat="false" ht="15" hidden="false" customHeight="false" outlineLevel="0" collapsed="false">
      <c r="A54" s="8" t="s">
        <v>621</v>
      </c>
      <c r="B54" s="8" t="s">
        <v>622</v>
      </c>
      <c r="C54" s="8" t="n">
        <v>1</v>
      </c>
      <c r="D54" s="8" t="n">
        <v>1913</v>
      </c>
      <c r="E54" s="8" t="n">
        <v>1913</v>
      </c>
      <c r="F54" s="8" t="str">
        <f aca="false">IF(D54="","?",IF(D54&lt;1796,"pre-1796",IF(D54&lt;1912,"1796-1911",IF(D54&lt;1949,"1912-1948","1949+"))))</f>
        <v>1912-1948</v>
      </c>
      <c r="G54" s="8" t="str">
        <f aca="false">IF(D54="","?",IF(D54&lt;1912,"Qing",IF(D54&lt;1949,"Republic","PRC")))</f>
        <v>Republic</v>
      </c>
      <c r="H54" s="8" t="s">
        <v>573</v>
      </c>
      <c r="I54" s="9" t="s">
        <v>128</v>
      </c>
      <c r="J54" s="9" t="s">
        <v>223</v>
      </c>
      <c r="K54" s="8" t="s">
        <v>84</v>
      </c>
      <c r="L54" s="8"/>
      <c r="M54" s="9" t="s">
        <v>585</v>
      </c>
      <c r="N54" s="9" t="s">
        <v>590</v>
      </c>
      <c r="O54" s="8" t="s">
        <v>623</v>
      </c>
      <c r="P54" s="8" t="s">
        <v>114</v>
      </c>
      <c r="Q54" s="9" t="s">
        <v>115</v>
      </c>
      <c r="R54" s="9" t="s">
        <v>624</v>
      </c>
      <c r="S54" s="8"/>
      <c r="T54" s="8"/>
      <c r="U54" s="9" t="s">
        <v>625</v>
      </c>
      <c r="V54" s="8"/>
      <c r="W54" s="8"/>
      <c r="X54" s="8"/>
      <c r="Y54" s="8"/>
      <c r="Z54" s="8"/>
      <c r="AA54" s="8"/>
      <c r="AB54" s="8"/>
      <c r="AC54" s="8"/>
      <c r="AD54" s="8"/>
      <c r="AE54" s="9" t="s">
        <v>626</v>
      </c>
      <c r="AF54" s="8"/>
      <c r="AG54" s="9" t="s">
        <v>585</v>
      </c>
      <c r="AH54" s="8"/>
      <c r="AI54" s="8" t="n">
        <v>0</v>
      </c>
      <c r="AJ54" s="8" t="n">
        <v>0</v>
      </c>
      <c r="AK54" s="8" t="n">
        <v>0</v>
      </c>
      <c r="AL54" s="8" t="n">
        <v>0</v>
      </c>
      <c r="AM54" s="8" t="n">
        <v>0</v>
      </c>
      <c r="AN54" s="8" t="n">
        <v>0</v>
      </c>
      <c r="AO54" s="8" t="n">
        <v>0</v>
      </c>
      <c r="AP54" s="8" t="n">
        <v>0</v>
      </c>
      <c r="AQ54" s="8" t="n">
        <v>0</v>
      </c>
      <c r="AR54" s="8" t="n">
        <v>0</v>
      </c>
      <c r="AS54" s="8" t="n">
        <v>1</v>
      </c>
      <c r="AT54" s="8" t="n">
        <v>0</v>
      </c>
      <c r="AU54" s="8" t="n">
        <v>0</v>
      </c>
      <c r="AV54" s="8" t="n">
        <v>0</v>
      </c>
      <c r="AW54" s="8" t="n">
        <v>0</v>
      </c>
      <c r="AX54" s="8" t="n">
        <v>1</v>
      </c>
      <c r="AY54" s="8" t="n">
        <v>0</v>
      </c>
      <c r="AZ54" s="8" t="n">
        <v>0</v>
      </c>
      <c r="BA54" s="8" t="n">
        <v>1</v>
      </c>
      <c r="BB54" s="8" t="n">
        <v>1</v>
      </c>
      <c r="BC54" s="8" t="n">
        <v>327</v>
      </c>
      <c r="BD54" s="8" t="n">
        <v>0</v>
      </c>
      <c r="BE54" s="8" t="n">
        <v>0</v>
      </c>
      <c r="BF54" s="8" t="n">
        <v>0</v>
      </c>
      <c r="BG54" s="10" t="s">
        <v>627</v>
      </c>
      <c r="BH54" s="9" t="s">
        <v>628</v>
      </c>
    </row>
    <row r="55" customFormat="false" ht="15" hidden="false" customHeight="false" outlineLevel="0" collapsed="false">
      <c r="A55" s="8" t="s">
        <v>629</v>
      </c>
      <c r="B55" s="8" t="s">
        <v>630</v>
      </c>
      <c r="C55" s="8" t="n">
        <v>1</v>
      </c>
      <c r="D55" s="8" t="n">
        <v>1913</v>
      </c>
      <c r="E55" s="8" t="n">
        <v>1913</v>
      </c>
      <c r="F55" s="8" t="str">
        <f aca="false">IF(D55="","?",IF(D55&lt;1796,"pre-1796",IF(D55&lt;1912,"1796-1911",IF(D55&lt;1949,"1912-1948","1949+"))))</f>
        <v>1912-1948</v>
      </c>
      <c r="G55" s="8" t="str">
        <f aca="false">IF(D55="","?",IF(D55&lt;1912,"Qing",IF(D55&lt;1949,"Republic","PRC")))</f>
        <v>Republic</v>
      </c>
      <c r="H55" s="8" t="s">
        <v>573</v>
      </c>
      <c r="I55" s="9" t="s">
        <v>128</v>
      </c>
      <c r="J55" s="9" t="s">
        <v>223</v>
      </c>
      <c r="K55" s="8" t="s">
        <v>84</v>
      </c>
      <c r="L55" s="8"/>
      <c r="M55" s="9" t="s">
        <v>631</v>
      </c>
      <c r="N55" s="9" t="s">
        <v>485</v>
      </c>
      <c r="O55" s="8" t="s">
        <v>632</v>
      </c>
      <c r="P55" s="8" t="s">
        <v>114</v>
      </c>
      <c r="Q55" s="9" t="s">
        <v>115</v>
      </c>
      <c r="R55" s="9" t="s">
        <v>633</v>
      </c>
      <c r="S55" s="8"/>
      <c r="T55" s="8"/>
      <c r="U55" s="9" t="s">
        <v>634</v>
      </c>
      <c r="V55" s="8"/>
      <c r="W55" s="9" t="s">
        <v>635</v>
      </c>
      <c r="X55" s="8"/>
      <c r="Y55" s="8"/>
      <c r="Z55" s="8"/>
      <c r="AA55" s="8"/>
      <c r="AB55" s="8"/>
      <c r="AC55" s="8"/>
      <c r="AD55" s="8"/>
      <c r="AE55" s="9" t="s">
        <v>636</v>
      </c>
      <c r="AF55" s="9" t="s">
        <v>399</v>
      </c>
      <c r="AG55" s="9" t="s">
        <v>485</v>
      </c>
      <c r="AH55" s="9" t="s">
        <v>637</v>
      </c>
      <c r="AI55" s="8" t="n">
        <v>0</v>
      </c>
      <c r="AJ55" s="8" t="n">
        <v>0</v>
      </c>
      <c r="AK55" s="8" t="n">
        <v>0</v>
      </c>
      <c r="AL55" s="8" t="n">
        <v>0</v>
      </c>
      <c r="AM55" s="8" t="n">
        <v>0</v>
      </c>
      <c r="AN55" s="8" t="n">
        <v>0</v>
      </c>
      <c r="AO55" s="8" t="n">
        <v>0</v>
      </c>
      <c r="AP55" s="8" t="n">
        <v>0</v>
      </c>
      <c r="AQ55" s="8" t="n">
        <v>0</v>
      </c>
      <c r="AR55" s="8" t="n">
        <v>0</v>
      </c>
      <c r="AS55" s="8" t="n">
        <v>1</v>
      </c>
      <c r="AT55" s="8" t="n">
        <v>0</v>
      </c>
      <c r="AU55" s="8" t="n">
        <v>0</v>
      </c>
      <c r="AV55" s="8" t="n">
        <v>0</v>
      </c>
      <c r="AW55" s="8" t="n">
        <v>0</v>
      </c>
      <c r="AX55" s="8" t="n">
        <v>1</v>
      </c>
      <c r="AY55" s="8" t="n">
        <v>1</v>
      </c>
      <c r="AZ55" s="8" t="n">
        <v>0</v>
      </c>
      <c r="BA55" s="8" t="n">
        <v>1</v>
      </c>
      <c r="BB55" s="8" t="n">
        <v>1</v>
      </c>
      <c r="BC55" s="8" t="n">
        <v>334</v>
      </c>
      <c r="BD55" s="8" t="n">
        <v>0</v>
      </c>
      <c r="BE55" s="8" t="n">
        <v>0</v>
      </c>
      <c r="BF55" s="8" t="n">
        <v>0</v>
      </c>
      <c r="BG55" s="10" t="s">
        <v>638</v>
      </c>
      <c r="BH55" s="9" t="s">
        <v>639</v>
      </c>
    </row>
    <row r="56" customFormat="false" ht="15" hidden="false" customHeight="false" outlineLevel="0" collapsed="false">
      <c r="A56" s="8" t="s">
        <v>640</v>
      </c>
      <c r="B56" s="8" t="s">
        <v>641</v>
      </c>
      <c r="C56" s="8" t="n">
        <v>1</v>
      </c>
      <c r="D56" s="8" t="n">
        <v>1884</v>
      </c>
      <c r="E56" s="8" t="n">
        <v>1884</v>
      </c>
      <c r="F56" s="8" t="str">
        <f aca="false">IF(D56="","?",IF(D56&lt;1796,"pre-1796",IF(D56&lt;1912,"1796-1911",IF(D56&lt;1949,"1912-1948","1949+"))))</f>
        <v>1796-1911</v>
      </c>
      <c r="G56" s="8" t="str">
        <f aca="false">IF(D56="","?",IF(D56&lt;1912,"Qing",IF(D56&lt;1949,"Republic","PRC")))</f>
        <v>Qing</v>
      </c>
      <c r="H56" s="8" t="s">
        <v>642</v>
      </c>
      <c r="I56" s="9" t="s">
        <v>128</v>
      </c>
      <c r="J56" s="9" t="s">
        <v>643</v>
      </c>
      <c r="K56" s="8" t="s">
        <v>84</v>
      </c>
      <c r="L56" s="8"/>
      <c r="M56" s="9" t="s">
        <v>644</v>
      </c>
      <c r="N56" s="9" t="s">
        <v>485</v>
      </c>
      <c r="O56" s="8" t="s">
        <v>645</v>
      </c>
      <c r="P56" s="8" t="s">
        <v>133</v>
      </c>
      <c r="Q56" s="9" t="s">
        <v>646</v>
      </c>
      <c r="R56" s="9" t="s">
        <v>647</v>
      </c>
      <c r="S56" s="9" t="s">
        <v>644</v>
      </c>
      <c r="T56" s="9" t="s">
        <v>648</v>
      </c>
      <c r="U56" s="9" t="s">
        <v>649</v>
      </c>
      <c r="V56" s="8"/>
      <c r="W56" s="9" t="s">
        <v>650</v>
      </c>
      <c r="X56" s="9" t="s">
        <v>651</v>
      </c>
      <c r="Y56" s="9" t="s">
        <v>652</v>
      </c>
      <c r="Z56" s="9" t="s">
        <v>653</v>
      </c>
      <c r="AA56" s="9" t="s">
        <v>654</v>
      </c>
      <c r="AB56" s="9" t="s">
        <v>655</v>
      </c>
      <c r="AC56" s="8"/>
      <c r="AD56" s="8"/>
      <c r="AE56" s="8"/>
      <c r="AF56" s="8"/>
      <c r="AG56" s="8"/>
      <c r="AH56" s="8"/>
      <c r="AI56" s="8" t="n">
        <v>0</v>
      </c>
      <c r="AJ56" s="8" t="n">
        <v>0</v>
      </c>
      <c r="AK56" s="8" t="n">
        <v>1</v>
      </c>
      <c r="AL56" s="8" t="n">
        <v>1</v>
      </c>
      <c r="AM56" s="8" t="n">
        <v>1</v>
      </c>
      <c r="AN56" s="8" t="n">
        <v>1</v>
      </c>
      <c r="AO56" s="8" t="n">
        <v>0</v>
      </c>
      <c r="AP56" s="8" t="n">
        <v>1</v>
      </c>
      <c r="AQ56" s="8" t="n">
        <v>0</v>
      </c>
      <c r="AR56" s="8" t="n">
        <v>1</v>
      </c>
      <c r="AS56" s="8" t="n">
        <v>1</v>
      </c>
      <c r="AT56" s="8" t="n">
        <v>0</v>
      </c>
      <c r="AU56" s="8" t="n">
        <v>0</v>
      </c>
      <c r="AV56" s="8" t="n">
        <v>0</v>
      </c>
      <c r="AW56" s="8" t="n">
        <v>0</v>
      </c>
      <c r="AX56" s="8" t="n">
        <v>0</v>
      </c>
      <c r="AY56" s="8" t="n">
        <v>0</v>
      </c>
      <c r="AZ56" s="8" t="n">
        <v>0</v>
      </c>
      <c r="BA56" s="8" t="n">
        <v>0</v>
      </c>
      <c r="BB56" s="8" t="n">
        <v>0</v>
      </c>
      <c r="BC56" s="8" t="n">
        <v>511</v>
      </c>
      <c r="BD56" s="8" t="n">
        <v>0</v>
      </c>
      <c r="BE56" s="8" t="n">
        <v>0</v>
      </c>
      <c r="BF56" s="8" t="n">
        <v>0</v>
      </c>
      <c r="BG56" s="10" t="s">
        <v>656</v>
      </c>
      <c r="BH56" s="9" t="s">
        <v>657</v>
      </c>
    </row>
    <row r="57" customFormat="false" ht="15" hidden="false" customHeight="false" outlineLevel="0" collapsed="false">
      <c r="A57" s="8" t="s">
        <v>658</v>
      </c>
      <c r="B57" s="8" t="s">
        <v>659</v>
      </c>
      <c r="C57" s="8" t="n">
        <v>1</v>
      </c>
      <c r="D57" s="8" t="n">
        <v>1884</v>
      </c>
      <c r="E57" s="8" t="n">
        <v>1884</v>
      </c>
      <c r="F57" s="8" t="str">
        <f aca="false">IF(D57="","?",IF(D57&lt;1796,"pre-1796",IF(D57&lt;1912,"1796-1911",IF(D57&lt;1949,"1912-1948","1949+"))))</f>
        <v>1796-1911</v>
      </c>
      <c r="G57" s="8" t="str">
        <f aca="false">IF(D57="","?",IF(D57&lt;1912,"Qing",IF(D57&lt;1949,"Republic","PRC")))</f>
        <v>Qing</v>
      </c>
      <c r="H57" s="8" t="s">
        <v>642</v>
      </c>
      <c r="I57" s="9" t="s">
        <v>128</v>
      </c>
      <c r="J57" s="9" t="s">
        <v>643</v>
      </c>
      <c r="K57" s="8" t="s">
        <v>84</v>
      </c>
      <c r="L57" s="8"/>
      <c r="M57" s="9" t="s">
        <v>660</v>
      </c>
      <c r="N57" s="9" t="s">
        <v>661</v>
      </c>
      <c r="O57" s="8" t="s">
        <v>662</v>
      </c>
      <c r="P57" s="8" t="s">
        <v>97</v>
      </c>
      <c r="Q57" s="9" t="s">
        <v>663</v>
      </c>
      <c r="R57" s="9" t="s">
        <v>647</v>
      </c>
      <c r="S57" s="9" t="s">
        <v>660</v>
      </c>
      <c r="T57" s="8"/>
      <c r="U57" s="9" t="s">
        <v>664</v>
      </c>
      <c r="V57" s="8"/>
      <c r="W57" s="9" t="s">
        <v>665</v>
      </c>
      <c r="X57" s="9" t="s">
        <v>666</v>
      </c>
      <c r="Y57" s="9" t="s">
        <v>667</v>
      </c>
      <c r="Z57" s="9" t="s">
        <v>668</v>
      </c>
      <c r="AA57" s="8"/>
      <c r="AB57" s="9" t="s">
        <v>669</v>
      </c>
      <c r="AC57" s="8"/>
      <c r="AD57" s="9" t="s">
        <v>670</v>
      </c>
      <c r="AE57" s="8"/>
      <c r="AF57" s="8"/>
      <c r="AG57" s="8"/>
      <c r="AH57" s="8"/>
      <c r="AI57" s="8" t="n">
        <v>1</v>
      </c>
      <c r="AJ57" s="8" t="n">
        <v>0</v>
      </c>
      <c r="AK57" s="8" t="n">
        <v>1</v>
      </c>
      <c r="AL57" s="8" t="n">
        <v>0</v>
      </c>
      <c r="AM57" s="8" t="n">
        <v>1</v>
      </c>
      <c r="AN57" s="8" t="n">
        <v>1</v>
      </c>
      <c r="AO57" s="8" t="n">
        <v>1</v>
      </c>
      <c r="AP57" s="8" t="n">
        <v>1</v>
      </c>
      <c r="AQ57" s="8" t="n">
        <v>0</v>
      </c>
      <c r="AR57" s="8" t="n">
        <v>0</v>
      </c>
      <c r="AS57" s="8" t="n">
        <v>1</v>
      </c>
      <c r="AT57" s="8" t="n">
        <v>1</v>
      </c>
      <c r="AU57" s="8" t="n">
        <v>1</v>
      </c>
      <c r="AV57" s="8" t="n">
        <v>1</v>
      </c>
      <c r="AW57" s="8" t="n">
        <v>0</v>
      </c>
      <c r="AX57" s="8" t="n">
        <v>0</v>
      </c>
      <c r="AY57" s="8" t="n">
        <v>0</v>
      </c>
      <c r="AZ57" s="8" t="n">
        <v>0</v>
      </c>
      <c r="BA57" s="8" t="n">
        <v>0</v>
      </c>
      <c r="BB57" s="8" t="n">
        <v>0</v>
      </c>
      <c r="BC57" s="8" t="n">
        <v>500</v>
      </c>
      <c r="BD57" s="8" t="n">
        <v>0</v>
      </c>
      <c r="BE57" s="8" t="n">
        <v>0</v>
      </c>
      <c r="BF57" s="8" t="n">
        <v>0</v>
      </c>
      <c r="BG57" s="10" t="s">
        <v>671</v>
      </c>
      <c r="BH57" s="9" t="s">
        <v>672</v>
      </c>
    </row>
    <row r="58" customFormat="false" ht="15" hidden="false" customHeight="false" outlineLevel="0" collapsed="false">
      <c r="A58" s="8" t="s">
        <v>673</v>
      </c>
      <c r="B58" s="8" t="s">
        <v>674</v>
      </c>
      <c r="C58" s="8" t="n">
        <v>1</v>
      </c>
      <c r="D58" s="8" t="n">
        <v>1924</v>
      </c>
      <c r="E58" s="8" t="n">
        <v>1924</v>
      </c>
      <c r="F58" s="8" t="str">
        <f aca="false">IF(D58="","?",IF(D58&lt;1796,"pre-1796",IF(D58&lt;1912,"1796-1911",IF(D58&lt;1949,"1912-1948","1949+"))))</f>
        <v>1912-1948</v>
      </c>
      <c r="G58" s="8" t="str">
        <f aca="false">IF(D58="","?",IF(D58&lt;1912,"Qing",IF(D58&lt;1949,"Republic","PRC")))</f>
        <v>Republic</v>
      </c>
      <c r="H58" s="8" t="s">
        <v>237</v>
      </c>
      <c r="I58" s="8"/>
      <c r="J58" s="8"/>
      <c r="K58" s="8" t="s">
        <v>130</v>
      </c>
      <c r="L58" s="8"/>
      <c r="M58" s="9" t="s">
        <v>675</v>
      </c>
      <c r="N58" s="8"/>
      <c r="O58" s="8" t="s">
        <v>676</v>
      </c>
      <c r="P58" s="8" t="s">
        <v>133</v>
      </c>
      <c r="Q58" s="9" t="s">
        <v>677</v>
      </c>
      <c r="R58" s="9" t="s">
        <v>678</v>
      </c>
      <c r="S58" s="8"/>
      <c r="T58" s="8"/>
      <c r="U58" s="9" t="s">
        <v>679</v>
      </c>
      <c r="V58" s="9" t="s">
        <v>244</v>
      </c>
      <c r="W58" s="8"/>
      <c r="X58" s="8"/>
      <c r="Y58" s="8"/>
      <c r="Z58" s="8"/>
      <c r="AA58" s="9" t="s">
        <v>680</v>
      </c>
      <c r="AB58" s="8"/>
      <c r="AC58" s="9" t="s">
        <v>681</v>
      </c>
      <c r="AD58" s="8"/>
      <c r="AE58" s="8"/>
      <c r="AF58" s="8"/>
      <c r="AG58" s="8"/>
      <c r="AH58" s="8"/>
      <c r="AI58" s="8" t="n">
        <v>0</v>
      </c>
      <c r="AJ58" s="8" t="n">
        <v>0</v>
      </c>
      <c r="AK58" s="8" t="n">
        <v>0</v>
      </c>
      <c r="AL58" s="8" t="n">
        <v>0</v>
      </c>
      <c r="AM58" s="8" t="n">
        <v>0</v>
      </c>
      <c r="AN58" s="8" t="n">
        <v>0</v>
      </c>
      <c r="AO58" s="8" t="n">
        <v>0</v>
      </c>
      <c r="AP58" s="8" t="n">
        <v>0</v>
      </c>
      <c r="AQ58" s="8" t="n">
        <v>0</v>
      </c>
      <c r="AR58" s="8" t="n">
        <v>1</v>
      </c>
      <c r="AS58" s="8" t="n">
        <v>1</v>
      </c>
      <c r="AT58" s="8" t="n">
        <v>0</v>
      </c>
      <c r="AU58" s="8" t="n">
        <v>1</v>
      </c>
      <c r="AV58" s="8" t="n">
        <v>0</v>
      </c>
      <c r="AW58" s="8" t="n">
        <v>0</v>
      </c>
      <c r="AX58" s="8" t="n">
        <v>0</v>
      </c>
      <c r="AY58" s="8" t="n">
        <v>0</v>
      </c>
      <c r="AZ58" s="8" t="n">
        <v>0</v>
      </c>
      <c r="BA58" s="8" t="n">
        <v>0</v>
      </c>
      <c r="BB58" s="8" t="n">
        <v>0</v>
      </c>
      <c r="BC58" s="8" t="n">
        <v>401</v>
      </c>
      <c r="BD58" s="8" t="n">
        <v>0</v>
      </c>
      <c r="BE58" s="8" t="n">
        <v>0</v>
      </c>
      <c r="BF58" s="8" t="n">
        <v>0</v>
      </c>
      <c r="BG58" s="10" t="s">
        <v>682</v>
      </c>
      <c r="BH58" s="9" t="s">
        <v>683</v>
      </c>
    </row>
    <row r="59" customFormat="false" ht="15" hidden="false" customHeight="false" outlineLevel="0" collapsed="false">
      <c r="A59" s="8" t="s">
        <v>684</v>
      </c>
      <c r="B59" s="8" t="s">
        <v>685</v>
      </c>
      <c r="C59" s="8" t="n">
        <v>1</v>
      </c>
      <c r="D59" s="8" t="n">
        <v>1875</v>
      </c>
      <c r="E59" s="8" t="n">
        <v>1875</v>
      </c>
      <c r="F59" s="8" t="str">
        <f aca="false">IF(D59="","?",IF(D59&lt;1796,"pre-1796",IF(D59&lt;1912,"1796-1911",IF(D59&lt;1949,"1912-1948","1949+"))))</f>
        <v>1796-1911</v>
      </c>
      <c r="G59" s="8" t="str">
        <f aca="false">IF(D59="","?",IF(D59&lt;1912,"Qing",IF(D59&lt;1949,"Republic","PRC")))</f>
        <v>Qing</v>
      </c>
      <c r="H59" s="8" t="s">
        <v>686</v>
      </c>
      <c r="I59" s="9" t="s">
        <v>128</v>
      </c>
      <c r="J59" s="9" t="s">
        <v>223</v>
      </c>
      <c r="K59" s="8" t="s">
        <v>84</v>
      </c>
      <c r="L59" s="8"/>
      <c r="M59" s="9" t="s">
        <v>574</v>
      </c>
      <c r="N59" s="9" t="s">
        <v>485</v>
      </c>
      <c r="O59" s="8" t="s">
        <v>687</v>
      </c>
      <c r="P59" s="8" t="s">
        <v>87</v>
      </c>
      <c r="Q59" s="8"/>
      <c r="R59" s="8"/>
      <c r="S59" s="8"/>
      <c r="T59" s="8"/>
      <c r="U59" s="8"/>
      <c r="V59" s="8"/>
      <c r="W59" s="8"/>
      <c r="X59" s="8"/>
      <c r="Y59" s="9" t="s">
        <v>652</v>
      </c>
      <c r="Z59" s="9" t="s">
        <v>688</v>
      </c>
      <c r="AA59" s="9" t="s">
        <v>689</v>
      </c>
      <c r="AB59" s="8"/>
      <c r="AC59" s="8"/>
      <c r="AD59" s="8"/>
      <c r="AE59" s="8"/>
      <c r="AF59" s="8"/>
      <c r="AG59" s="8"/>
      <c r="AH59" s="8"/>
      <c r="AI59" s="8" t="n">
        <v>1</v>
      </c>
      <c r="AJ59" s="8" t="n">
        <v>0</v>
      </c>
      <c r="AK59" s="8" t="n">
        <v>1</v>
      </c>
      <c r="AL59" s="8" t="n">
        <v>0</v>
      </c>
      <c r="AM59" s="8" t="n">
        <v>0</v>
      </c>
      <c r="AN59" s="8" t="n">
        <v>0</v>
      </c>
      <c r="AO59" s="8" t="n">
        <v>1</v>
      </c>
      <c r="AP59" s="8" t="n">
        <v>0</v>
      </c>
      <c r="AQ59" s="8" t="n">
        <v>1</v>
      </c>
      <c r="AR59" s="8" t="n">
        <v>0</v>
      </c>
      <c r="AS59" s="8" t="n">
        <v>1</v>
      </c>
      <c r="AT59" s="8" t="n">
        <v>0</v>
      </c>
      <c r="AU59" s="8" t="n">
        <v>0</v>
      </c>
      <c r="AV59" s="8" t="n">
        <v>0</v>
      </c>
      <c r="AW59" s="8" t="n">
        <v>0</v>
      </c>
      <c r="AX59" s="8" t="n">
        <v>0</v>
      </c>
      <c r="AY59" s="8" t="n">
        <v>0</v>
      </c>
      <c r="AZ59" s="8" t="n">
        <v>0</v>
      </c>
      <c r="BA59" s="8" t="n">
        <v>0</v>
      </c>
      <c r="BB59" s="8" t="n">
        <v>0</v>
      </c>
      <c r="BC59" s="8" t="n">
        <v>370</v>
      </c>
      <c r="BD59" s="8" t="n">
        <v>0</v>
      </c>
      <c r="BE59" s="8" t="n">
        <v>0</v>
      </c>
      <c r="BF59" s="8" t="n">
        <v>0</v>
      </c>
      <c r="BG59" s="10" t="s">
        <v>690</v>
      </c>
      <c r="BH59" s="9" t="s">
        <v>691</v>
      </c>
    </row>
    <row r="60" customFormat="false" ht="15" hidden="false" customHeight="false" outlineLevel="0" collapsed="false">
      <c r="A60" s="8" t="s">
        <v>692</v>
      </c>
      <c r="B60" s="8" t="s">
        <v>693</v>
      </c>
      <c r="C60" s="8" t="n">
        <v>1</v>
      </c>
      <c r="D60" s="8" t="n">
        <v>1893</v>
      </c>
      <c r="E60" s="8" t="n">
        <v>1893</v>
      </c>
      <c r="F60" s="8" t="str">
        <f aca="false">IF(D60="","?",IF(D60&lt;1796,"pre-1796",IF(D60&lt;1912,"1796-1911",IF(D60&lt;1949,"1912-1948","1949+"))))</f>
        <v>1796-1911</v>
      </c>
      <c r="G60" s="8" t="str">
        <f aca="false">IF(D60="","?",IF(D60&lt;1912,"Qing",IF(D60&lt;1949,"Republic","PRC")))</f>
        <v>Qing</v>
      </c>
      <c r="H60" s="8" t="s">
        <v>694</v>
      </c>
      <c r="I60" s="9" t="s">
        <v>128</v>
      </c>
      <c r="J60" s="9" t="s">
        <v>223</v>
      </c>
      <c r="K60" s="8" t="s">
        <v>84</v>
      </c>
      <c r="L60" s="8"/>
      <c r="M60" s="9" t="s">
        <v>695</v>
      </c>
      <c r="N60" s="9" t="s">
        <v>609</v>
      </c>
      <c r="O60" s="8" t="s">
        <v>696</v>
      </c>
      <c r="P60" s="8" t="s">
        <v>97</v>
      </c>
      <c r="Q60" s="9" t="s">
        <v>663</v>
      </c>
      <c r="R60" s="9" t="s">
        <v>697</v>
      </c>
      <c r="S60" s="9" t="s">
        <v>698</v>
      </c>
      <c r="T60" s="8"/>
      <c r="U60" s="9" t="s">
        <v>699</v>
      </c>
      <c r="V60" s="8"/>
      <c r="W60" s="9" t="s">
        <v>700</v>
      </c>
      <c r="X60" s="8"/>
      <c r="Y60" s="9" t="s">
        <v>500</v>
      </c>
      <c r="Z60" s="9" t="s">
        <v>701</v>
      </c>
      <c r="AA60" s="9" t="s">
        <v>702</v>
      </c>
      <c r="AB60" s="9" t="s">
        <v>703</v>
      </c>
      <c r="AC60" s="9" t="s">
        <v>704</v>
      </c>
      <c r="AD60" s="8"/>
      <c r="AE60" s="8"/>
      <c r="AF60" s="8"/>
      <c r="AG60" s="8"/>
      <c r="AH60" s="8"/>
      <c r="AI60" s="8" t="n">
        <v>0</v>
      </c>
      <c r="AJ60" s="8" t="n">
        <v>0</v>
      </c>
      <c r="AK60" s="8" t="n">
        <v>0</v>
      </c>
      <c r="AL60" s="8" t="n">
        <v>0</v>
      </c>
      <c r="AM60" s="8" t="n">
        <v>1</v>
      </c>
      <c r="AN60" s="8" t="n">
        <v>0</v>
      </c>
      <c r="AO60" s="8" t="n">
        <v>0</v>
      </c>
      <c r="AP60" s="8" t="n">
        <v>1</v>
      </c>
      <c r="AQ60" s="8" t="n">
        <v>0</v>
      </c>
      <c r="AR60" s="8" t="n">
        <v>0</v>
      </c>
      <c r="AS60" s="8" t="n">
        <v>1</v>
      </c>
      <c r="AT60" s="8" t="n">
        <v>0</v>
      </c>
      <c r="AU60" s="8" t="n">
        <v>0</v>
      </c>
      <c r="AV60" s="8" t="n">
        <v>1</v>
      </c>
      <c r="AW60" s="8" t="n">
        <v>0</v>
      </c>
      <c r="AX60" s="8" t="n">
        <v>0</v>
      </c>
      <c r="AY60" s="8" t="n">
        <v>0</v>
      </c>
      <c r="AZ60" s="8" t="n">
        <v>0</v>
      </c>
      <c r="BA60" s="8" t="n">
        <v>0</v>
      </c>
      <c r="BB60" s="8" t="n">
        <v>0</v>
      </c>
      <c r="BC60" s="8" t="n">
        <v>335</v>
      </c>
      <c r="BD60" s="8" t="n">
        <v>0</v>
      </c>
      <c r="BE60" s="8" t="n">
        <v>0</v>
      </c>
      <c r="BF60" s="8" t="n">
        <v>0</v>
      </c>
      <c r="BG60" s="10" t="s">
        <v>705</v>
      </c>
      <c r="BH60" s="9" t="s">
        <v>706</v>
      </c>
    </row>
    <row r="61" customFormat="false" ht="15" hidden="false" customHeight="false" outlineLevel="0" collapsed="false">
      <c r="A61" s="8" t="s">
        <v>707</v>
      </c>
      <c r="B61" s="8" t="s">
        <v>708</v>
      </c>
      <c r="C61" s="8" t="n">
        <v>1</v>
      </c>
      <c r="D61" s="8" t="n">
        <v>1881</v>
      </c>
      <c r="E61" s="8" t="n">
        <v>1881</v>
      </c>
      <c r="F61" s="8" t="str">
        <f aca="false">IF(D61="","?",IF(D61&lt;1796,"pre-1796",IF(D61&lt;1912,"1796-1911",IF(D61&lt;1949,"1912-1948","1949+"))))</f>
        <v>1796-1911</v>
      </c>
      <c r="G61" s="8" t="str">
        <f aca="false">IF(D61="","?",IF(D61&lt;1912,"Qing",IF(D61&lt;1949,"Republic","PRC")))</f>
        <v>Qing</v>
      </c>
      <c r="H61" s="8" t="s">
        <v>709</v>
      </c>
      <c r="I61" s="9" t="s">
        <v>128</v>
      </c>
      <c r="J61" s="9" t="s">
        <v>223</v>
      </c>
      <c r="K61" s="8" t="s">
        <v>84</v>
      </c>
      <c r="L61" s="8"/>
      <c r="M61" s="9" t="s">
        <v>710</v>
      </c>
      <c r="N61" s="9" t="s">
        <v>485</v>
      </c>
      <c r="O61" s="8" t="s">
        <v>711</v>
      </c>
      <c r="P61" s="8" t="s">
        <v>133</v>
      </c>
      <c r="Q61" s="9" t="s">
        <v>134</v>
      </c>
      <c r="R61" s="8"/>
      <c r="S61" s="9" t="s">
        <v>710</v>
      </c>
      <c r="T61" s="8"/>
      <c r="U61" s="9" t="s">
        <v>712</v>
      </c>
      <c r="V61" s="8"/>
      <c r="W61" s="9" t="s">
        <v>713</v>
      </c>
      <c r="X61" s="9" t="s">
        <v>714</v>
      </c>
      <c r="Y61" s="9" t="s">
        <v>715</v>
      </c>
      <c r="Z61" s="9" t="s">
        <v>716</v>
      </c>
      <c r="AA61" s="8"/>
      <c r="AB61" s="9" t="s">
        <v>717</v>
      </c>
      <c r="AC61" s="8"/>
      <c r="AD61" s="8"/>
      <c r="AE61" s="8"/>
      <c r="AF61" s="8"/>
      <c r="AG61" s="8"/>
      <c r="AH61" s="8"/>
      <c r="AI61" s="8" t="n">
        <v>1</v>
      </c>
      <c r="AJ61" s="8" t="n">
        <v>0</v>
      </c>
      <c r="AK61" s="8" t="n">
        <v>1</v>
      </c>
      <c r="AL61" s="8" t="n">
        <v>1</v>
      </c>
      <c r="AM61" s="8" t="n">
        <v>1</v>
      </c>
      <c r="AN61" s="8" t="n">
        <v>1</v>
      </c>
      <c r="AO61" s="8" t="n">
        <v>1</v>
      </c>
      <c r="AP61" s="8" t="n">
        <v>0</v>
      </c>
      <c r="AQ61" s="8" t="n">
        <v>1</v>
      </c>
      <c r="AR61" s="8" t="n">
        <v>1</v>
      </c>
      <c r="AS61" s="8" t="n">
        <v>1</v>
      </c>
      <c r="AT61" s="8" t="n">
        <v>1</v>
      </c>
      <c r="AU61" s="8" t="n">
        <v>1</v>
      </c>
      <c r="AV61" s="8" t="n">
        <v>0</v>
      </c>
      <c r="AW61" s="8" t="n">
        <v>0</v>
      </c>
      <c r="AX61" s="8" t="n">
        <v>0</v>
      </c>
      <c r="AY61" s="8" t="n">
        <v>0</v>
      </c>
      <c r="AZ61" s="8" t="n">
        <v>0</v>
      </c>
      <c r="BA61" s="8" t="n">
        <v>0</v>
      </c>
      <c r="BB61" s="8" t="n">
        <v>0</v>
      </c>
      <c r="BC61" s="8" t="n">
        <v>278</v>
      </c>
      <c r="BD61" s="8" t="n">
        <v>0</v>
      </c>
      <c r="BE61" s="8" t="n">
        <v>0</v>
      </c>
      <c r="BF61" s="8" t="n">
        <v>0</v>
      </c>
      <c r="BG61" s="10" t="s">
        <v>718</v>
      </c>
      <c r="BH61" s="9" t="s">
        <v>719</v>
      </c>
    </row>
    <row r="62" customFormat="false" ht="15" hidden="false" customHeight="false" outlineLevel="0" collapsed="false">
      <c r="A62" s="8" t="s">
        <v>720</v>
      </c>
      <c r="B62" s="8" t="s">
        <v>721</v>
      </c>
      <c r="C62" s="8" t="n">
        <v>1</v>
      </c>
      <c r="D62" s="8" t="n">
        <v>1894</v>
      </c>
      <c r="E62" s="8" t="n">
        <v>1894</v>
      </c>
      <c r="F62" s="8" t="str">
        <f aca="false">IF(D62="","?",IF(D62&lt;1796,"pre-1796",IF(D62&lt;1912,"1796-1911",IF(D62&lt;1949,"1912-1948","1949+"))))</f>
        <v>1796-1911</v>
      </c>
      <c r="G62" s="8" t="str">
        <f aca="false">IF(D62="","?",IF(D62&lt;1912,"Qing",IF(D62&lt;1949,"Republic","PRC")))</f>
        <v>Qing</v>
      </c>
      <c r="H62" s="8" t="s">
        <v>722</v>
      </c>
      <c r="I62" s="9" t="s">
        <v>128</v>
      </c>
      <c r="J62" s="9" t="s">
        <v>223</v>
      </c>
      <c r="K62" s="8" t="s">
        <v>84</v>
      </c>
      <c r="L62" s="8"/>
      <c r="M62" s="9" t="s">
        <v>698</v>
      </c>
      <c r="N62" s="9" t="s">
        <v>609</v>
      </c>
      <c r="O62" s="8" t="s">
        <v>723</v>
      </c>
      <c r="P62" s="8" t="s">
        <v>87</v>
      </c>
      <c r="Q62" s="9" t="s">
        <v>724</v>
      </c>
      <c r="R62" s="9" t="s">
        <v>725</v>
      </c>
      <c r="S62" s="9" t="s">
        <v>698</v>
      </c>
      <c r="T62" s="9" t="s">
        <v>726</v>
      </c>
      <c r="U62" s="8"/>
      <c r="V62" s="8"/>
      <c r="W62" s="8"/>
      <c r="X62" s="8"/>
      <c r="Y62" s="9" t="s">
        <v>500</v>
      </c>
      <c r="Z62" s="8"/>
      <c r="AA62" s="9" t="s">
        <v>727</v>
      </c>
      <c r="AB62" s="8"/>
      <c r="AC62" s="8"/>
      <c r="AD62" s="8"/>
      <c r="AE62" s="8"/>
      <c r="AF62" s="8"/>
      <c r="AG62" s="8"/>
      <c r="AH62" s="8"/>
      <c r="AI62" s="8" t="n">
        <v>0</v>
      </c>
      <c r="AJ62" s="8" t="n">
        <v>0</v>
      </c>
      <c r="AK62" s="8" t="n">
        <v>0</v>
      </c>
      <c r="AL62" s="8" t="n">
        <v>0</v>
      </c>
      <c r="AM62" s="8" t="n">
        <v>0</v>
      </c>
      <c r="AN62" s="8" t="n">
        <v>0</v>
      </c>
      <c r="AO62" s="8" t="n">
        <v>0</v>
      </c>
      <c r="AP62" s="8" t="n">
        <v>0</v>
      </c>
      <c r="AQ62" s="8" t="n">
        <v>0</v>
      </c>
      <c r="AR62" s="8" t="n">
        <v>0</v>
      </c>
      <c r="AS62" s="8" t="n">
        <v>1</v>
      </c>
      <c r="AT62" s="8" t="n">
        <v>0</v>
      </c>
      <c r="AU62" s="8" t="n">
        <v>0</v>
      </c>
      <c r="AV62" s="8" t="n">
        <v>1</v>
      </c>
      <c r="AW62" s="8" t="n">
        <v>0</v>
      </c>
      <c r="AX62" s="8" t="n">
        <v>0</v>
      </c>
      <c r="AY62" s="8" t="n">
        <v>0</v>
      </c>
      <c r="AZ62" s="8" t="n">
        <v>0</v>
      </c>
      <c r="BA62" s="8" t="n">
        <v>0</v>
      </c>
      <c r="BB62" s="8" t="n">
        <v>0</v>
      </c>
      <c r="BC62" s="8" t="n">
        <v>172</v>
      </c>
      <c r="BD62" s="8" t="n">
        <v>0</v>
      </c>
      <c r="BE62" s="8" t="n">
        <v>0</v>
      </c>
      <c r="BF62" s="8" t="n">
        <v>0</v>
      </c>
      <c r="BG62" s="10" t="s">
        <v>728</v>
      </c>
      <c r="BH62" s="9" t="s">
        <v>729</v>
      </c>
    </row>
    <row r="63" customFormat="false" ht="15" hidden="false" customHeight="false" outlineLevel="0" collapsed="false">
      <c r="A63" s="8" t="s">
        <v>730</v>
      </c>
      <c r="B63" s="8" t="s">
        <v>731</v>
      </c>
      <c r="C63" s="8" t="n">
        <v>1</v>
      </c>
      <c r="D63" s="8" t="n">
        <v>1894</v>
      </c>
      <c r="E63" s="8" t="n">
        <v>1894</v>
      </c>
      <c r="F63" s="8" t="str">
        <f aca="false">IF(D63="","?",IF(D63&lt;1796,"pre-1796",IF(D63&lt;1912,"1796-1911",IF(D63&lt;1949,"1912-1948","1949+"))))</f>
        <v>1796-1911</v>
      </c>
      <c r="G63" s="8" t="str">
        <f aca="false">IF(D63="","?",IF(D63&lt;1912,"Qing",IF(D63&lt;1949,"Republic","PRC")))</f>
        <v>Qing</v>
      </c>
      <c r="H63" s="8" t="s">
        <v>722</v>
      </c>
      <c r="I63" s="9" t="s">
        <v>128</v>
      </c>
      <c r="J63" s="9" t="s">
        <v>223</v>
      </c>
      <c r="K63" s="8" t="s">
        <v>84</v>
      </c>
      <c r="L63" s="8"/>
      <c r="M63" s="9" t="s">
        <v>698</v>
      </c>
      <c r="N63" s="9" t="s">
        <v>609</v>
      </c>
      <c r="O63" s="8" t="s">
        <v>732</v>
      </c>
      <c r="P63" s="8" t="s">
        <v>97</v>
      </c>
      <c r="Q63" s="9" t="s">
        <v>733</v>
      </c>
      <c r="R63" s="9" t="s">
        <v>734</v>
      </c>
      <c r="S63" s="9" t="s">
        <v>698</v>
      </c>
      <c r="T63" s="8"/>
      <c r="U63" s="8"/>
      <c r="V63" s="8"/>
      <c r="W63" s="8"/>
      <c r="X63" s="8"/>
      <c r="Y63" s="9" t="s">
        <v>500</v>
      </c>
      <c r="Z63" s="9" t="s">
        <v>735</v>
      </c>
      <c r="AA63" s="9" t="s">
        <v>727</v>
      </c>
      <c r="AB63" s="9" t="s">
        <v>736</v>
      </c>
      <c r="AC63" s="9" t="s">
        <v>704</v>
      </c>
      <c r="AD63" s="8"/>
      <c r="AE63" s="8"/>
      <c r="AF63" s="8"/>
      <c r="AG63" s="8"/>
      <c r="AH63" s="8"/>
      <c r="AI63" s="8" t="n">
        <v>1</v>
      </c>
      <c r="AJ63" s="8" t="n">
        <v>1</v>
      </c>
      <c r="AK63" s="8" t="n">
        <v>1</v>
      </c>
      <c r="AL63" s="8" t="n">
        <v>1</v>
      </c>
      <c r="AM63" s="8" t="n">
        <v>1</v>
      </c>
      <c r="AN63" s="8" t="n">
        <v>0</v>
      </c>
      <c r="AO63" s="8" t="n">
        <v>0</v>
      </c>
      <c r="AP63" s="8" t="n">
        <v>0</v>
      </c>
      <c r="AQ63" s="8" t="n">
        <v>1</v>
      </c>
      <c r="AR63" s="8" t="n">
        <v>1</v>
      </c>
      <c r="AS63" s="8" t="n">
        <v>1</v>
      </c>
      <c r="AT63" s="8" t="n">
        <v>0</v>
      </c>
      <c r="AU63" s="8" t="n">
        <v>0</v>
      </c>
      <c r="AV63" s="8" t="n">
        <v>1</v>
      </c>
      <c r="AW63" s="8" t="n">
        <v>0</v>
      </c>
      <c r="AX63" s="8" t="n">
        <v>0</v>
      </c>
      <c r="AY63" s="8" t="n">
        <v>0</v>
      </c>
      <c r="AZ63" s="8" t="n">
        <v>0</v>
      </c>
      <c r="BA63" s="8" t="n">
        <v>0</v>
      </c>
      <c r="BB63" s="8" t="n">
        <v>0</v>
      </c>
      <c r="BC63" s="8" t="n">
        <v>229</v>
      </c>
      <c r="BD63" s="8" t="n">
        <v>0</v>
      </c>
      <c r="BE63" s="8" t="n">
        <v>0</v>
      </c>
      <c r="BF63" s="8" t="n">
        <v>0</v>
      </c>
      <c r="BG63" s="10" t="s">
        <v>737</v>
      </c>
      <c r="BH63" s="9" t="s">
        <v>738</v>
      </c>
    </row>
    <row r="64" customFormat="false" ht="15" hidden="false" customHeight="false" outlineLevel="0" collapsed="false">
      <c r="A64" s="8" t="s">
        <v>739</v>
      </c>
      <c r="B64" s="8" t="s">
        <v>740</v>
      </c>
      <c r="C64" s="8" t="n">
        <v>1</v>
      </c>
      <c r="D64" s="8" t="n">
        <v>1866</v>
      </c>
      <c r="E64" s="8" t="n">
        <v>1871</v>
      </c>
      <c r="F64" s="8" t="str">
        <f aca="false">IF(D64="","?",IF(D64&lt;1796,"pre-1796",IF(D64&lt;1912,"1796-1911",IF(D64&lt;1949,"1912-1948","1949+"))))</f>
        <v>1796-1911</v>
      </c>
      <c r="G64" s="8" t="str">
        <f aca="false">IF(D64="","?",IF(D64&lt;1912,"Qing",IF(D64&lt;1949,"Republic","PRC")))</f>
        <v>Qing</v>
      </c>
      <c r="H64" s="8" t="s">
        <v>741</v>
      </c>
      <c r="I64" s="9" t="s">
        <v>128</v>
      </c>
      <c r="J64" s="9" t="s">
        <v>643</v>
      </c>
      <c r="K64" s="8" t="s">
        <v>84</v>
      </c>
      <c r="L64" s="8"/>
      <c r="M64" s="9" t="s">
        <v>742</v>
      </c>
      <c r="N64" s="9" t="s">
        <v>609</v>
      </c>
      <c r="O64" s="8" t="s">
        <v>743</v>
      </c>
      <c r="P64" s="8" t="s">
        <v>114</v>
      </c>
      <c r="Q64" s="9" t="s">
        <v>744</v>
      </c>
      <c r="R64" s="9" t="s">
        <v>135</v>
      </c>
      <c r="S64" s="8"/>
      <c r="T64" s="9" t="s">
        <v>609</v>
      </c>
      <c r="U64" s="9" t="s">
        <v>745</v>
      </c>
      <c r="V64" s="8"/>
      <c r="W64" s="9" t="s">
        <v>746</v>
      </c>
      <c r="X64" s="9" t="s">
        <v>747</v>
      </c>
      <c r="Y64" s="9" t="s">
        <v>652</v>
      </c>
      <c r="Z64" s="9" t="s">
        <v>485</v>
      </c>
      <c r="AA64" s="9" t="s">
        <v>748</v>
      </c>
      <c r="AB64" s="9" t="s">
        <v>749</v>
      </c>
      <c r="AC64" s="9" t="s">
        <v>750</v>
      </c>
      <c r="AD64" s="9" t="s">
        <v>751</v>
      </c>
      <c r="AE64" s="8"/>
      <c r="AF64" s="8"/>
      <c r="AG64" s="8"/>
      <c r="AH64" s="8"/>
      <c r="AI64" s="8" t="n">
        <v>1</v>
      </c>
      <c r="AJ64" s="8" t="n">
        <v>0</v>
      </c>
      <c r="AK64" s="8" t="n">
        <v>0</v>
      </c>
      <c r="AL64" s="8" t="n">
        <v>1</v>
      </c>
      <c r="AM64" s="8" t="n">
        <v>1</v>
      </c>
      <c r="AN64" s="8" t="n">
        <v>1</v>
      </c>
      <c r="AO64" s="8" t="n">
        <v>1</v>
      </c>
      <c r="AP64" s="8" t="n">
        <v>1</v>
      </c>
      <c r="AQ64" s="8" t="n">
        <v>0</v>
      </c>
      <c r="AR64" s="8" t="n">
        <v>1</v>
      </c>
      <c r="AS64" s="8" t="n">
        <v>1</v>
      </c>
      <c r="AT64" s="8" t="n">
        <v>0</v>
      </c>
      <c r="AU64" s="8" t="n">
        <v>0</v>
      </c>
      <c r="AV64" s="8" t="n">
        <v>1</v>
      </c>
      <c r="AW64" s="8" t="n">
        <v>0</v>
      </c>
      <c r="AX64" s="8" t="n">
        <v>0</v>
      </c>
      <c r="AY64" s="8" t="n">
        <v>0</v>
      </c>
      <c r="AZ64" s="8" t="n">
        <v>0</v>
      </c>
      <c r="BA64" s="8" t="n">
        <v>0</v>
      </c>
      <c r="BB64" s="8" t="n">
        <v>0</v>
      </c>
      <c r="BC64" s="8" t="n">
        <v>461</v>
      </c>
      <c r="BD64" s="8" t="n">
        <v>0</v>
      </c>
      <c r="BE64" s="8" t="n">
        <v>0</v>
      </c>
      <c r="BF64" s="8" t="n">
        <v>0</v>
      </c>
      <c r="BG64" s="10" t="s">
        <v>752</v>
      </c>
      <c r="BH64" s="9" t="s">
        <v>753</v>
      </c>
    </row>
    <row r="65" customFormat="false" ht="15" hidden="false" customHeight="false" outlineLevel="0" collapsed="false">
      <c r="A65" s="8" t="s">
        <v>754</v>
      </c>
      <c r="B65" s="8" t="s">
        <v>740</v>
      </c>
      <c r="C65" s="8" t="n">
        <v>2</v>
      </c>
      <c r="D65" s="8" t="n">
        <v>1866</v>
      </c>
      <c r="E65" s="8" t="n">
        <v>1871</v>
      </c>
      <c r="F65" s="8" t="str">
        <f aca="false">IF(D65="","?",IF(D65&lt;1796,"pre-1796",IF(D65&lt;1912,"1796-1911",IF(D65&lt;1949,"1912-1948","1949+"))))</f>
        <v>1796-1911</v>
      </c>
      <c r="G65" s="8" t="str">
        <f aca="false">IF(D65="","?",IF(D65&lt;1912,"Qing",IF(D65&lt;1949,"Republic","PRC")))</f>
        <v>Qing</v>
      </c>
      <c r="H65" s="8" t="s">
        <v>741</v>
      </c>
      <c r="I65" s="9" t="s">
        <v>128</v>
      </c>
      <c r="J65" s="9" t="s">
        <v>643</v>
      </c>
      <c r="K65" s="8" t="s">
        <v>84</v>
      </c>
      <c r="L65" s="8"/>
      <c r="M65" s="9" t="s">
        <v>742</v>
      </c>
      <c r="N65" s="9" t="s">
        <v>609</v>
      </c>
      <c r="O65" s="8" t="s">
        <v>743</v>
      </c>
      <c r="P65" s="8" t="s">
        <v>87</v>
      </c>
      <c r="Q65" s="8"/>
      <c r="R65" s="8"/>
      <c r="S65" s="8"/>
      <c r="T65" s="8"/>
      <c r="U65" s="8"/>
      <c r="V65" s="8"/>
      <c r="W65" s="8"/>
      <c r="X65" s="8"/>
      <c r="Y65" s="8"/>
      <c r="Z65" s="8"/>
      <c r="AA65" s="8"/>
      <c r="AB65" s="8"/>
      <c r="AC65" s="8"/>
      <c r="AD65" s="8"/>
      <c r="AE65" s="8"/>
      <c r="AF65" s="8"/>
      <c r="AG65" s="8"/>
      <c r="AH65" s="8"/>
      <c r="AI65" s="8" t="n">
        <v>0</v>
      </c>
      <c r="AJ65" s="8" t="n">
        <v>0</v>
      </c>
      <c r="AK65" s="8" t="n">
        <v>0</v>
      </c>
      <c r="AL65" s="8" t="n">
        <v>0</v>
      </c>
      <c r="AM65" s="8" t="n">
        <v>0</v>
      </c>
      <c r="AN65" s="8" t="n">
        <v>0</v>
      </c>
      <c r="AO65" s="8" t="n">
        <v>0</v>
      </c>
      <c r="AP65" s="8" t="n">
        <v>0</v>
      </c>
      <c r="AQ65" s="8" t="n">
        <v>0</v>
      </c>
      <c r="AR65" s="8" t="n">
        <v>0</v>
      </c>
      <c r="AS65" s="8" t="n">
        <v>0</v>
      </c>
      <c r="AT65" s="8" t="n">
        <v>0</v>
      </c>
      <c r="AU65" s="8" t="n">
        <v>0</v>
      </c>
      <c r="AV65" s="8" t="n">
        <v>0</v>
      </c>
      <c r="AW65" s="8" t="n">
        <v>0</v>
      </c>
      <c r="AX65" s="8" t="n">
        <v>0</v>
      </c>
      <c r="AY65" s="8" t="n">
        <v>0</v>
      </c>
      <c r="AZ65" s="8" t="n">
        <v>0</v>
      </c>
      <c r="BA65" s="8" t="n">
        <v>0</v>
      </c>
      <c r="BB65" s="8" t="n">
        <v>0</v>
      </c>
      <c r="BC65" s="8" t="n">
        <v>58</v>
      </c>
      <c r="BD65" s="8" t="n">
        <v>0</v>
      </c>
      <c r="BE65" s="8" t="n">
        <v>0</v>
      </c>
      <c r="BF65" s="8" t="n">
        <v>0</v>
      </c>
      <c r="BG65" s="10" t="s">
        <v>752</v>
      </c>
      <c r="BH65" s="9" t="s">
        <v>755</v>
      </c>
    </row>
    <row r="66" customFormat="false" ht="15" hidden="false" customHeight="false" outlineLevel="0" collapsed="false">
      <c r="A66" s="8" t="s">
        <v>756</v>
      </c>
      <c r="B66" s="8" t="s">
        <v>757</v>
      </c>
      <c r="C66" s="8" t="n">
        <v>1</v>
      </c>
      <c r="D66" s="8" t="n">
        <v>1805</v>
      </c>
      <c r="E66" s="8" t="n">
        <v>1805</v>
      </c>
      <c r="F66" s="8" t="str">
        <f aca="false">IF(D66="","?",IF(D66&lt;1796,"pre-1796",IF(D66&lt;1912,"1796-1911",IF(D66&lt;1949,"1912-1948","1949+"))))</f>
        <v>1796-1911</v>
      </c>
      <c r="G66" s="8" t="str">
        <f aca="false">IF(D66="","?",IF(D66&lt;1912,"Qing",IF(D66&lt;1949,"Republic","PRC")))</f>
        <v>Qing</v>
      </c>
      <c r="H66" s="8" t="s">
        <v>541</v>
      </c>
      <c r="I66" s="9" t="s">
        <v>128</v>
      </c>
      <c r="J66" s="9" t="s">
        <v>643</v>
      </c>
      <c r="K66" s="8" t="s">
        <v>84</v>
      </c>
      <c r="L66" s="8"/>
      <c r="M66" s="9" t="s">
        <v>758</v>
      </c>
      <c r="N66" s="9" t="s">
        <v>609</v>
      </c>
      <c r="O66" s="8" t="s">
        <v>759</v>
      </c>
      <c r="P66" s="8" t="s">
        <v>97</v>
      </c>
      <c r="Q66" s="9" t="s">
        <v>352</v>
      </c>
      <c r="R66" s="9" t="s">
        <v>760</v>
      </c>
      <c r="S66" s="9" t="s">
        <v>758</v>
      </c>
      <c r="T66" s="8"/>
      <c r="U66" s="9" t="s">
        <v>761</v>
      </c>
      <c r="V66" s="8"/>
      <c r="W66" s="8"/>
      <c r="X66" s="8"/>
      <c r="Y66" s="9" t="s">
        <v>306</v>
      </c>
      <c r="Z66" s="9" t="s">
        <v>762</v>
      </c>
      <c r="AA66" s="9" t="s">
        <v>763</v>
      </c>
      <c r="AB66" s="8"/>
      <c r="AC66" s="8"/>
      <c r="AD66" s="9" t="s">
        <v>764</v>
      </c>
      <c r="AE66" s="8"/>
      <c r="AF66" s="9" t="s">
        <v>765</v>
      </c>
      <c r="AG66" s="8"/>
      <c r="AH66" s="8"/>
      <c r="AI66" s="8" t="n">
        <v>1</v>
      </c>
      <c r="AJ66" s="8" t="n">
        <v>0</v>
      </c>
      <c r="AK66" s="8" t="n">
        <v>0</v>
      </c>
      <c r="AL66" s="8" t="n">
        <v>0</v>
      </c>
      <c r="AM66" s="8" t="n">
        <v>1</v>
      </c>
      <c r="AN66" s="8" t="n">
        <v>1</v>
      </c>
      <c r="AO66" s="8" t="n">
        <v>1</v>
      </c>
      <c r="AP66" s="8" t="n">
        <v>1</v>
      </c>
      <c r="AQ66" s="8" t="n">
        <v>0</v>
      </c>
      <c r="AR66" s="8" t="n">
        <v>1</v>
      </c>
      <c r="AS66" s="8" t="n">
        <v>1</v>
      </c>
      <c r="AT66" s="8" t="n">
        <v>1</v>
      </c>
      <c r="AU66" s="8" t="n">
        <v>1</v>
      </c>
      <c r="AV66" s="8" t="n">
        <v>0</v>
      </c>
      <c r="AW66" s="8" t="n">
        <v>0</v>
      </c>
      <c r="AX66" s="8" t="n">
        <v>0</v>
      </c>
      <c r="AY66" s="8" t="n">
        <v>0</v>
      </c>
      <c r="AZ66" s="8" t="n">
        <v>0</v>
      </c>
      <c r="BA66" s="8" t="n">
        <v>0</v>
      </c>
      <c r="BB66" s="8" t="n">
        <v>0</v>
      </c>
      <c r="BC66" s="8" t="n">
        <v>438</v>
      </c>
      <c r="BD66" s="8" t="n">
        <v>0</v>
      </c>
      <c r="BE66" s="8" t="n">
        <v>0</v>
      </c>
      <c r="BF66" s="8" t="n">
        <v>0</v>
      </c>
      <c r="BG66" s="10" t="s">
        <v>766</v>
      </c>
      <c r="BH66" s="9" t="s">
        <v>767</v>
      </c>
    </row>
    <row r="67" customFormat="false" ht="15" hidden="false" customHeight="false" outlineLevel="0" collapsed="false">
      <c r="A67" s="8" t="s">
        <v>768</v>
      </c>
      <c r="B67" s="8" t="s">
        <v>769</v>
      </c>
      <c r="C67" s="8" t="n">
        <v>1</v>
      </c>
      <c r="D67" s="8" t="n">
        <v>1817</v>
      </c>
      <c r="E67" s="8" t="n">
        <v>1817</v>
      </c>
      <c r="F67" s="8" t="str">
        <f aca="false">IF(D67="","?",IF(D67&lt;1796,"pre-1796",IF(D67&lt;1912,"1796-1911",IF(D67&lt;1949,"1912-1948","1949+"))))</f>
        <v>1796-1911</v>
      </c>
      <c r="G67" s="8" t="str">
        <f aca="false">IF(D67="","?",IF(D67&lt;1912,"Qing",IF(D67&lt;1949,"Republic","PRC")))</f>
        <v>Qing</v>
      </c>
      <c r="H67" s="8" t="s">
        <v>770</v>
      </c>
      <c r="I67" s="9" t="s">
        <v>128</v>
      </c>
      <c r="J67" s="9" t="s">
        <v>643</v>
      </c>
      <c r="K67" s="8" t="s">
        <v>84</v>
      </c>
      <c r="L67" s="8"/>
      <c r="M67" s="9" t="s">
        <v>758</v>
      </c>
      <c r="N67" s="9" t="s">
        <v>771</v>
      </c>
      <c r="O67" s="8" t="s">
        <v>772</v>
      </c>
      <c r="P67" s="8" t="s">
        <v>114</v>
      </c>
      <c r="Q67" s="8"/>
      <c r="R67" s="9" t="s">
        <v>773</v>
      </c>
      <c r="S67" s="8"/>
      <c r="T67" s="8"/>
      <c r="U67" s="8"/>
      <c r="V67" s="8"/>
      <c r="W67" s="9" t="s">
        <v>774</v>
      </c>
      <c r="X67" s="8"/>
      <c r="Y67" s="8"/>
      <c r="Z67" s="8"/>
      <c r="AA67" s="8"/>
      <c r="AB67" s="8"/>
      <c r="AC67" s="8"/>
      <c r="AD67" s="8"/>
      <c r="AE67" s="8"/>
      <c r="AF67" s="8"/>
      <c r="AG67" s="9" t="s">
        <v>775</v>
      </c>
      <c r="AH67" s="8"/>
      <c r="AI67" s="8" t="n">
        <v>0</v>
      </c>
      <c r="AJ67" s="8" t="n">
        <v>0</v>
      </c>
      <c r="AK67" s="8" t="n">
        <v>0</v>
      </c>
      <c r="AL67" s="8" t="n">
        <v>0</v>
      </c>
      <c r="AM67" s="8" t="n">
        <v>0</v>
      </c>
      <c r="AN67" s="8" t="n">
        <v>0</v>
      </c>
      <c r="AO67" s="8" t="n">
        <v>0</v>
      </c>
      <c r="AP67" s="8" t="n">
        <v>0</v>
      </c>
      <c r="AQ67" s="8" t="n">
        <v>0</v>
      </c>
      <c r="AR67" s="8" t="n">
        <v>0</v>
      </c>
      <c r="AS67" s="8" t="n">
        <v>0</v>
      </c>
      <c r="AT67" s="8" t="n">
        <v>0</v>
      </c>
      <c r="AU67" s="8" t="n">
        <v>0</v>
      </c>
      <c r="AV67" s="8" t="n">
        <v>0</v>
      </c>
      <c r="AW67" s="8" t="n">
        <v>0</v>
      </c>
      <c r="AX67" s="8" t="n">
        <v>1</v>
      </c>
      <c r="AY67" s="8" t="n">
        <v>0</v>
      </c>
      <c r="AZ67" s="8" t="n">
        <v>0</v>
      </c>
      <c r="BA67" s="8" t="n">
        <v>0</v>
      </c>
      <c r="BB67" s="8" t="n">
        <v>0</v>
      </c>
      <c r="BC67" s="8" t="n">
        <v>197</v>
      </c>
      <c r="BD67" s="8" t="n">
        <v>5</v>
      </c>
      <c r="BE67" s="8" t="n">
        <v>2</v>
      </c>
      <c r="BF67" s="8" t="n">
        <v>0</v>
      </c>
      <c r="BG67" s="10" t="s">
        <v>776</v>
      </c>
      <c r="BH67" s="9" t="s">
        <v>777</v>
      </c>
    </row>
    <row r="68" customFormat="false" ht="15" hidden="false" customHeight="false" outlineLevel="0" collapsed="false">
      <c r="A68" s="8" t="s">
        <v>778</v>
      </c>
      <c r="B68" s="8" t="s">
        <v>779</v>
      </c>
      <c r="C68" s="8" t="n">
        <v>1</v>
      </c>
      <c r="D68" s="8" t="n">
        <v>1850</v>
      </c>
      <c r="E68" s="8" t="n">
        <v>1850</v>
      </c>
      <c r="F68" s="8" t="str">
        <f aca="false">IF(D68="","?",IF(D68&lt;1796,"pre-1796",IF(D68&lt;1912,"1796-1911",IF(D68&lt;1949,"1912-1948","1949+"))))</f>
        <v>1796-1911</v>
      </c>
      <c r="G68" s="8" t="str">
        <f aca="false">IF(D68="","?",IF(D68&lt;1912,"Qing",IF(D68&lt;1949,"Republic","PRC")))</f>
        <v>Qing</v>
      </c>
      <c r="H68" s="8" t="s">
        <v>780</v>
      </c>
      <c r="I68" s="9" t="s">
        <v>128</v>
      </c>
      <c r="J68" s="9" t="s">
        <v>643</v>
      </c>
      <c r="K68" s="8" t="s">
        <v>130</v>
      </c>
      <c r="L68" s="8"/>
      <c r="M68" s="9" t="s">
        <v>781</v>
      </c>
      <c r="N68" s="9" t="s">
        <v>609</v>
      </c>
      <c r="O68" s="8" t="s">
        <v>782</v>
      </c>
      <c r="P68" s="8" t="s">
        <v>133</v>
      </c>
      <c r="Q68" s="9" t="s">
        <v>783</v>
      </c>
      <c r="R68" s="9" t="s">
        <v>784</v>
      </c>
      <c r="S68" s="9" t="s">
        <v>781</v>
      </c>
      <c r="T68" s="8"/>
      <c r="U68" s="8"/>
      <c r="V68" s="8"/>
      <c r="W68" s="9" t="s">
        <v>785</v>
      </c>
      <c r="X68" s="8"/>
      <c r="Y68" s="9" t="s">
        <v>615</v>
      </c>
      <c r="Z68" s="9" t="s">
        <v>786</v>
      </c>
      <c r="AA68" s="9" t="s">
        <v>787</v>
      </c>
      <c r="AB68" s="9" t="s">
        <v>788</v>
      </c>
      <c r="AC68" s="9" t="s">
        <v>789</v>
      </c>
      <c r="AD68" s="9" t="s">
        <v>790</v>
      </c>
      <c r="AE68" s="8"/>
      <c r="AF68" s="8"/>
      <c r="AG68" s="8"/>
      <c r="AH68" s="8"/>
      <c r="AI68" s="8" t="n">
        <v>1</v>
      </c>
      <c r="AJ68" s="8" t="n">
        <v>1</v>
      </c>
      <c r="AK68" s="8" t="n">
        <v>1</v>
      </c>
      <c r="AL68" s="8" t="n">
        <v>1</v>
      </c>
      <c r="AM68" s="8" t="n">
        <v>1</v>
      </c>
      <c r="AN68" s="8" t="n">
        <v>1</v>
      </c>
      <c r="AO68" s="8" t="n">
        <v>1</v>
      </c>
      <c r="AP68" s="8" t="n">
        <v>1</v>
      </c>
      <c r="AQ68" s="8" t="n">
        <v>0</v>
      </c>
      <c r="AR68" s="8" t="n">
        <v>1</v>
      </c>
      <c r="AS68" s="8" t="n">
        <v>1</v>
      </c>
      <c r="AT68" s="8" t="n">
        <v>1</v>
      </c>
      <c r="AU68" s="8" t="n">
        <v>0</v>
      </c>
      <c r="AV68" s="8" t="n">
        <v>1</v>
      </c>
      <c r="AW68" s="8" t="n">
        <v>0</v>
      </c>
      <c r="AX68" s="8" t="n">
        <v>0</v>
      </c>
      <c r="AY68" s="8" t="n">
        <v>0</v>
      </c>
      <c r="AZ68" s="8" t="n">
        <v>0</v>
      </c>
      <c r="BA68" s="8" t="n">
        <v>0</v>
      </c>
      <c r="BB68" s="8" t="n">
        <v>0</v>
      </c>
      <c r="BC68" s="8" t="n">
        <v>347</v>
      </c>
      <c r="BD68" s="8" t="n">
        <v>0</v>
      </c>
      <c r="BE68" s="8" t="n">
        <v>0</v>
      </c>
      <c r="BF68" s="8" t="n">
        <v>0</v>
      </c>
      <c r="BG68" s="10" t="s">
        <v>791</v>
      </c>
      <c r="BH68" s="9" t="s">
        <v>792</v>
      </c>
    </row>
    <row r="69" customFormat="false" ht="15" hidden="false" customHeight="false" outlineLevel="0" collapsed="false">
      <c r="A69" s="8" t="s">
        <v>793</v>
      </c>
      <c r="B69" s="8" t="s">
        <v>794</v>
      </c>
      <c r="C69" s="8" t="n">
        <v>1</v>
      </c>
      <c r="D69" s="8" t="n">
        <v>1888</v>
      </c>
      <c r="E69" s="8" t="n">
        <v>1888</v>
      </c>
      <c r="F69" s="8" t="str">
        <f aca="false">IF(D69="","?",IF(D69&lt;1796,"pre-1796",IF(D69&lt;1912,"1796-1911",IF(D69&lt;1949,"1912-1948","1949+"))))</f>
        <v>1796-1911</v>
      </c>
      <c r="G69" s="8" t="str">
        <f aca="false">IF(D69="","?",IF(D69&lt;1912,"Qing",IF(D69&lt;1949,"Republic","PRC")))</f>
        <v>Qing</v>
      </c>
      <c r="H69" s="8" t="s">
        <v>795</v>
      </c>
      <c r="I69" s="9" t="s">
        <v>128</v>
      </c>
      <c r="J69" s="9" t="s">
        <v>643</v>
      </c>
      <c r="K69" s="8" t="s">
        <v>84</v>
      </c>
      <c r="L69" s="8"/>
      <c r="M69" s="9" t="s">
        <v>485</v>
      </c>
      <c r="N69" s="9" t="s">
        <v>644</v>
      </c>
      <c r="O69" s="8" t="s">
        <v>796</v>
      </c>
      <c r="P69" s="8" t="s">
        <v>114</v>
      </c>
      <c r="Q69" s="8"/>
      <c r="R69" s="8"/>
      <c r="S69" s="8"/>
      <c r="T69" s="8"/>
      <c r="U69" s="8"/>
      <c r="V69" s="8"/>
      <c r="W69" s="8"/>
      <c r="X69" s="8"/>
      <c r="Y69" s="8"/>
      <c r="Z69" s="8"/>
      <c r="AA69" s="8"/>
      <c r="AB69" s="8"/>
      <c r="AC69" s="8"/>
      <c r="AD69" s="8"/>
      <c r="AE69" s="8"/>
      <c r="AF69" s="8"/>
      <c r="AG69" s="8"/>
      <c r="AH69" s="8"/>
      <c r="AI69" s="8" t="n">
        <v>0</v>
      </c>
      <c r="AJ69" s="8" t="n">
        <v>0</v>
      </c>
      <c r="AK69" s="8" t="n">
        <v>0</v>
      </c>
      <c r="AL69" s="8" t="n">
        <v>0</v>
      </c>
      <c r="AM69" s="8" t="n">
        <v>0</v>
      </c>
      <c r="AN69" s="8" t="n">
        <v>0</v>
      </c>
      <c r="AO69" s="8" t="n">
        <v>0</v>
      </c>
      <c r="AP69" s="8" t="n">
        <v>0</v>
      </c>
      <c r="AQ69" s="8" t="n">
        <v>0</v>
      </c>
      <c r="AR69" s="8" t="n">
        <v>0</v>
      </c>
      <c r="AS69" s="8" t="n">
        <v>0</v>
      </c>
      <c r="AT69" s="8" t="n">
        <v>0</v>
      </c>
      <c r="AU69" s="8" t="n">
        <v>0</v>
      </c>
      <c r="AV69" s="8" t="n">
        <v>0</v>
      </c>
      <c r="AW69" s="8" t="n">
        <v>0</v>
      </c>
      <c r="AX69" s="8" t="n">
        <v>0</v>
      </c>
      <c r="AY69" s="8" t="n">
        <v>0</v>
      </c>
      <c r="AZ69" s="8" t="n">
        <v>0</v>
      </c>
      <c r="BA69" s="8" t="n">
        <v>0</v>
      </c>
      <c r="BB69" s="8" t="n">
        <v>0</v>
      </c>
      <c r="BC69" s="8" t="n">
        <v>118</v>
      </c>
      <c r="BD69" s="8" t="n">
        <v>1</v>
      </c>
      <c r="BE69" s="8" t="n">
        <v>1</v>
      </c>
      <c r="BF69" s="8" t="n">
        <v>0</v>
      </c>
      <c r="BG69" s="10" t="s">
        <v>797</v>
      </c>
      <c r="BH69" s="9" t="s">
        <v>798</v>
      </c>
    </row>
    <row r="70" customFormat="false" ht="15" hidden="false" customHeight="false" outlineLevel="0" collapsed="false">
      <c r="A70" s="8" t="s">
        <v>799</v>
      </c>
      <c r="B70" s="8" t="s">
        <v>800</v>
      </c>
      <c r="C70" s="8" t="n">
        <v>1</v>
      </c>
      <c r="D70" s="8" t="n">
        <v>1913</v>
      </c>
      <c r="E70" s="8" t="n">
        <v>1913</v>
      </c>
      <c r="F70" s="8" t="str">
        <f aca="false">IF(D70="","?",IF(D70&lt;1796,"pre-1796",IF(D70&lt;1912,"1796-1911",IF(D70&lt;1949,"1912-1948","1949+"))))</f>
        <v>1912-1948</v>
      </c>
      <c r="G70" s="8" t="str">
        <f aca="false">IF(D70="","?",IF(D70&lt;1912,"Qing",IF(D70&lt;1949,"Republic","PRC")))</f>
        <v>Republic</v>
      </c>
      <c r="H70" s="8" t="s">
        <v>573</v>
      </c>
      <c r="I70" s="9" t="s">
        <v>128</v>
      </c>
      <c r="J70" s="9" t="s">
        <v>643</v>
      </c>
      <c r="K70" s="8" t="s">
        <v>84</v>
      </c>
      <c r="L70" s="9" t="s">
        <v>771</v>
      </c>
      <c r="M70" s="8"/>
      <c r="N70" s="9" t="s">
        <v>758</v>
      </c>
      <c r="O70" s="8" t="s">
        <v>801</v>
      </c>
      <c r="P70" s="8" t="s">
        <v>114</v>
      </c>
      <c r="Q70" s="9" t="s">
        <v>115</v>
      </c>
      <c r="R70" s="9" t="s">
        <v>802</v>
      </c>
      <c r="S70" s="8"/>
      <c r="T70" s="8"/>
      <c r="U70" s="9" t="s">
        <v>803</v>
      </c>
      <c r="V70" s="8"/>
      <c r="W70" s="9" t="s">
        <v>804</v>
      </c>
      <c r="X70" s="8"/>
      <c r="Y70" s="9" t="s">
        <v>500</v>
      </c>
      <c r="Z70" s="8"/>
      <c r="AA70" s="8"/>
      <c r="AB70" s="8"/>
      <c r="AC70" s="8"/>
      <c r="AD70" s="8"/>
      <c r="AE70" s="9" t="s">
        <v>805</v>
      </c>
      <c r="AF70" s="9" t="s">
        <v>399</v>
      </c>
      <c r="AG70" s="9" t="s">
        <v>771</v>
      </c>
      <c r="AH70" s="9" t="s">
        <v>806</v>
      </c>
      <c r="AI70" s="8" t="n">
        <v>0</v>
      </c>
      <c r="AJ70" s="8" t="n">
        <v>0</v>
      </c>
      <c r="AK70" s="8" t="n">
        <v>0</v>
      </c>
      <c r="AL70" s="8" t="n">
        <v>0</v>
      </c>
      <c r="AM70" s="8" t="n">
        <v>0</v>
      </c>
      <c r="AN70" s="8" t="n">
        <v>0</v>
      </c>
      <c r="AO70" s="8" t="n">
        <v>0</v>
      </c>
      <c r="AP70" s="8" t="n">
        <v>0</v>
      </c>
      <c r="AQ70" s="8" t="n">
        <v>0</v>
      </c>
      <c r="AR70" s="8" t="n">
        <v>0</v>
      </c>
      <c r="AS70" s="8" t="n">
        <v>1</v>
      </c>
      <c r="AT70" s="8" t="n">
        <v>0</v>
      </c>
      <c r="AU70" s="8" t="n">
        <v>0</v>
      </c>
      <c r="AV70" s="8" t="n">
        <v>0</v>
      </c>
      <c r="AW70" s="8" t="n">
        <v>0</v>
      </c>
      <c r="AX70" s="8" t="n">
        <v>1</v>
      </c>
      <c r="AY70" s="8" t="n">
        <v>1</v>
      </c>
      <c r="AZ70" s="8" t="n">
        <v>1</v>
      </c>
      <c r="BA70" s="8" t="n">
        <v>1</v>
      </c>
      <c r="BB70" s="8" t="n">
        <v>1</v>
      </c>
      <c r="BC70" s="8" t="n">
        <v>340</v>
      </c>
      <c r="BD70" s="8" t="n">
        <v>0</v>
      </c>
      <c r="BE70" s="8" t="n">
        <v>0</v>
      </c>
      <c r="BF70" s="8" t="n">
        <v>0</v>
      </c>
      <c r="BG70" s="10" t="s">
        <v>807</v>
      </c>
      <c r="BH70" s="9" t="s">
        <v>808</v>
      </c>
    </row>
    <row r="71" customFormat="false" ht="15" hidden="false" customHeight="false" outlineLevel="0" collapsed="false">
      <c r="A71" s="8" t="s">
        <v>809</v>
      </c>
      <c r="B71" s="8" t="s">
        <v>810</v>
      </c>
      <c r="C71" s="8" t="n">
        <v>1</v>
      </c>
      <c r="D71" s="8" t="n">
        <v>1784</v>
      </c>
      <c r="E71" s="8" t="n">
        <v>1830</v>
      </c>
      <c r="F71" s="8" t="str">
        <f aca="false">IF(D71="","?",IF(D71&lt;1796,"pre-1796",IF(D71&lt;1912,"1796-1911",IF(D71&lt;1949,"1912-1948","1949+"))))</f>
        <v>pre-1796</v>
      </c>
      <c r="G71" s="8" t="str">
        <f aca="false">IF(D71="","?",IF(D71&lt;1912,"Qing",IF(D71&lt;1949,"Republic","PRC")))</f>
        <v>Qing</v>
      </c>
      <c r="H71" s="8" t="s">
        <v>811</v>
      </c>
      <c r="I71" s="9" t="s">
        <v>110</v>
      </c>
      <c r="J71" s="9" t="s">
        <v>111</v>
      </c>
      <c r="K71" s="8" t="s">
        <v>84</v>
      </c>
      <c r="L71" s="9" t="s">
        <v>812</v>
      </c>
      <c r="M71" s="9" t="s">
        <v>813</v>
      </c>
      <c r="N71" s="9" t="s">
        <v>814</v>
      </c>
      <c r="O71" s="8" t="s">
        <v>815</v>
      </c>
      <c r="P71" s="8" t="s">
        <v>133</v>
      </c>
      <c r="Q71" s="9" t="s">
        <v>453</v>
      </c>
      <c r="R71" s="9" t="s">
        <v>816</v>
      </c>
      <c r="S71" s="9" t="s">
        <v>817</v>
      </c>
      <c r="T71" s="8"/>
      <c r="U71" s="9" t="s">
        <v>818</v>
      </c>
      <c r="V71" s="8"/>
      <c r="W71" s="9" t="s">
        <v>819</v>
      </c>
      <c r="X71" s="8"/>
      <c r="Y71" s="9" t="s">
        <v>306</v>
      </c>
      <c r="Z71" s="9" t="s">
        <v>820</v>
      </c>
      <c r="AA71" s="8"/>
      <c r="AB71" s="8"/>
      <c r="AC71" s="8"/>
      <c r="AD71" s="8"/>
      <c r="AE71" s="8"/>
      <c r="AF71" s="8"/>
      <c r="AG71" s="8"/>
      <c r="AH71" s="8"/>
      <c r="AI71" s="8" t="n">
        <v>1</v>
      </c>
      <c r="AJ71" s="8" t="n">
        <v>1</v>
      </c>
      <c r="AK71" s="8" t="n">
        <v>1</v>
      </c>
      <c r="AL71" s="8" t="n">
        <v>1</v>
      </c>
      <c r="AM71" s="8" t="n">
        <v>1</v>
      </c>
      <c r="AN71" s="8" t="n">
        <v>1</v>
      </c>
      <c r="AO71" s="8" t="n">
        <v>1</v>
      </c>
      <c r="AP71" s="8" t="n">
        <v>0</v>
      </c>
      <c r="AQ71" s="8" t="n">
        <v>0</v>
      </c>
      <c r="AR71" s="8" t="n">
        <v>1</v>
      </c>
      <c r="AS71" s="8" t="n">
        <v>1</v>
      </c>
      <c r="AT71" s="8" t="n">
        <v>0</v>
      </c>
      <c r="AU71" s="8" t="n">
        <v>0</v>
      </c>
      <c r="AV71" s="8" t="n">
        <v>0</v>
      </c>
      <c r="AW71" s="8" t="n">
        <v>0</v>
      </c>
      <c r="AX71" s="8" t="n">
        <v>0</v>
      </c>
      <c r="AY71" s="8" t="n">
        <v>0</v>
      </c>
      <c r="AZ71" s="8" t="n">
        <v>0</v>
      </c>
      <c r="BA71" s="8" t="n">
        <v>0</v>
      </c>
      <c r="BB71" s="8" t="n">
        <v>0</v>
      </c>
      <c r="BC71" s="8" t="n">
        <v>295</v>
      </c>
      <c r="BD71" s="8" t="n">
        <v>0</v>
      </c>
      <c r="BE71" s="8" t="n">
        <v>0</v>
      </c>
      <c r="BF71" s="8" t="n">
        <v>0</v>
      </c>
      <c r="BG71" s="10" t="s">
        <v>821</v>
      </c>
      <c r="BH71" s="9" t="s">
        <v>822</v>
      </c>
    </row>
    <row r="72" customFormat="false" ht="15" hidden="false" customHeight="false" outlineLevel="0" collapsed="false">
      <c r="A72" s="8" t="s">
        <v>823</v>
      </c>
      <c r="B72" s="8" t="s">
        <v>810</v>
      </c>
      <c r="C72" s="8" t="n">
        <v>2</v>
      </c>
      <c r="D72" s="8" t="n">
        <v>1784</v>
      </c>
      <c r="E72" s="8" t="n">
        <v>1830</v>
      </c>
      <c r="F72" s="8" t="str">
        <f aca="false">IF(D72="","?",IF(D72&lt;1796,"pre-1796",IF(D72&lt;1912,"1796-1911",IF(D72&lt;1949,"1912-1948","1949+"))))</f>
        <v>pre-1796</v>
      </c>
      <c r="G72" s="8" t="str">
        <f aca="false">IF(D72="","?",IF(D72&lt;1912,"Qing",IF(D72&lt;1949,"Republic","PRC")))</f>
        <v>Qing</v>
      </c>
      <c r="H72" s="8" t="s">
        <v>811</v>
      </c>
      <c r="I72" s="9" t="s">
        <v>110</v>
      </c>
      <c r="J72" s="9" t="s">
        <v>111</v>
      </c>
      <c r="K72" s="8" t="s">
        <v>84</v>
      </c>
      <c r="L72" s="9" t="s">
        <v>812</v>
      </c>
      <c r="M72" s="9" t="s">
        <v>813</v>
      </c>
      <c r="N72" s="9" t="s">
        <v>814</v>
      </c>
      <c r="O72" s="8" t="s">
        <v>815</v>
      </c>
      <c r="P72" s="8" t="s">
        <v>114</v>
      </c>
      <c r="Q72" s="8"/>
      <c r="R72" s="9" t="s">
        <v>824</v>
      </c>
      <c r="S72" s="8"/>
      <c r="T72" s="8"/>
      <c r="U72" s="8"/>
      <c r="V72" s="8"/>
      <c r="W72" s="8"/>
      <c r="X72" s="8"/>
      <c r="Y72" s="8"/>
      <c r="Z72" s="8"/>
      <c r="AA72" s="8"/>
      <c r="AB72" s="8"/>
      <c r="AC72" s="8"/>
      <c r="AD72" s="8"/>
      <c r="AE72" s="8"/>
      <c r="AF72" s="8"/>
      <c r="AG72" s="8"/>
      <c r="AH72" s="8"/>
      <c r="AI72" s="8" t="n">
        <v>0</v>
      </c>
      <c r="AJ72" s="8" t="n">
        <v>0</v>
      </c>
      <c r="AK72" s="8" t="n">
        <v>0</v>
      </c>
      <c r="AL72" s="8" t="n">
        <v>0</v>
      </c>
      <c r="AM72" s="8" t="n">
        <v>0</v>
      </c>
      <c r="AN72" s="8" t="n">
        <v>0</v>
      </c>
      <c r="AO72" s="8" t="n">
        <v>0</v>
      </c>
      <c r="AP72" s="8" t="n">
        <v>0</v>
      </c>
      <c r="AQ72" s="8" t="n">
        <v>0</v>
      </c>
      <c r="AR72" s="8" t="n">
        <v>0</v>
      </c>
      <c r="AS72" s="8" t="n">
        <v>0</v>
      </c>
      <c r="AT72" s="8" t="n">
        <v>0</v>
      </c>
      <c r="AU72" s="8" t="n">
        <v>0</v>
      </c>
      <c r="AV72" s="8" t="n">
        <v>0</v>
      </c>
      <c r="AW72" s="8" t="n">
        <v>0</v>
      </c>
      <c r="AX72" s="8" t="n">
        <v>0</v>
      </c>
      <c r="AY72" s="8" t="n">
        <v>0</v>
      </c>
      <c r="AZ72" s="8" t="n">
        <v>0</v>
      </c>
      <c r="BA72" s="8" t="n">
        <v>0</v>
      </c>
      <c r="BB72" s="8" t="n">
        <v>0</v>
      </c>
      <c r="BC72" s="8" t="n">
        <v>162</v>
      </c>
      <c r="BD72" s="8" t="n">
        <v>2</v>
      </c>
      <c r="BE72" s="8" t="n">
        <v>3</v>
      </c>
      <c r="BF72" s="8" t="n">
        <v>0</v>
      </c>
      <c r="BG72" s="10" t="s">
        <v>821</v>
      </c>
      <c r="BH72" s="9" t="s">
        <v>825</v>
      </c>
    </row>
    <row r="73" customFormat="false" ht="15" hidden="false" customHeight="false" outlineLevel="0" collapsed="false">
      <c r="A73" s="8" t="s">
        <v>826</v>
      </c>
      <c r="B73" s="8" t="s">
        <v>827</v>
      </c>
      <c r="C73" s="8" t="n">
        <v>1</v>
      </c>
      <c r="D73" s="8" t="n">
        <v>1870</v>
      </c>
      <c r="E73" s="8" t="n">
        <v>1907</v>
      </c>
      <c r="F73" s="8" t="str">
        <f aca="false">IF(D73="","?",IF(D73&lt;1796,"pre-1796",IF(D73&lt;1912,"1796-1911",IF(D73&lt;1949,"1912-1948","1949+"))))</f>
        <v>1796-1911</v>
      </c>
      <c r="G73" s="8" t="str">
        <f aca="false">IF(D73="","?",IF(D73&lt;1912,"Qing",IF(D73&lt;1949,"Republic","PRC")))</f>
        <v>Qing</v>
      </c>
      <c r="H73" s="8" t="s">
        <v>828</v>
      </c>
      <c r="I73" s="9" t="s">
        <v>829</v>
      </c>
      <c r="J73" s="9" t="s">
        <v>830</v>
      </c>
      <c r="K73" s="8" t="s">
        <v>84</v>
      </c>
      <c r="L73" s="9" t="s">
        <v>831</v>
      </c>
      <c r="M73" s="9" t="s">
        <v>832</v>
      </c>
      <c r="N73" s="9" t="s">
        <v>833</v>
      </c>
      <c r="O73" s="8" t="s">
        <v>834</v>
      </c>
      <c r="P73" s="8" t="s">
        <v>133</v>
      </c>
      <c r="Q73" s="9" t="s">
        <v>300</v>
      </c>
      <c r="R73" s="9" t="s">
        <v>196</v>
      </c>
      <c r="S73" s="9" t="s">
        <v>832</v>
      </c>
      <c r="T73" s="8"/>
      <c r="U73" s="9" t="s">
        <v>835</v>
      </c>
      <c r="V73" s="8"/>
      <c r="W73" s="8"/>
      <c r="X73" s="8"/>
      <c r="Y73" s="9" t="s">
        <v>306</v>
      </c>
      <c r="Z73" s="8"/>
      <c r="AA73" s="8"/>
      <c r="AB73" s="8"/>
      <c r="AC73" s="8"/>
      <c r="AD73" s="8"/>
      <c r="AE73" s="8"/>
      <c r="AF73" s="8"/>
      <c r="AG73" s="8"/>
      <c r="AH73" s="8"/>
      <c r="AI73" s="8" t="n">
        <v>1</v>
      </c>
      <c r="AJ73" s="8" t="n">
        <v>1</v>
      </c>
      <c r="AK73" s="8" t="n">
        <v>1</v>
      </c>
      <c r="AL73" s="8" t="n">
        <v>0</v>
      </c>
      <c r="AM73" s="8" t="n">
        <v>0</v>
      </c>
      <c r="AN73" s="8" t="n">
        <v>0</v>
      </c>
      <c r="AO73" s="8" t="n">
        <v>0</v>
      </c>
      <c r="AP73" s="8" t="n">
        <v>1</v>
      </c>
      <c r="AQ73" s="8" t="n">
        <v>0</v>
      </c>
      <c r="AR73" s="8" t="n">
        <v>1</v>
      </c>
      <c r="AS73" s="8" t="n">
        <v>1</v>
      </c>
      <c r="AT73" s="8" t="n">
        <v>0</v>
      </c>
      <c r="AU73" s="8" t="n">
        <v>0</v>
      </c>
      <c r="AV73" s="8" t="n">
        <v>0</v>
      </c>
      <c r="AW73" s="8" t="n">
        <v>0</v>
      </c>
      <c r="AX73" s="8" t="n">
        <v>0</v>
      </c>
      <c r="AY73" s="8" t="n">
        <v>0</v>
      </c>
      <c r="AZ73" s="8" t="n">
        <v>0</v>
      </c>
      <c r="BA73" s="8" t="n">
        <v>0</v>
      </c>
      <c r="BB73" s="8" t="n">
        <v>0</v>
      </c>
      <c r="BC73" s="8" t="n">
        <v>201</v>
      </c>
      <c r="BD73" s="8" t="n">
        <v>0</v>
      </c>
      <c r="BE73" s="8" t="n">
        <v>0</v>
      </c>
      <c r="BF73" s="8" t="n">
        <v>0</v>
      </c>
      <c r="BG73" s="10" t="s">
        <v>836</v>
      </c>
      <c r="BH73" s="9" t="s">
        <v>837</v>
      </c>
    </row>
    <row r="74" customFormat="false" ht="15" hidden="false" customHeight="false" outlineLevel="0" collapsed="false">
      <c r="A74" s="8" t="s">
        <v>838</v>
      </c>
      <c r="B74" s="8" t="s">
        <v>827</v>
      </c>
      <c r="C74" s="8" t="n">
        <v>2</v>
      </c>
      <c r="D74" s="8" t="n">
        <v>1870</v>
      </c>
      <c r="E74" s="8" t="n">
        <v>1907</v>
      </c>
      <c r="F74" s="8" t="str">
        <f aca="false">IF(D74="","?",IF(D74&lt;1796,"pre-1796",IF(D74&lt;1912,"1796-1911",IF(D74&lt;1949,"1912-1948","1949+"))))</f>
        <v>1796-1911</v>
      </c>
      <c r="G74" s="8" t="str">
        <f aca="false">IF(D74="","?",IF(D74&lt;1912,"Qing",IF(D74&lt;1949,"Republic","PRC")))</f>
        <v>Qing</v>
      </c>
      <c r="H74" s="8" t="s">
        <v>828</v>
      </c>
      <c r="I74" s="9" t="s">
        <v>829</v>
      </c>
      <c r="J74" s="9" t="s">
        <v>830</v>
      </c>
      <c r="K74" s="8" t="s">
        <v>84</v>
      </c>
      <c r="L74" s="9" t="s">
        <v>831</v>
      </c>
      <c r="M74" s="9" t="s">
        <v>832</v>
      </c>
      <c r="N74" s="9" t="s">
        <v>833</v>
      </c>
      <c r="O74" s="8" t="s">
        <v>834</v>
      </c>
      <c r="P74" s="8" t="s">
        <v>114</v>
      </c>
      <c r="Q74" s="8"/>
      <c r="R74" s="9" t="s">
        <v>839</v>
      </c>
      <c r="S74" s="8"/>
      <c r="T74" s="8"/>
      <c r="U74" s="8"/>
      <c r="V74" s="8"/>
      <c r="W74" s="8"/>
      <c r="X74" s="8"/>
      <c r="Y74" s="8"/>
      <c r="Z74" s="8"/>
      <c r="AA74" s="8"/>
      <c r="AB74" s="8"/>
      <c r="AC74" s="8"/>
      <c r="AD74" s="8"/>
      <c r="AE74" s="8"/>
      <c r="AF74" s="9" t="s">
        <v>291</v>
      </c>
      <c r="AG74" s="9" t="s">
        <v>840</v>
      </c>
      <c r="AH74" s="8"/>
      <c r="AI74" s="8" t="n">
        <v>0</v>
      </c>
      <c r="AJ74" s="8" t="n">
        <v>0</v>
      </c>
      <c r="AK74" s="8" t="n">
        <v>0</v>
      </c>
      <c r="AL74" s="8" t="n">
        <v>0</v>
      </c>
      <c r="AM74" s="8" t="n">
        <v>0</v>
      </c>
      <c r="AN74" s="8" t="n">
        <v>0</v>
      </c>
      <c r="AO74" s="8" t="n">
        <v>0</v>
      </c>
      <c r="AP74" s="8" t="n">
        <v>0</v>
      </c>
      <c r="AQ74" s="8" t="n">
        <v>0</v>
      </c>
      <c r="AR74" s="8" t="n">
        <v>0</v>
      </c>
      <c r="AS74" s="8" t="n">
        <v>0</v>
      </c>
      <c r="AT74" s="8" t="n">
        <v>0</v>
      </c>
      <c r="AU74" s="8" t="n">
        <v>0</v>
      </c>
      <c r="AV74" s="8" t="n">
        <v>0</v>
      </c>
      <c r="AW74" s="8" t="n">
        <v>1</v>
      </c>
      <c r="AX74" s="8" t="n">
        <v>1</v>
      </c>
      <c r="AY74" s="8" t="n">
        <v>0</v>
      </c>
      <c r="AZ74" s="8" t="n">
        <v>0</v>
      </c>
      <c r="BA74" s="8" t="n">
        <v>0</v>
      </c>
      <c r="BB74" s="8" t="n">
        <v>0</v>
      </c>
      <c r="BC74" s="8" t="n">
        <v>731</v>
      </c>
      <c r="BD74" s="8" t="n">
        <v>0</v>
      </c>
      <c r="BE74" s="8" t="n">
        <v>0</v>
      </c>
      <c r="BF74" s="8" t="n">
        <v>0</v>
      </c>
      <c r="BG74" s="10" t="s">
        <v>836</v>
      </c>
      <c r="BH74" s="9" t="s">
        <v>841</v>
      </c>
    </row>
    <row r="75" customFormat="false" ht="15" hidden="false" customHeight="false" outlineLevel="0" collapsed="false">
      <c r="A75" s="8" t="s">
        <v>842</v>
      </c>
      <c r="B75" s="8" t="s">
        <v>843</v>
      </c>
      <c r="C75" s="8" t="n">
        <v>1</v>
      </c>
      <c r="D75" s="8" t="n">
        <v>1864</v>
      </c>
      <c r="E75" s="8" t="n">
        <v>1872</v>
      </c>
      <c r="F75" s="8" t="str">
        <f aca="false">IF(D75="","?",IF(D75&lt;1796,"pre-1796",IF(D75&lt;1912,"1796-1911",IF(D75&lt;1949,"1912-1948","1949+"))))</f>
        <v>1796-1911</v>
      </c>
      <c r="G75" s="8" t="str">
        <f aca="false">IF(D75="","?",IF(D75&lt;1912,"Qing",IF(D75&lt;1949,"Republic","PRC")))</f>
        <v>Qing</v>
      </c>
      <c r="H75" s="8" t="s">
        <v>844</v>
      </c>
      <c r="I75" s="9" t="s">
        <v>110</v>
      </c>
      <c r="J75" s="9" t="s">
        <v>111</v>
      </c>
      <c r="K75" s="8" t="s">
        <v>84</v>
      </c>
      <c r="L75" s="9" t="s">
        <v>845</v>
      </c>
      <c r="M75" s="9" t="s">
        <v>846</v>
      </c>
      <c r="N75" s="9" t="s">
        <v>847</v>
      </c>
      <c r="O75" s="8" t="s">
        <v>848</v>
      </c>
      <c r="P75" s="8" t="s">
        <v>133</v>
      </c>
      <c r="Q75" s="9" t="s">
        <v>849</v>
      </c>
      <c r="R75" s="9" t="s">
        <v>850</v>
      </c>
      <c r="S75" s="9" t="s">
        <v>851</v>
      </c>
      <c r="T75" s="8"/>
      <c r="U75" s="9" t="s">
        <v>852</v>
      </c>
      <c r="V75" s="8"/>
      <c r="W75" s="8"/>
      <c r="X75" s="8"/>
      <c r="Y75" s="9" t="s">
        <v>306</v>
      </c>
      <c r="Z75" s="8"/>
      <c r="AA75" s="8"/>
      <c r="AB75" s="9" t="s">
        <v>853</v>
      </c>
      <c r="AC75" s="8"/>
      <c r="AD75" s="8"/>
      <c r="AE75" s="8"/>
      <c r="AF75" s="8"/>
      <c r="AG75" s="8"/>
      <c r="AH75" s="8"/>
      <c r="AI75" s="8" t="n">
        <v>0</v>
      </c>
      <c r="AJ75" s="8" t="n">
        <v>0</v>
      </c>
      <c r="AK75" s="8" t="n">
        <v>1</v>
      </c>
      <c r="AL75" s="8" t="n">
        <v>0</v>
      </c>
      <c r="AM75" s="8" t="n">
        <v>0</v>
      </c>
      <c r="AN75" s="8" t="n">
        <v>0</v>
      </c>
      <c r="AO75" s="8" t="n">
        <v>0</v>
      </c>
      <c r="AP75" s="8" t="n">
        <v>1</v>
      </c>
      <c r="AQ75" s="8" t="n">
        <v>0</v>
      </c>
      <c r="AR75" s="8" t="n">
        <v>0</v>
      </c>
      <c r="AS75" s="8" t="n">
        <v>1</v>
      </c>
      <c r="AT75" s="8" t="n">
        <v>0</v>
      </c>
      <c r="AU75" s="8" t="n">
        <v>0</v>
      </c>
      <c r="AV75" s="8" t="n">
        <v>0</v>
      </c>
      <c r="AW75" s="8" t="n">
        <v>0</v>
      </c>
      <c r="AX75" s="8" t="n">
        <v>0</v>
      </c>
      <c r="AY75" s="8" t="n">
        <v>0</v>
      </c>
      <c r="AZ75" s="8" t="n">
        <v>0</v>
      </c>
      <c r="BA75" s="8" t="n">
        <v>0</v>
      </c>
      <c r="BB75" s="8" t="n">
        <v>0</v>
      </c>
      <c r="BC75" s="8" t="n">
        <v>371</v>
      </c>
      <c r="BD75" s="8" t="n">
        <v>0</v>
      </c>
      <c r="BE75" s="8" t="n">
        <v>0</v>
      </c>
      <c r="BF75" s="8" t="n">
        <v>0</v>
      </c>
      <c r="BG75" s="10" t="s">
        <v>854</v>
      </c>
      <c r="BH75" s="9" t="s">
        <v>855</v>
      </c>
    </row>
    <row r="76" customFormat="false" ht="15" hidden="false" customHeight="false" outlineLevel="0" collapsed="false">
      <c r="A76" s="8" t="s">
        <v>856</v>
      </c>
      <c r="B76" s="8" t="s">
        <v>843</v>
      </c>
      <c r="C76" s="8" t="n">
        <v>2</v>
      </c>
      <c r="D76" s="8" t="n">
        <v>1864</v>
      </c>
      <c r="E76" s="8" t="n">
        <v>1872</v>
      </c>
      <c r="F76" s="8" t="str">
        <f aca="false">IF(D76="","?",IF(D76&lt;1796,"pre-1796",IF(D76&lt;1912,"1796-1911",IF(D76&lt;1949,"1912-1948","1949+"))))</f>
        <v>1796-1911</v>
      </c>
      <c r="G76" s="8" t="str">
        <f aca="false">IF(D76="","?",IF(D76&lt;1912,"Qing",IF(D76&lt;1949,"Republic","PRC")))</f>
        <v>Qing</v>
      </c>
      <c r="H76" s="8" t="s">
        <v>844</v>
      </c>
      <c r="I76" s="9" t="s">
        <v>110</v>
      </c>
      <c r="J76" s="9" t="s">
        <v>111</v>
      </c>
      <c r="K76" s="8" t="s">
        <v>84</v>
      </c>
      <c r="L76" s="9" t="s">
        <v>845</v>
      </c>
      <c r="M76" s="9" t="s">
        <v>846</v>
      </c>
      <c r="N76" s="9" t="s">
        <v>847</v>
      </c>
      <c r="O76" s="8" t="s">
        <v>848</v>
      </c>
      <c r="P76" s="8" t="s">
        <v>87</v>
      </c>
      <c r="Q76" s="8"/>
      <c r="R76" s="9" t="s">
        <v>857</v>
      </c>
      <c r="S76" s="8"/>
      <c r="T76" s="8"/>
      <c r="U76" s="8"/>
      <c r="V76" s="8"/>
      <c r="W76" s="8"/>
      <c r="X76" s="8"/>
      <c r="Y76" s="8"/>
      <c r="Z76" s="8"/>
      <c r="AA76" s="8"/>
      <c r="AB76" s="8"/>
      <c r="AC76" s="8"/>
      <c r="AD76" s="8"/>
      <c r="AE76" s="8"/>
      <c r="AF76" s="8"/>
      <c r="AG76" s="9" t="s">
        <v>858</v>
      </c>
      <c r="AH76" s="8"/>
      <c r="AI76" s="8" t="n">
        <v>0</v>
      </c>
      <c r="AJ76" s="8" t="n">
        <v>0</v>
      </c>
      <c r="AK76" s="8" t="n">
        <v>0</v>
      </c>
      <c r="AL76" s="8" t="n">
        <v>0</v>
      </c>
      <c r="AM76" s="8" t="n">
        <v>0</v>
      </c>
      <c r="AN76" s="8" t="n">
        <v>0</v>
      </c>
      <c r="AO76" s="8" t="n">
        <v>0</v>
      </c>
      <c r="AP76" s="8" t="n">
        <v>0</v>
      </c>
      <c r="AQ76" s="8" t="n">
        <v>0</v>
      </c>
      <c r="AR76" s="8" t="n">
        <v>0</v>
      </c>
      <c r="AS76" s="8" t="n">
        <v>0</v>
      </c>
      <c r="AT76" s="8" t="n">
        <v>0</v>
      </c>
      <c r="AU76" s="8" t="n">
        <v>0</v>
      </c>
      <c r="AV76" s="8" t="n">
        <v>0</v>
      </c>
      <c r="AW76" s="8" t="n">
        <v>0</v>
      </c>
      <c r="AX76" s="8" t="n">
        <v>0</v>
      </c>
      <c r="AY76" s="8" t="n">
        <v>0</v>
      </c>
      <c r="AZ76" s="8" t="n">
        <v>1</v>
      </c>
      <c r="BA76" s="8" t="n">
        <v>0</v>
      </c>
      <c r="BB76" s="8" t="n">
        <v>0</v>
      </c>
      <c r="BC76" s="8" t="n">
        <v>220</v>
      </c>
      <c r="BD76" s="8" t="n">
        <v>3</v>
      </c>
      <c r="BE76" s="8" t="n">
        <v>0</v>
      </c>
      <c r="BF76" s="8" t="n">
        <v>1</v>
      </c>
      <c r="BG76" s="10" t="s">
        <v>854</v>
      </c>
      <c r="BH76" s="9" t="s">
        <v>859</v>
      </c>
    </row>
    <row r="77" customFormat="false" ht="15" hidden="false" customHeight="false" outlineLevel="0" collapsed="false">
      <c r="A77" s="8" t="s">
        <v>860</v>
      </c>
      <c r="B77" s="8" t="s">
        <v>861</v>
      </c>
      <c r="C77" s="8" t="n">
        <v>1</v>
      </c>
      <c r="D77" s="8" t="n">
        <v>1767</v>
      </c>
      <c r="E77" s="8" t="n">
        <v>1767</v>
      </c>
      <c r="F77" s="8" t="str">
        <f aca="false">IF(D77="","?",IF(D77&lt;1796,"pre-1796",IF(D77&lt;1912,"1796-1911",IF(D77&lt;1949,"1912-1948","1949+"))))</f>
        <v>pre-1796</v>
      </c>
      <c r="G77" s="8" t="str">
        <f aca="false">IF(D77="","?",IF(D77&lt;1912,"Qing",IF(D77&lt;1949,"Republic","PRC")))</f>
        <v>Qing</v>
      </c>
      <c r="H77" s="8" t="s">
        <v>862</v>
      </c>
      <c r="I77" s="9" t="s">
        <v>863</v>
      </c>
      <c r="J77" s="9" t="s">
        <v>864</v>
      </c>
      <c r="K77" s="8" t="s">
        <v>84</v>
      </c>
      <c r="L77" s="8"/>
      <c r="M77" s="9" t="s">
        <v>865</v>
      </c>
      <c r="N77" s="9" t="s">
        <v>866</v>
      </c>
      <c r="O77" s="8" t="s">
        <v>867</v>
      </c>
      <c r="P77" s="8" t="s">
        <v>133</v>
      </c>
      <c r="Q77" s="9" t="s">
        <v>453</v>
      </c>
      <c r="R77" s="9" t="s">
        <v>313</v>
      </c>
      <c r="S77" s="9" t="s">
        <v>865</v>
      </c>
      <c r="T77" s="8"/>
      <c r="U77" s="8"/>
      <c r="V77" s="8"/>
      <c r="W77" s="9" t="s">
        <v>868</v>
      </c>
      <c r="X77" s="8"/>
      <c r="Y77" s="8"/>
      <c r="Z77" s="8"/>
      <c r="AA77" s="8"/>
      <c r="AB77" s="8"/>
      <c r="AC77" s="8"/>
      <c r="AD77" s="8"/>
      <c r="AE77" s="8"/>
      <c r="AF77" s="8"/>
      <c r="AG77" s="8"/>
      <c r="AH77" s="8"/>
      <c r="AI77" s="8" t="n">
        <v>0</v>
      </c>
      <c r="AJ77" s="8" t="n">
        <v>1</v>
      </c>
      <c r="AK77" s="8" t="n">
        <v>1</v>
      </c>
      <c r="AL77" s="8" t="n">
        <v>1</v>
      </c>
      <c r="AM77" s="8" t="n">
        <v>1</v>
      </c>
      <c r="AN77" s="8" t="n">
        <v>0</v>
      </c>
      <c r="AO77" s="8" t="n">
        <v>0</v>
      </c>
      <c r="AP77" s="8" t="n">
        <v>0</v>
      </c>
      <c r="AQ77" s="8" t="n">
        <v>0</v>
      </c>
      <c r="AR77" s="8" t="n">
        <v>0</v>
      </c>
      <c r="AS77" s="8" t="n">
        <v>1</v>
      </c>
      <c r="AT77" s="8" t="n">
        <v>0</v>
      </c>
      <c r="AU77" s="8" t="n">
        <v>0</v>
      </c>
      <c r="AV77" s="8" t="n">
        <v>0</v>
      </c>
      <c r="AW77" s="8" t="n">
        <v>0</v>
      </c>
      <c r="AX77" s="8" t="n">
        <v>0</v>
      </c>
      <c r="AY77" s="8" t="n">
        <v>0</v>
      </c>
      <c r="AZ77" s="8" t="n">
        <v>0</v>
      </c>
      <c r="BA77" s="8" t="n">
        <v>0</v>
      </c>
      <c r="BB77" s="8" t="n">
        <v>0</v>
      </c>
      <c r="BC77" s="8" t="n">
        <v>314</v>
      </c>
      <c r="BD77" s="8" t="n">
        <v>0</v>
      </c>
      <c r="BE77" s="8" t="n">
        <v>0</v>
      </c>
      <c r="BF77" s="8" t="n">
        <v>0</v>
      </c>
      <c r="BG77" s="10" t="s">
        <v>869</v>
      </c>
      <c r="BH77" s="9" t="s">
        <v>870</v>
      </c>
    </row>
    <row r="78" customFormat="false" ht="15" hidden="false" customHeight="false" outlineLevel="0" collapsed="false">
      <c r="A78" s="8" t="s">
        <v>871</v>
      </c>
      <c r="B78" s="8" t="s">
        <v>872</v>
      </c>
      <c r="C78" s="8" t="n">
        <v>1</v>
      </c>
      <c r="D78" s="8" t="n">
        <v>1779</v>
      </c>
      <c r="E78" s="8" t="n">
        <v>1779</v>
      </c>
      <c r="F78" s="8" t="str">
        <f aca="false">IF(D78="","?",IF(D78&lt;1796,"pre-1796",IF(D78&lt;1912,"1796-1911",IF(D78&lt;1949,"1912-1948","1949+"))))</f>
        <v>pre-1796</v>
      </c>
      <c r="G78" s="8" t="str">
        <f aca="false">IF(D78="","?",IF(D78&lt;1912,"Qing",IF(D78&lt;1949,"Republic","PRC")))</f>
        <v>Qing</v>
      </c>
      <c r="H78" s="8" t="s">
        <v>873</v>
      </c>
      <c r="I78" s="9" t="s">
        <v>296</v>
      </c>
      <c r="J78" s="9" t="s">
        <v>297</v>
      </c>
      <c r="K78" s="8" t="s">
        <v>84</v>
      </c>
      <c r="L78" s="8"/>
      <c r="M78" s="9" t="s">
        <v>874</v>
      </c>
      <c r="N78" s="9" t="s">
        <v>875</v>
      </c>
      <c r="O78" s="8" t="s">
        <v>876</v>
      </c>
      <c r="P78" s="8" t="s">
        <v>133</v>
      </c>
      <c r="Q78" s="9" t="s">
        <v>312</v>
      </c>
      <c r="R78" s="9" t="s">
        <v>877</v>
      </c>
      <c r="S78" s="8"/>
      <c r="T78" s="8"/>
      <c r="U78" s="8"/>
      <c r="V78" s="8"/>
      <c r="W78" s="9" t="s">
        <v>878</v>
      </c>
      <c r="X78" s="8"/>
      <c r="Y78" s="9" t="s">
        <v>306</v>
      </c>
      <c r="Z78" s="8"/>
      <c r="AA78" s="8"/>
      <c r="AB78" s="9" t="s">
        <v>879</v>
      </c>
      <c r="AC78" s="8"/>
      <c r="AD78" s="8"/>
      <c r="AE78" s="8"/>
      <c r="AF78" s="8"/>
      <c r="AG78" s="8"/>
      <c r="AH78" s="8"/>
      <c r="AI78" s="8" t="n">
        <v>1</v>
      </c>
      <c r="AJ78" s="8" t="n">
        <v>0</v>
      </c>
      <c r="AK78" s="8" t="n">
        <v>0</v>
      </c>
      <c r="AL78" s="8" t="n">
        <v>0</v>
      </c>
      <c r="AM78" s="8" t="n">
        <v>0</v>
      </c>
      <c r="AN78" s="8" t="n">
        <v>0</v>
      </c>
      <c r="AO78" s="8" t="n">
        <v>0</v>
      </c>
      <c r="AP78" s="8" t="n">
        <v>1</v>
      </c>
      <c r="AQ78" s="8" t="n">
        <v>0</v>
      </c>
      <c r="AR78" s="8" t="n">
        <v>0</v>
      </c>
      <c r="AS78" s="8" t="n">
        <v>1</v>
      </c>
      <c r="AT78" s="8" t="n">
        <v>0</v>
      </c>
      <c r="AU78" s="8" t="n">
        <v>0</v>
      </c>
      <c r="AV78" s="8" t="n">
        <v>0</v>
      </c>
      <c r="AW78" s="8" t="n">
        <v>0</v>
      </c>
      <c r="AX78" s="8" t="n">
        <v>0</v>
      </c>
      <c r="AY78" s="8" t="n">
        <v>0</v>
      </c>
      <c r="AZ78" s="8" t="n">
        <v>0</v>
      </c>
      <c r="BA78" s="8" t="n">
        <v>0</v>
      </c>
      <c r="BB78" s="8" t="n">
        <v>0</v>
      </c>
      <c r="BC78" s="8" t="n">
        <v>137</v>
      </c>
      <c r="BD78" s="8" t="n">
        <v>0</v>
      </c>
      <c r="BE78" s="8" t="n">
        <v>0</v>
      </c>
      <c r="BF78" s="8" t="n">
        <v>0</v>
      </c>
      <c r="BG78" s="10" t="s">
        <v>880</v>
      </c>
      <c r="BH78" s="9" t="s">
        <v>881</v>
      </c>
    </row>
    <row r="79" customFormat="false" ht="15" hidden="false" customHeight="false" outlineLevel="0" collapsed="false">
      <c r="A79" s="8" t="s">
        <v>882</v>
      </c>
      <c r="B79" s="8" t="s">
        <v>883</v>
      </c>
      <c r="C79" s="8" t="n">
        <v>1</v>
      </c>
      <c r="D79" s="8" t="n">
        <v>1872</v>
      </c>
      <c r="E79" s="8" t="n">
        <v>1872</v>
      </c>
      <c r="F79" s="8" t="str">
        <f aca="false">IF(D79="","?",IF(D79&lt;1796,"pre-1796",IF(D79&lt;1912,"1796-1911",IF(D79&lt;1949,"1912-1948","1949+"))))</f>
        <v>1796-1911</v>
      </c>
      <c r="G79" s="8" t="str">
        <f aca="false">IF(D79="","?",IF(D79&lt;1912,"Qing",IF(D79&lt;1949,"Republic","PRC")))</f>
        <v>Qing</v>
      </c>
      <c r="H79" s="8" t="s">
        <v>884</v>
      </c>
      <c r="I79" s="9" t="s">
        <v>110</v>
      </c>
      <c r="J79" s="9" t="s">
        <v>111</v>
      </c>
      <c r="K79" s="8" t="s">
        <v>84</v>
      </c>
      <c r="L79" s="8"/>
      <c r="M79" s="9" t="s">
        <v>885</v>
      </c>
      <c r="N79" s="9" t="s">
        <v>886</v>
      </c>
      <c r="O79" s="8" t="s">
        <v>887</v>
      </c>
      <c r="P79" s="8" t="s">
        <v>133</v>
      </c>
      <c r="Q79" s="9" t="s">
        <v>300</v>
      </c>
      <c r="R79" s="9" t="s">
        <v>857</v>
      </c>
      <c r="S79" s="9" t="s">
        <v>888</v>
      </c>
      <c r="T79" s="8"/>
      <c r="U79" s="9" t="s">
        <v>889</v>
      </c>
      <c r="V79" s="8"/>
      <c r="W79" s="9" t="s">
        <v>819</v>
      </c>
      <c r="X79" s="9" t="s">
        <v>890</v>
      </c>
      <c r="Y79" s="9" t="s">
        <v>306</v>
      </c>
      <c r="Z79" s="9" t="s">
        <v>891</v>
      </c>
      <c r="AA79" s="9" t="s">
        <v>892</v>
      </c>
      <c r="AB79" s="9" t="s">
        <v>893</v>
      </c>
      <c r="AC79" s="8"/>
      <c r="AD79" s="8"/>
      <c r="AE79" s="8"/>
      <c r="AF79" s="8"/>
      <c r="AG79" s="8"/>
      <c r="AH79" s="8"/>
      <c r="AI79" s="8" t="n">
        <v>1</v>
      </c>
      <c r="AJ79" s="8" t="n">
        <v>1</v>
      </c>
      <c r="AK79" s="8" t="n">
        <v>1</v>
      </c>
      <c r="AL79" s="8" t="n">
        <v>1</v>
      </c>
      <c r="AM79" s="8" t="n">
        <v>0</v>
      </c>
      <c r="AN79" s="8" t="n">
        <v>1</v>
      </c>
      <c r="AO79" s="8" t="n">
        <v>1</v>
      </c>
      <c r="AP79" s="8" t="n">
        <v>0</v>
      </c>
      <c r="AQ79" s="8" t="n">
        <v>0</v>
      </c>
      <c r="AR79" s="8" t="n">
        <v>1</v>
      </c>
      <c r="AS79" s="8" t="n">
        <v>1</v>
      </c>
      <c r="AT79" s="8" t="n">
        <v>1</v>
      </c>
      <c r="AU79" s="8" t="n">
        <v>0</v>
      </c>
      <c r="AV79" s="8" t="n">
        <v>0</v>
      </c>
      <c r="AW79" s="8" t="n">
        <v>0</v>
      </c>
      <c r="AX79" s="8" t="n">
        <v>0</v>
      </c>
      <c r="AY79" s="8" t="n">
        <v>0</v>
      </c>
      <c r="AZ79" s="8" t="n">
        <v>0</v>
      </c>
      <c r="BA79" s="8" t="n">
        <v>0</v>
      </c>
      <c r="BB79" s="8" t="n">
        <v>0</v>
      </c>
      <c r="BC79" s="8" t="n">
        <v>317</v>
      </c>
      <c r="BD79" s="8" t="n">
        <v>1</v>
      </c>
      <c r="BE79" s="8" t="n">
        <v>0</v>
      </c>
      <c r="BF79" s="8" t="n">
        <v>0</v>
      </c>
      <c r="BG79" s="10" t="s">
        <v>894</v>
      </c>
      <c r="BH79" s="9" t="s">
        <v>895</v>
      </c>
    </row>
    <row r="80" customFormat="false" ht="15" hidden="false" customHeight="false" outlineLevel="0" collapsed="false">
      <c r="A80" s="8" t="s">
        <v>896</v>
      </c>
      <c r="B80" s="8" t="s">
        <v>897</v>
      </c>
      <c r="C80" s="8" t="n">
        <v>1</v>
      </c>
      <c r="D80" s="8" t="n">
        <v>1869</v>
      </c>
      <c r="E80" s="8" t="n">
        <v>1869</v>
      </c>
      <c r="F80" s="8" t="str">
        <f aca="false">IF(D80="","?",IF(D80&lt;1796,"pre-1796",IF(D80&lt;1912,"1796-1911",IF(D80&lt;1949,"1912-1948","1949+"))))</f>
        <v>1796-1911</v>
      </c>
      <c r="G80" s="8" t="str">
        <f aca="false">IF(D80="","?",IF(D80&lt;1912,"Qing",IF(D80&lt;1949,"Republic","PRC")))</f>
        <v>Qing</v>
      </c>
      <c r="H80" s="8" t="s">
        <v>898</v>
      </c>
      <c r="I80" s="9" t="s">
        <v>899</v>
      </c>
      <c r="J80" s="9" t="s">
        <v>900</v>
      </c>
      <c r="K80" s="8" t="s">
        <v>84</v>
      </c>
      <c r="L80" s="8"/>
      <c r="M80" s="9" t="s">
        <v>901</v>
      </c>
      <c r="N80" s="9" t="s">
        <v>902</v>
      </c>
      <c r="O80" s="8" t="s">
        <v>903</v>
      </c>
      <c r="P80" s="8" t="s">
        <v>87</v>
      </c>
      <c r="Q80" s="9" t="s">
        <v>904</v>
      </c>
      <c r="R80" s="9" t="s">
        <v>905</v>
      </c>
      <c r="S80" s="9" t="s">
        <v>906</v>
      </c>
      <c r="T80" s="8"/>
      <c r="U80" s="9" t="s">
        <v>907</v>
      </c>
      <c r="V80" s="8"/>
      <c r="W80" s="8"/>
      <c r="X80" s="8"/>
      <c r="Y80" s="9" t="s">
        <v>306</v>
      </c>
      <c r="Z80" s="9" t="s">
        <v>908</v>
      </c>
      <c r="AA80" s="8"/>
      <c r="AB80" s="9" t="s">
        <v>909</v>
      </c>
      <c r="AC80" s="8"/>
      <c r="AD80" s="8"/>
      <c r="AE80" s="8"/>
      <c r="AF80" s="8"/>
      <c r="AG80" s="8"/>
      <c r="AH80" s="8"/>
      <c r="AI80" s="8" t="n">
        <v>1</v>
      </c>
      <c r="AJ80" s="8" t="n">
        <v>0</v>
      </c>
      <c r="AK80" s="8" t="n">
        <v>1</v>
      </c>
      <c r="AL80" s="8" t="n">
        <v>0</v>
      </c>
      <c r="AM80" s="8" t="n">
        <v>1</v>
      </c>
      <c r="AN80" s="8" t="n">
        <v>1</v>
      </c>
      <c r="AO80" s="8" t="n">
        <v>1</v>
      </c>
      <c r="AP80" s="8" t="n">
        <v>0</v>
      </c>
      <c r="AQ80" s="8" t="n">
        <v>1</v>
      </c>
      <c r="AR80" s="8" t="n">
        <v>0</v>
      </c>
      <c r="AS80" s="8" t="n">
        <v>1</v>
      </c>
      <c r="AT80" s="8" t="n">
        <v>0</v>
      </c>
      <c r="AU80" s="8" t="n">
        <v>0</v>
      </c>
      <c r="AV80" s="8" t="n">
        <v>0</v>
      </c>
      <c r="AW80" s="8" t="n">
        <v>0</v>
      </c>
      <c r="AX80" s="8" t="n">
        <v>0</v>
      </c>
      <c r="AY80" s="8" t="n">
        <v>0</v>
      </c>
      <c r="AZ80" s="8" t="n">
        <v>0</v>
      </c>
      <c r="BA80" s="8" t="n">
        <v>0</v>
      </c>
      <c r="BB80" s="8" t="n">
        <v>0</v>
      </c>
      <c r="BC80" s="8" t="n">
        <v>242</v>
      </c>
      <c r="BD80" s="8" t="n">
        <v>1</v>
      </c>
      <c r="BE80" s="8" t="n">
        <v>0</v>
      </c>
      <c r="BF80" s="8" t="n">
        <v>0</v>
      </c>
      <c r="BG80" s="10" t="s">
        <v>910</v>
      </c>
      <c r="BH80" s="9" t="s">
        <v>911</v>
      </c>
    </row>
    <row r="81" customFormat="false" ht="15" hidden="false" customHeight="false" outlineLevel="0" collapsed="false">
      <c r="A81" s="8" t="s">
        <v>912</v>
      </c>
      <c r="B81" s="8" t="s">
        <v>897</v>
      </c>
      <c r="C81" s="8" t="n">
        <v>2</v>
      </c>
      <c r="D81" s="8" t="n">
        <v>1869</v>
      </c>
      <c r="E81" s="8" t="n">
        <v>1869</v>
      </c>
      <c r="F81" s="8" t="str">
        <f aca="false">IF(D81="","?",IF(D81&lt;1796,"pre-1796",IF(D81&lt;1912,"1796-1911",IF(D81&lt;1949,"1912-1948","1949+"))))</f>
        <v>1796-1911</v>
      </c>
      <c r="G81" s="8" t="str">
        <f aca="false">IF(D81="","?",IF(D81&lt;1912,"Qing",IF(D81&lt;1949,"Republic","PRC")))</f>
        <v>Qing</v>
      </c>
      <c r="H81" s="8" t="s">
        <v>898</v>
      </c>
      <c r="I81" s="9" t="s">
        <v>899</v>
      </c>
      <c r="J81" s="9" t="s">
        <v>900</v>
      </c>
      <c r="K81" s="8" t="s">
        <v>84</v>
      </c>
      <c r="L81" s="8"/>
      <c r="M81" s="9" t="s">
        <v>901</v>
      </c>
      <c r="N81" s="9" t="s">
        <v>902</v>
      </c>
      <c r="O81" s="8" t="s">
        <v>903</v>
      </c>
      <c r="P81" s="8" t="s">
        <v>87</v>
      </c>
      <c r="Q81" s="8"/>
      <c r="R81" s="9" t="s">
        <v>905</v>
      </c>
      <c r="S81" s="8"/>
      <c r="T81" s="8"/>
      <c r="U81" s="8"/>
      <c r="V81" s="8"/>
      <c r="W81" s="8"/>
      <c r="X81" s="8"/>
      <c r="Y81" s="8"/>
      <c r="Z81" s="8" t="s">
        <v>913</v>
      </c>
      <c r="AA81" s="8"/>
      <c r="AB81" s="8"/>
      <c r="AC81" s="8"/>
      <c r="AD81" s="8"/>
      <c r="AE81" s="8"/>
      <c r="AF81" s="8"/>
      <c r="AG81" s="8"/>
      <c r="AH81" s="8"/>
      <c r="AI81" s="8" t="n">
        <v>0</v>
      </c>
      <c r="AJ81" s="8" t="n">
        <v>0</v>
      </c>
      <c r="AK81" s="8" t="n">
        <v>0</v>
      </c>
      <c r="AL81" s="8" t="n">
        <v>0</v>
      </c>
      <c r="AM81" s="8" t="n">
        <v>0</v>
      </c>
      <c r="AN81" s="8" t="n">
        <v>0</v>
      </c>
      <c r="AO81" s="8" t="n">
        <v>0</v>
      </c>
      <c r="AP81" s="8" t="n">
        <v>0</v>
      </c>
      <c r="AQ81" s="8" t="n">
        <v>0</v>
      </c>
      <c r="AR81" s="8" t="n">
        <v>0</v>
      </c>
      <c r="AS81" s="8" t="n">
        <v>0</v>
      </c>
      <c r="AT81" s="8" t="n">
        <v>0</v>
      </c>
      <c r="AU81" s="8" t="n">
        <v>0</v>
      </c>
      <c r="AV81" s="8" t="n">
        <v>0</v>
      </c>
      <c r="AW81" s="8" t="n">
        <v>0</v>
      </c>
      <c r="AX81" s="8" t="n">
        <v>0</v>
      </c>
      <c r="AY81" s="8" t="n">
        <v>0</v>
      </c>
      <c r="AZ81" s="8" t="n">
        <v>0</v>
      </c>
      <c r="BA81" s="8" t="n">
        <v>0</v>
      </c>
      <c r="BB81" s="8" t="n">
        <v>0</v>
      </c>
      <c r="BC81" s="8" t="n">
        <v>54</v>
      </c>
      <c r="BD81" s="8" t="n">
        <v>1</v>
      </c>
      <c r="BE81" s="8" t="n">
        <v>1</v>
      </c>
      <c r="BF81" s="8" t="n">
        <v>0</v>
      </c>
      <c r="BG81" s="10" t="s">
        <v>910</v>
      </c>
      <c r="BH81" s="8" t="s">
        <v>914</v>
      </c>
    </row>
    <row r="82" customFormat="false" ht="15" hidden="false" customHeight="false" outlineLevel="0" collapsed="false">
      <c r="A82" s="8" t="s">
        <v>915</v>
      </c>
      <c r="B82" s="8" t="s">
        <v>916</v>
      </c>
      <c r="C82" s="8" t="n">
        <v>1</v>
      </c>
      <c r="D82" s="8"/>
      <c r="E82" s="8"/>
      <c r="F82" s="8" t="str">
        <f aca="false">IF(D82="","?",IF(D82&lt;1796,"pre-1796",IF(D82&lt;1912,"1796-1911",IF(D82&lt;1949,"1912-1948","1949+"))))</f>
        <v>?</v>
      </c>
      <c r="G82" s="8" t="str">
        <f aca="false">IF(D82="","?",IF(D82&lt;1912,"Qing",IF(D82&lt;1949,"Republic","PRC")))</f>
        <v>?</v>
      </c>
      <c r="H82" s="8"/>
      <c r="I82" s="8"/>
      <c r="J82" s="9" t="s">
        <v>917</v>
      </c>
      <c r="K82" s="8" t="s">
        <v>84</v>
      </c>
      <c r="L82" s="9" t="s">
        <v>918</v>
      </c>
      <c r="M82" s="8"/>
      <c r="N82" s="8"/>
      <c r="O82" s="8" t="s">
        <v>919</v>
      </c>
      <c r="P82" s="8" t="s">
        <v>114</v>
      </c>
      <c r="Q82" s="8"/>
      <c r="R82" s="8"/>
      <c r="S82" s="8"/>
      <c r="T82" s="8"/>
      <c r="U82" s="8"/>
      <c r="V82" s="8"/>
      <c r="W82" s="8"/>
      <c r="X82" s="8"/>
      <c r="Y82" s="8"/>
      <c r="Z82" s="8"/>
      <c r="AA82" s="8"/>
      <c r="AB82" s="8"/>
      <c r="AC82" s="8"/>
      <c r="AD82" s="8"/>
      <c r="AE82" s="9" t="s">
        <v>920</v>
      </c>
      <c r="AF82" s="8"/>
      <c r="AG82" s="9" t="s">
        <v>921</v>
      </c>
      <c r="AH82" s="8"/>
      <c r="AI82" s="8" t="n">
        <v>0</v>
      </c>
      <c r="AJ82" s="8" t="n">
        <v>0</v>
      </c>
      <c r="AK82" s="8" t="n">
        <v>0</v>
      </c>
      <c r="AL82" s="8" t="n">
        <v>0</v>
      </c>
      <c r="AM82" s="8" t="n">
        <v>0</v>
      </c>
      <c r="AN82" s="8" t="n">
        <v>0</v>
      </c>
      <c r="AO82" s="8" t="n">
        <v>0</v>
      </c>
      <c r="AP82" s="8" t="n">
        <v>0</v>
      </c>
      <c r="AQ82" s="8" t="n">
        <v>0</v>
      </c>
      <c r="AR82" s="8" t="n">
        <v>0</v>
      </c>
      <c r="AS82" s="8" t="n">
        <v>0</v>
      </c>
      <c r="AT82" s="8" t="n">
        <v>0</v>
      </c>
      <c r="AU82" s="8" t="n">
        <v>0</v>
      </c>
      <c r="AV82" s="8" t="n">
        <v>0</v>
      </c>
      <c r="AW82" s="8" t="n">
        <v>0</v>
      </c>
      <c r="AX82" s="8" t="n">
        <v>0</v>
      </c>
      <c r="AY82" s="8" t="n">
        <v>0</v>
      </c>
      <c r="AZ82" s="8" t="n">
        <v>0</v>
      </c>
      <c r="BA82" s="8" t="n">
        <v>0</v>
      </c>
      <c r="BB82" s="8" t="n">
        <v>0</v>
      </c>
      <c r="BC82" s="8" t="n">
        <v>112</v>
      </c>
      <c r="BD82" s="8" t="n">
        <v>0</v>
      </c>
      <c r="BE82" s="8" t="n">
        <v>2</v>
      </c>
      <c r="BF82" s="8" t="n">
        <v>0</v>
      </c>
      <c r="BG82" s="10" t="s">
        <v>922</v>
      </c>
      <c r="BH82" s="9" t="s">
        <v>923</v>
      </c>
    </row>
    <row r="83" customFormat="false" ht="15" hidden="false" customHeight="false" outlineLevel="0" collapsed="false">
      <c r="A83" s="8" t="s">
        <v>924</v>
      </c>
      <c r="B83" s="8" t="s">
        <v>925</v>
      </c>
      <c r="C83" s="8" t="n">
        <v>1</v>
      </c>
      <c r="D83" s="8" t="n">
        <v>1849</v>
      </c>
      <c r="E83" s="8" t="n">
        <v>1849</v>
      </c>
      <c r="F83" s="8" t="str">
        <f aca="false">IF(D83="","?",IF(D83&lt;1796,"pre-1796",IF(D83&lt;1912,"1796-1911",IF(D83&lt;1949,"1912-1948","1949+"))))</f>
        <v>1796-1911</v>
      </c>
      <c r="G83" s="8" t="str">
        <f aca="false">IF(D83="","?",IF(D83&lt;1912,"Qing",IF(D83&lt;1949,"Republic","PRC")))</f>
        <v>Qing</v>
      </c>
      <c r="H83" s="8" t="s">
        <v>926</v>
      </c>
      <c r="I83" s="9" t="s">
        <v>110</v>
      </c>
      <c r="J83" s="9" t="s">
        <v>111</v>
      </c>
      <c r="K83" s="8" t="s">
        <v>84</v>
      </c>
      <c r="L83" s="9" t="s">
        <v>927</v>
      </c>
      <c r="M83" s="8"/>
      <c r="N83" s="8"/>
      <c r="O83" s="8" t="s">
        <v>928</v>
      </c>
      <c r="P83" s="8" t="s">
        <v>87</v>
      </c>
      <c r="Q83" s="8"/>
      <c r="R83" s="8"/>
      <c r="S83" s="8"/>
      <c r="T83" s="8"/>
      <c r="U83" s="8"/>
      <c r="V83" s="8"/>
      <c r="W83" s="8"/>
      <c r="X83" s="8"/>
      <c r="Y83" s="8"/>
      <c r="Z83" s="8"/>
      <c r="AA83" s="8"/>
      <c r="AB83" s="8"/>
      <c r="AC83" s="8"/>
      <c r="AD83" s="8"/>
      <c r="AE83" s="8"/>
      <c r="AF83" s="8"/>
      <c r="AG83" s="8"/>
      <c r="AH83" s="8"/>
      <c r="AI83" s="8" t="n">
        <v>0</v>
      </c>
      <c r="AJ83" s="8" t="n">
        <v>0</v>
      </c>
      <c r="AK83" s="8" t="n">
        <v>0</v>
      </c>
      <c r="AL83" s="8" t="n">
        <v>0</v>
      </c>
      <c r="AM83" s="8" t="n">
        <v>0</v>
      </c>
      <c r="AN83" s="8" t="n">
        <v>0</v>
      </c>
      <c r="AO83" s="8" t="n">
        <v>0</v>
      </c>
      <c r="AP83" s="8" t="n">
        <v>0</v>
      </c>
      <c r="AQ83" s="8" t="n">
        <v>0</v>
      </c>
      <c r="AR83" s="8" t="n">
        <v>0</v>
      </c>
      <c r="AS83" s="8" t="n">
        <v>0</v>
      </c>
      <c r="AT83" s="8" t="n">
        <v>0</v>
      </c>
      <c r="AU83" s="8" t="n">
        <v>0</v>
      </c>
      <c r="AV83" s="8" t="n">
        <v>0</v>
      </c>
      <c r="AW83" s="8" t="n">
        <v>0</v>
      </c>
      <c r="AX83" s="8" t="n">
        <v>0</v>
      </c>
      <c r="AY83" s="8" t="n">
        <v>0</v>
      </c>
      <c r="AZ83" s="8" t="n">
        <v>0</v>
      </c>
      <c r="BA83" s="8" t="n">
        <v>0</v>
      </c>
      <c r="BB83" s="8" t="n">
        <v>0</v>
      </c>
      <c r="BC83" s="8" t="n">
        <v>1</v>
      </c>
      <c r="BD83" s="8" t="n">
        <v>0</v>
      </c>
      <c r="BE83" s="8" t="n">
        <v>0</v>
      </c>
      <c r="BF83" s="8" t="n">
        <v>0</v>
      </c>
      <c r="BG83" s="10" t="s">
        <v>929</v>
      </c>
      <c r="BH83" s="9" t="s">
        <v>930</v>
      </c>
    </row>
    <row r="84" customFormat="false" ht="15" hidden="false" customHeight="false" outlineLevel="0" collapsed="false">
      <c r="A84" s="8" t="s">
        <v>931</v>
      </c>
      <c r="B84" s="8" t="s">
        <v>932</v>
      </c>
      <c r="C84" s="8" t="n">
        <v>1</v>
      </c>
      <c r="D84" s="8" t="n">
        <v>1920</v>
      </c>
      <c r="E84" s="8" t="n">
        <v>1920</v>
      </c>
      <c r="F84" s="8" t="str">
        <f aca="false">IF(D84="","?",IF(D84&lt;1796,"pre-1796",IF(D84&lt;1912,"1796-1911",IF(D84&lt;1949,"1912-1948","1949+"))))</f>
        <v>1912-1948</v>
      </c>
      <c r="G84" s="8" t="str">
        <f aca="false">IF(D84="","?",IF(D84&lt;1912,"Qing",IF(D84&lt;1949,"Republic","PRC")))</f>
        <v>Republic</v>
      </c>
      <c r="H84" s="8" t="s">
        <v>933</v>
      </c>
      <c r="I84" s="9" t="s">
        <v>128</v>
      </c>
      <c r="J84" s="9" t="s">
        <v>223</v>
      </c>
      <c r="K84" s="8" t="s">
        <v>84</v>
      </c>
      <c r="L84" s="8"/>
      <c r="M84" s="9" t="s">
        <v>934</v>
      </c>
      <c r="N84" s="9" t="s">
        <v>935</v>
      </c>
      <c r="O84" s="8" t="s">
        <v>936</v>
      </c>
      <c r="P84" s="8" t="s">
        <v>133</v>
      </c>
      <c r="Q84" s="9" t="s">
        <v>413</v>
      </c>
      <c r="R84" s="9" t="s">
        <v>937</v>
      </c>
      <c r="S84" s="9" t="s">
        <v>938</v>
      </c>
      <c r="T84" s="8"/>
      <c r="U84" s="9" t="s">
        <v>939</v>
      </c>
      <c r="V84" s="9" t="s">
        <v>244</v>
      </c>
      <c r="W84" s="9" t="s">
        <v>940</v>
      </c>
      <c r="X84" s="9" t="s">
        <v>941</v>
      </c>
      <c r="Y84" s="9" t="s">
        <v>500</v>
      </c>
      <c r="Z84" s="8"/>
      <c r="AA84" s="9" t="s">
        <v>942</v>
      </c>
      <c r="AB84" s="9" t="s">
        <v>943</v>
      </c>
      <c r="AC84" s="8"/>
      <c r="AD84" s="8"/>
      <c r="AE84" s="8"/>
      <c r="AF84" s="8"/>
      <c r="AG84" s="8"/>
      <c r="AH84" s="8"/>
      <c r="AI84" s="8" t="n">
        <v>1</v>
      </c>
      <c r="AJ84" s="8" t="n">
        <v>0</v>
      </c>
      <c r="AK84" s="8" t="n">
        <v>1</v>
      </c>
      <c r="AL84" s="8" t="n">
        <v>1</v>
      </c>
      <c r="AM84" s="8" t="n">
        <v>1</v>
      </c>
      <c r="AN84" s="8" t="n">
        <v>1</v>
      </c>
      <c r="AO84" s="8" t="n">
        <v>1</v>
      </c>
      <c r="AP84" s="8" t="n">
        <v>0</v>
      </c>
      <c r="AQ84" s="8" t="n">
        <v>1</v>
      </c>
      <c r="AR84" s="8" t="n">
        <v>0</v>
      </c>
      <c r="AS84" s="8" t="n">
        <v>1</v>
      </c>
      <c r="AT84" s="8" t="n">
        <v>0</v>
      </c>
      <c r="AU84" s="8" t="n">
        <v>0</v>
      </c>
      <c r="AV84" s="8" t="n">
        <v>1</v>
      </c>
      <c r="AW84" s="8" t="n">
        <v>0</v>
      </c>
      <c r="AX84" s="8" t="n">
        <v>0</v>
      </c>
      <c r="AY84" s="8" t="n">
        <v>0</v>
      </c>
      <c r="AZ84" s="8" t="n">
        <v>0</v>
      </c>
      <c r="BA84" s="8" t="n">
        <v>0</v>
      </c>
      <c r="BB84" s="8" t="n">
        <v>0</v>
      </c>
      <c r="BC84" s="8" t="n">
        <v>329</v>
      </c>
      <c r="BD84" s="8" t="n">
        <v>1</v>
      </c>
      <c r="BE84" s="8" t="n">
        <v>0</v>
      </c>
      <c r="BF84" s="8" t="n">
        <v>0</v>
      </c>
      <c r="BG84" s="10" t="s">
        <v>944</v>
      </c>
      <c r="BH84" s="9" t="s">
        <v>945</v>
      </c>
    </row>
    <row r="85" customFormat="false" ht="15" hidden="false" customHeight="false" outlineLevel="0" collapsed="false">
      <c r="A85" s="8" t="s">
        <v>946</v>
      </c>
      <c r="B85" s="8" t="s">
        <v>947</v>
      </c>
      <c r="C85" s="8" t="n">
        <v>1</v>
      </c>
      <c r="D85" s="8" t="n">
        <v>1928</v>
      </c>
      <c r="E85" s="8" t="n">
        <v>1928</v>
      </c>
      <c r="F85" s="8" t="str">
        <f aca="false">IF(D85="","?",IF(D85&lt;1796,"pre-1796",IF(D85&lt;1912,"1796-1911",IF(D85&lt;1949,"1912-1948","1949+"))))</f>
        <v>1912-1948</v>
      </c>
      <c r="G85" s="8" t="str">
        <f aca="false">IF(D85="","?",IF(D85&lt;1912,"Qing",IF(D85&lt;1949,"Republic","PRC")))</f>
        <v>Republic</v>
      </c>
      <c r="H85" s="8" t="s">
        <v>948</v>
      </c>
      <c r="I85" s="9" t="s">
        <v>110</v>
      </c>
      <c r="J85" s="9" t="s">
        <v>111</v>
      </c>
      <c r="K85" s="8" t="s">
        <v>84</v>
      </c>
      <c r="L85" s="9" t="s">
        <v>949</v>
      </c>
      <c r="M85" s="8"/>
      <c r="N85" s="8"/>
      <c r="O85" s="8" t="s">
        <v>950</v>
      </c>
      <c r="P85" s="8" t="s">
        <v>114</v>
      </c>
      <c r="Q85" s="9" t="s">
        <v>115</v>
      </c>
      <c r="R85" s="9" t="s">
        <v>951</v>
      </c>
      <c r="S85" s="8"/>
      <c r="T85" s="8"/>
      <c r="U85" s="9" t="s">
        <v>952</v>
      </c>
      <c r="V85" s="8"/>
      <c r="W85" s="9" t="s">
        <v>118</v>
      </c>
      <c r="X85" s="8"/>
      <c r="Y85" s="8"/>
      <c r="Z85" s="8"/>
      <c r="AA85" s="8"/>
      <c r="AB85" s="8"/>
      <c r="AC85" s="8"/>
      <c r="AD85" s="8"/>
      <c r="AE85" s="9" t="s">
        <v>953</v>
      </c>
      <c r="AF85" s="9" t="s">
        <v>120</v>
      </c>
      <c r="AG85" s="9" t="s">
        <v>949</v>
      </c>
      <c r="AH85" s="8"/>
      <c r="AI85" s="8" t="n">
        <v>0</v>
      </c>
      <c r="AJ85" s="8" t="n">
        <v>0</v>
      </c>
      <c r="AK85" s="8" t="n">
        <v>0</v>
      </c>
      <c r="AL85" s="8" t="n">
        <v>0</v>
      </c>
      <c r="AM85" s="8" t="n">
        <v>0</v>
      </c>
      <c r="AN85" s="8" t="n">
        <v>0</v>
      </c>
      <c r="AO85" s="8" t="n">
        <v>0</v>
      </c>
      <c r="AP85" s="8" t="n">
        <v>0</v>
      </c>
      <c r="AQ85" s="8" t="n">
        <v>0</v>
      </c>
      <c r="AR85" s="8" t="n">
        <v>0</v>
      </c>
      <c r="AS85" s="8" t="n">
        <v>1</v>
      </c>
      <c r="AT85" s="8" t="n">
        <v>1</v>
      </c>
      <c r="AU85" s="8" t="n">
        <v>0</v>
      </c>
      <c r="AV85" s="8" t="n">
        <v>0</v>
      </c>
      <c r="AW85" s="8" t="n">
        <v>1</v>
      </c>
      <c r="AX85" s="8" t="n">
        <v>1</v>
      </c>
      <c r="AY85" s="8" t="n">
        <v>1</v>
      </c>
      <c r="AZ85" s="8" t="n">
        <v>1</v>
      </c>
      <c r="BA85" s="8" t="n">
        <v>1</v>
      </c>
      <c r="BB85" s="8" t="n">
        <v>1</v>
      </c>
      <c r="BC85" s="8" t="n">
        <v>298</v>
      </c>
      <c r="BD85" s="8" t="n">
        <v>0</v>
      </c>
      <c r="BE85" s="8" t="n">
        <v>0</v>
      </c>
      <c r="BF85" s="8" t="n">
        <v>0</v>
      </c>
      <c r="BG85" s="10" t="s">
        <v>954</v>
      </c>
      <c r="BH85" s="9" t="s">
        <v>955</v>
      </c>
    </row>
    <row r="86" customFormat="false" ht="15" hidden="false" customHeight="false" outlineLevel="0" collapsed="false">
      <c r="A86" s="8" t="s">
        <v>956</v>
      </c>
      <c r="B86" s="8" t="s">
        <v>947</v>
      </c>
      <c r="C86" s="8" t="n">
        <v>2</v>
      </c>
      <c r="D86" s="8" t="n">
        <v>1928</v>
      </c>
      <c r="E86" s="8" t="n">
        <v>1928</v>
      </c>
      <c r="F86" s="8" t="str">
        <f aca="false">IF(D86="","?",IF(D86&lt;1796,"pre-1796",IF(D86&lt;1912,"1796-1911",IF(D86&lt;1949,"1912-1948","1949+"))))</f>
        <v>1912-1948</v>
      </c>
      <c r="G86" s="8" t="str">
        <f aca="false">IF(D86="","?",IF(D86&lt;1912,"Qing",IF(D86&lt;1949,"Republic","PRC")))</f>
        <v>Republic</v>
      </c>
      <c r="H86" s="8" t="s">
        <v>948</v>
      </c>
      <c r="I86" s="9" t="s">
        <v>110</v>
      </c>
      <c r="J86" s="9" t="s">
        <v>111</v>
      </c>
      <c r="K86" s="8" t="s">
        <v>84</v>
      </c>
      <c r="L86" s="9" t="s">
        <v>949</v>
      </c>
      <c r="M86" s="8"/>
      <c r="N86" s="8"/>
      <c r="O86" s="8" t="s">
        <v>950</v>
      </c>
      <c r="P86" s="8" t="s">
        <v>114</v>
      </c>
      <c r="Q86" s="9" t="s">
        <v>98</v>
      </c>
      <c r="R86" s="9" t="s">
        <v>428</v>
      </c>
      <c r="S86" s="8"/>
      <c r="T86" s="8"/>
      <c r="U86" s="8"/>
      <c r="V86" s="8"/>
      <c r="W86" s="9" t="s">
        <v>957</v>
      </c>
      <c r="X86" s="8"/>
      <c r="Y86" s="8"/>
      <c r="Z86" s="8"/>
      <c r="AA86" s="8"/>
      <c r="AB86" s="8"/>
      <c r="AC86" s="8"/>
      <c r="AD86" s="8"/>
      <c r="AE86" s="8" t="s">
        <v>958</v>
      </c>
      <c r="AF86" s="9" t="s">
        <v>959</v>
      </c>
      <c r="AG86" s="9" t="s">
        <v>960</v>
      </c>
      <c r="AH86" s="8"/>
      <c r="AI86" s="8" t="n">
        <v>0</v>
      </c>
      <c r="AJ86" s="8" t="n">
        <v>0</v>
      </c>
      <c r="AK86" s="8" t="n">
        <v>0</v>
      </c>
      <c r="AL86" s="8" t="n">
        <v>0</v>
      </c>
      <c r="AM86" s="8" t="n">
        <v>0</v>
      </c>
      <c r="AN86" s="8" t="n">
        <v>0</v>
      </c>
      <c r="AO86" s="8" t="n">
        <v>0</v>
      </c>
      <c r="AP86" s="8" t="n">
        <v>0</v>
      </c>
      <c r="AQ86" s="8" t="n">
        <v>0</v>
      </c>
      <c r="AR86" s="8" t="n">
        <v>0</v>
      </c>
      <c r="AS86" s="8" t="n">
        <v>0</v>
      </c>
      <c r="AT86" s="8" t="n">
        <v>0</v>
      </c>
      <c r="AU86" s="8" t="n">
        <v>0</v>
      </c>
      <c r="AV86" s="8" t="n">
        <v>0</v>
      </c>
      <c r="AW86" s="8" t="n">
        <v>0</v>
      </c>
      <c r="AX86" s="8" t="n">
        <v>0</v>
      </c>
      <c r="AY86" s="8" t="n">
        <v>0</v>
      </c>
      <c r="AZ86" s="8" t="n">
        <v>0</v>
      </c>
      <c r="BA86" s="8" t="n">
        <v>0</v>
      </c>
      <c r="BB86" s="8" t="n">
        <v>0</v>
      </c>
      <c r="BC86" s="8" t="n">
        <v>304</v>
      </c>
      <c r="BD86" s="8" t="n">
        <v>0</v>
      </c>
      <c r="BE86" s="8" t="n">
        <v>0</v>
      </c>
      <c r="BF86" s="8" t="n">
        <v>0</v>
      </c>
      <c r="BG86" s="10" t="s">
        <v>954</v>
      </c>
      <c r="BH86" s="8" t="s">
        <v>961</v>
      </c>
    </row>
    <row r="87" customFormat="false" ht="15" hidden="false" customHeight="false" outlineLevel="0" collapsed="false">
      <c r="A87" s="8" t="s">
        <v>962</v>
      </c>
      <c r="B87" s="8" t="s">
        <v>963</v>
      </c>
      <c r="C87" s="8" t="n">
        <v>1</v>
      </c>
      <c r="D87" s="8" t="n">
        <v>1915</v>
      </c>
      <c r="E87" s="8" t="n">
        <v>1915</v>
      </c>
      <c r="F87" s="8" t="str">
        <f aca="false">IF(D87="","?",IF(D87&lt;1796,"pre-1796",IF(D87&lt;1912,"1796-1911",IF(D87&lt;1949,"1912-1948","1949+"))))</f>
        <v>1912-1948</v>
      </c>
      <c r="G87" s="8" t="str">
        <f aca="false">IF(D87="","?",IF(D87&lt;1912,"Qing",IF(D87&lt;1949,"Republic","PRC")))</f>
        <v>Republic</v>
      </c>
      <c r="H87" s="8" t="s">
        <v>964</v>
      </c>
      <c r="I87" s="9" t="s">
        <v>110</v>
      </c>
      <c r="J87" s="9" t="s">
        <v>111</v>
      </c>
      <c r="K87" s="8" t="s">
        <v>84</v>
      </c>
      <c r="L87" s="9" t="s">
        <v>965</v>
      </c>
      <c r="M87" s="8"/>
      <c r="N87" s="8"/>
      <c r="O87" s="8" t="s">
        <v>966</v>
      </c>
      <c r="P87" s="8" t="s">
        <v>114</v>
      </c>
      <c r="Q87" s="8"/>
      <c r="R87" s="9" t="s">
        <v>967</v>
      </c>
      <c r="S87" s="8"/>
      <c r="T87" s="8"/>
      <c r="U87" s="9" t="s">
        <v>968</v>
      </c>
      <c r="V87" s="8"/>
      <c r="W87" s="9" t="s">
        <v>969</v>
      </c>
      <c r="X87" s="8"/>
      <c r="Y87" s="8"/>
      <c r="Z87" s="9" t="s">
        <v>970</v>
      </c>
      <c r="AA87" s="8"/>
      <c r="AB87" s="8"/>
      <c r="AC87" s="8"/>
      <c r="AD87" s="8"/>
      <c r="AE87" s="9" t="s">
        <v>971</v>
      </c>
      <c r="AF87" s="9" t="s">
        <v>120</v>
      </c>
      <c r="AG87" s="9" t="s">
        <v>965</v>
      </c>
      <c r="AH87" s="9" t="s">
        <v>972</v>
      </c>
      <c r="AI87" s="8" t="n">
        <v>0</v>
      </c>
      <c r="AJ87" s="8" t="n">
        <v>0</v>
      </c>
      <c r="AK87" s="8" t="n">
        <v>0</v>
      </c>
      <c r="AL87" s="8" t="n">
        <v>0</v>
      </c>
      <c r="AM87" s="8" t="n">
        <v>0</v>
      </c>
      <c r="AN87" s="8" t="n">
        <v>0</v>
      </c>
      <c r="AO87" s="8" t="n">
        <v>0</v>
      </c>
      <c r="AP87" s="8" t="n">
        <v>0</v>
      </c>
      <c r="AQ87" s="8" t="n">
        <v>0</v>
      </c>
      <c r="AR87" s="8" t="n">
        <v>0</v>
      </c>
      <c r="AS87" s="8" t="n">
        <v>0</v>
      </c>
      <c r="AT87" s="8" t="n">
        <v>0</v>
      </c>
      <c r="AU87" s="8" t="n">
        <v>0</v>
      </c>
      <c r="AV87" s="8" t="n">
        <v>0</v>
      </c>
      <c r="AW87" s="8" t="n">
        <v>1</v>
      </c>
      <c r="AX87" s="8" t="n">
        <v>1</v>
      </c>
      <c r="AY87" s="8" t="n">
        <v>1</v>
      </c>
      <c r="AZ87" s="8" t="n">
        <v>1</v>
      </c>
      <c r="BA87" s="8" t="n">
        <v>0</v>
      </c>
      <c r="BB87" s="8" t="n">
        <v>0</v>
      </c>
      <c r="BC87" s="8" t="n">
        <v>401</v>
      </c>
      <c r="BD87" s="8" t="n">
        <v>0</v>
      </c>
      <c r="BE87" s="8" t="n">
        <v>0</v>
      </c>
      <c r="BF87" s="8" t="n">
        <v>0</v>
      </c>
      <c r="BG87" s="10" t="s">
        <v>973</v>
      </c>
      <c r="BH87" s="9" t="s">
        <v>974</v>
      </c>
    </row>
    <row r="88" customFormat="false" ht="15" hidden="false" customHeight="false" outlineLevel="0" collapsed="false">
      <c r="A88" s="8" t="s">
        <v>975</v>
      </c>
      <c r="B88" s="8" t="s">
        <v>976</v>
      </c>
      <c r="C88" s="8" t="n">
        <v>1</v>
      </c>
      <c r="D88" s="8" t="n">
        <v>1930</v>
      </c>
      <c r="E88" s="8" t="n">
        <v>1930</v>
      </c>
      <c r="F88" s="8" t="str">
        <f aca="false">IF(D88="","?",IF(D88&lt;1796,"pre-1796",IF(D88&lt;1912,"1796-1911",IF(D88&lt;1949,"1912-1948","1949+"))))</f>
        <v>1912-1948</v>
      </c>
      <c r="G88" s="8" t="str">
        <f aca="false">IF(D88="","?",IF(D88&lt;1912,"Qing",IF(D88&lt;1949,"Republic","PRC")))</f>
        <v>Republic</v>
      </c>
      <c r="H88" s="8" t="s">
        <v>977</v>
      </c>
      <c r="I88" s="9" t="s">
        <v>110</v>
      </c>
      <c r="J88" s="9" t="s">
        <v>111</v>
      </c>
      <c r="K88" s="8" t="s">
        <v>84</v>
      </c>
      <c r="L88" s="9" t="s">
        <v>978</v>
      </c>
      <c r="M88" s="8"/>
      <c r="N88" s="8"/>
      <c r="O88" s="8" t="s">
        <v>979</v>
      </c>
      <c r="P88" s="8" t="s">
        <v>114</v>
      </c>
      <c r="Q88" s="8"/>
      <c r="R88" s="8"/>
      <c r="S88" s="8"/>
      <c r="T88" s="8"/>
      <c r="U88" s="8"/>
      <c r="V88" s="8"/>
      <c r="W88" s="8"/>
      <c r="X88" s="8"/>
      <c r="Y88" s="8"/>
      <c r="Z88" s="8"/>
      <c r="AA88" s="8"/>
      <c r="AB88" s="8"/>
      <c r="AC88" s="8"/>
      <c r="AD88" s="8"/>
      <c r="AE88" s="9" t="s">
        <v>980</v>
      </c>
      <c r="AF88" s="8"/>
      <c r="AG88" s="8"/>
      <c r="AH88" s="8"/>
      <c r="AI88" s="8" t="n">
        <v>0</v>
      </c>
      <c r="AJ88" s="8" t="n">
        <v>0</v>
      </c>
      <c r="AK88" s="8" t="n">
        <v>0</v>
      </c>
      <c r="AL88" s="8" t="n">
        <v>0</v>
      </c>
      <c r="AM88" s="8" t="n">
        <v>0</v>
      </c>
      <c r="AN88" s="8" t="n">
        <v>0</v>
      </c>
      <c r="AO88" s="8" t="n">
        <v>0</v>
      </c>
      <c r="AP88" s="8" t="n">
        <v>0</v>
      </c>
      <c r="AQ88" s="8" t="n">
        <v>0</v>
      </c>
      <c r="AR88" s="8" t="n">
        <v>0</v>
      </c>
      <c r="AS88" s="8" t="n">
        <v>0</v>
      </c>
      <c r="AT88" s="8" t="n">
        <v>0</v>
      </c>
      <c r="AU88" s="8" t="n">
        <v>0</v>
      </c>
      <c r="AV88" s="8" t="n">
        <v>0</v>
      </c>
      <c r="AW88" s="8" t="n">
        <v>0</v>
      </c>
      <c r="AX88" s="8" t="n">
        <v>0</v>
      </c>
      <c r="AY88" s="8" t="n">
        <v>0</v>
      </c>
      <c r="AZ88" s="8" t="n">
        <v>0</v>
      </c>
      <c r="BA88" s="8" t="n">
        <v>0</v>
      </c>
      <c r="BB88" s="8" t="n">
        <v>0</v>
      </c>
      <c r="BC88" s="8" t="n">
        <v>42</v>
      </c>
      <c r="BD88" s="8" t="n">
        <v>0</v>
      </c>
      <c r="BE88" s="8" t="n">
        <v>0</v>
      </c>
      <c r="BF88" s="8" t="n">
        <v>0</v>
      </c>
      <c r="BG88" s="10" t="s">
        <v>981</v>
      </c>
      <c r="BH88" s="9" t="s">
        <v>982</v>
      </c>
    </row>
    <row r="89" customFormat="false" ht="15" hidden="false" customHeight="false" outlineLevel="0" collapsed="false">
      <c r="A89" s="8" t="s">
        <v>983</v>
      </c>
      <c r="B89" s="8" t="s">
        <v>976</v>
      </c>
      <c r="C89" s="8" t="n">
        <v>2</v>
      </c>
      <c r="D89" s="8" t="n">
        <v>1930</v>
      </c>
      <c r="E89" s="8" t="n">
        <v>1930</v>
      </c>
      <c r="F89" s="8" t="str">
        <f aca="false">IF(D89="","?",IF(D89&lt;1796,"pre-1796",IF(D89&lt;1912,"1796-1911",IF(D89&lt;1949,"1912-1948","1949+"))))</f>
        <v>1912-1948</v>
      </c>
      <c r="G89" s="8" t="str">
        <f aca="false">IF(D89="","?",IF(D89&lt;1912,"Qing",IF(D89&lt;1949,"Republic","PRC")))</f>
        <v>Republic</v>
      </c>
      <c r="H89" s="8" t="s">
        <v>977</v>
      </c>
      <c r="I89" s="9" t="s">
        <v>110</v>
      </c>
      <c r="J89" s="9" t="s">
        <v>111</v>
      </c>
      <c r="K89" s="8" t="s">
        <v>84</v>
      </c>
      <c r="L89" s="9" t="s">
        <v>978</v>
      </c>
      <c r="M89" s="8"/>
      <c r="N89" s="8"/>
      <c r="O89" s="8" t="s">
        <v>979</v>
      </c>
      <c r="P89" s="8" t="s">
        <v>114</v>
      </c>
      <c r="Q89" s="9" t="s">
        <v>115</v>
      </c>
      <c r="R89" s="9" t="s">
        <v>984</v>
      </c>
      <c r="S89" s="8"/>
      <c r="T89" s="8"/>
      <c r="U89" s="9" t="s">
        <v>985</v>
      </c>
      <c r="V89" s="8"/>
      <c r="W89" s="9" t="s">
        <v>986</v>
      </c>
      <c r="X89" s="8"/>
      <c r="Y89" s="8"/>
      <c r="Z89" s="8"/>
      <c r="AA89" s="8"/>
      <c r="AB89" s="8"/>
      <c r="AC89" s="8"/>
      <c r="AD89" s="8"/>
      <c r="AE89" s="9" t="s">
        <v>987</v>
      </c>
      <c r="AF89" s="9" t="s">
        <v>120</v>
      </c>
      <c r="AG89" s="9" t="s">
        <v>978</v>
      </c>
      <c r="AH89" s="9" t="s">
        <v>988</v>
      </c>
      <c r="AI89" s="8" t="n">
        <v>0</v>
      </c>
      <c r="AJ89" s="8" t="n">
        <v>0</v>
      </c>
      <c r="AK89" s="8" t="n">
        <v>0</v>
      </c>
      <c r="AL89" s="8" t="n">
        <v>0</v>
      </c>
      <c r="AM89" s="8" t="n">
        <v>0</v>
      </c>
      <c r="AN89" s="8" t="n">
        <v>0</v>
      </c>
      <c r="AO89" s="8" t="n">
        <v>0</v>
      </c>
      <c r="AP89" s="8" t="n">
        <v>0</v>
      </c>
      <c r="AQ89" s="8" t="n">
        <v>0</v>
      </c>
      <c r="AR89" s="8" t="n">
        <v>0</v>
      </c>
      <c r="AS89" s="8" t="n">
        <v>1</v>
      </c>
      <c r="AT89" s="8" t="n">
        <v>1</v>
      </c>
      <c r="AU89" s="8" t="n">
        <v>0</v>
      </c>
      <c r="AV89" s="8" t="n">
        <v>0</v>
      </c>
      <c r="AW89" s="8" t="n">
        <v>1</v>
      </c>
      <c r="AX89" s="8" t="n">
        <v>1</v>
      </c>
      <c r="AY89" s="8" t="n">
        <v>1</v>
      </c>
      <c r="AZ89" s="8" t="n">
        <v>1</v>
      </c>
      <c r="BA89" s="8" t="n">
        <v>1</v>
      </c>
      <c r="BB89" s="8" t="n">
        <v>1</v>
      </c>
      <c r="BC89" s="8" t="n">
        <v>309</v>
      </c>
      <c r="BD89" s="8" t="n">
        <v>0</v>
      </c>
      <c r="BE89" s="8" t="n">
        <v>0</v>
      </c>
      <c r="BF89" s="8" t="n">
        <v>0</v>
      </c>
      <c r="BG89" s="10" t="s">
        <v>981</v>
      </c>
      <c r="BH89" s="9" t="s">
        <v>989</v>
      </c>
    </row>
    <row r="90" customFormat="false" ht="15" hidden="false" customHeight="false" outlineLevel="0" collapsed="false">
      <c r="A90" s="8" t="s">
        <v>990</v>
      </c>
      <c r="B90" s="8" t="s">
        <v>991</v>
      </c>
      <c r="C90" s="8" t="n">
        <v>1</v>
      </c>
      <c r="D90" s="8"/>
      <c r="E90" s="8"/>
      <c r="F90" s="8" t="str">
        <f aca="false">IF(D90="","?",IF(D90&lt;1796,"pre-1796",IF(D90&lt;1912,"1796-1911",IF(D90&lt;1949,"1912-1948","1949+"))))</f>
        <v>?</v>
      </c>
      <c r="G90" s="8" t="str">
        <f aca="false">IF(D90="","?",IF(D90&lt;1912,"Qing",IF(D90&lt;1949,"Republic","PRC")))</f>
        <v>?</v>
      </c>
      <c r="H90" s="8"/>
      <c r="I90" s="9" t="s">
        <v>110</v>
      </c>
      <c r="J90" s="9" t="s">
        <v>111</v>
      </c>
      <c r="K90" s="8" t="s">
        <v>84</v>
      </c>
      <c r="L90" s="8"/>
      <c r="M90" s="9" t="s">
        <v>992</v>
      </c>
      <c r="N90" s="9" t="s">
        <v>993</v>
      </c>
      <c r="O90" s="8" t="s">
        <v>994</v>
      </c>
      <c r="P90" s="8" t="s">
        <v>114</v>
      </c>
      <c r="Q90" s="8"/>
      <c r="R90" s="9" t="s">
        <v>995</v>
      </c>
      <c r="S90" s="8"/>
      <c r="T90" s="8"/>
      <c r="U90" s="9" t="s">
        <v>996</v>
      </c>
      <c r="V90" s="8"/>
      <c r="W90" s="9" t="s">
        <v>997</v>
      </c>
      <c r="X90" s="9" t="s">
        <v>998</v>
      </c>
      <c r="Y90" s="9" t="s">
        <v>602</v>
      </c>
      <c r="Z90" s="9" t="s">
        <v>999</v>
      </c>
      <c r="AA90" s="9" t="s">
        <v>1000</v>
      </c>
      <c r="AB90" s="9" t="s">
        <v>1001</v>
      </c>
      <c r="AC90" s="8"/>
      <c r="AD90" s="8"/>
      <c r="AE90" s="9" t="s">
        <v>1002</v>
      </c>
      <c r="AF90" s="8"/>
      <c r="AG90" s="8"/>
      <c r="AH90" s="8"/>
      <c r="AI90" s="8" t="n">
        <v>1</v>
      </c>
      <c r="AJ90" s="8" t="n">
        <v>1</v>
      </c>
      <c r="AK90" s="8" t="n">
        <v>1</v>
      </c>
      <c r="AL90" s="8" t="n">
        <v>1</v>
      </c>
      <c r="AM90" s="8" t="n">
        <v>1</v>
      </c>
      <c r="AN90" s="8" t="n">
        <v>1</v>
      </c>
      <c r="AO90" s="8" t="n">
        <v>1</v>
      </c>
      <c r="AP90" s="8" t="n">
        <v>1</v>
      </c>
      <c r="AQ90" s="8" t="n">
        <v>0</v>
      </c>
      <c r="AR90" s="8" t="n">
        <v>0</v>
      </c>
      <c r="AS90" s="8" t="n">
        <v>1</v>
      </c>
      <c r="AT90" s="8" t="n">
        <v>1</v>
      </c>
      <c r="AU90" s="8" t="n">
        <v>0</v>
      </c>
      <c r="AV90" s="8" t="n">
        <v>0</v>
      </c>
      <c r="AW90" s="8" t="n">
        <v>0</v>
      </c>
      <c r="AX90" s="8" t="n">
        <v>0</v>
      </c>
      <c r="AY90" s="8" t="n">
        <v>0</v>
      </c>
      <c r="AZ90" s="8" t="n">
        <v>0</v>
      </c>
      <c r="BA90" s="8" t="n">
        <v>0</v>
      </c>
      <c r="BB90" s="8" t="n">
        <v>0</v>
      </c>
      <c r="BC90" s="8" t="n">
        <v>337</v>
      </c>
      <c r="BD90" s="8" t="n">
        <v>0</v>
      </c>
      <c r="BE90" s="8" t="n">
        <v>0</v>
      </c>
      <c r="BF90" s="8" t="n">
        <v>0</v>
      </c>
      <c r="BG90" s="10" t="s">
        <v>1003</v>
      </c>
      <c r="BH90" s="9" t="s">
        <v>1004</v>
      </c>
    </row>
    <row r="91" customFormat="false" ht="15" hidden="false" customHeight="false" outlineLevel="0" collapsed="false">
      <c r="A91" s="8" t="s">
        <v>1005</v>
      </c>
      <c r="B91" s="8" t="s">
        <v>991</v>
      </c>
      <c r="C91" s="8" t="n">
        <v>2</v>
      </c>
      <c r="D91" s="8"/>
      <c r="E91" s="8"/>
      <c r="F91" s="8" t="str">
        <f aca="false">IF(D91="","?",IF(D91&lt;1796,"pre-1796",IF(D91&lt;1912,"1796-1911",IF(D91&lt;1949,"1912-1948","1949+"))))</f>
        <v>?</v>
      </c>
      <c r="G91" s="8" t="str">
        <f aca="false">IF(D91="","?",IF(D91&lt;1912,"Qing",IF(D91&lt;1949,"Republic","PRC")))</f>
        <v>?</v>
      </c>
      <c r="H91" s="8"/>
      <c r="I91" s="9" t="s">
        <v>110</v>
      </c>
      <c r="J91" s="9" t="s">
        <v>111</v>
      </c>
      <c r="K91" s="8" t="s">
        <v>84</v>
      </c>
      <c r="L91" s="8"/>
      <c r="M91" s="9" t="s">
        <v>992</v>
      </c>
      <c r="N91" s="9" t="s">
        <v>993</v>
      </c>
      <c r="O91" s="8" t="s">
        <v>994</v>
      </c>
      <c r="P91" s="8" t="s">
        <v>114</v>
      </c>
      <c r="Q91" s="8"/>
      <c r="R91" s="9" t="s">
        <v>428</v>
      </c>
      <c r="S91" s="8"/>
      <c r="T91" s="8"/>
      <c r="U91" s="8"/>
      <c r="V91" s="8"/>
      <c r="W91" s="8"/>
      <c r="X91" s="8"/>
      <c r="Y91" s="8"/>
      <c r="Z91" s="8"/>
      <c r="AA91" s="8"/>
      <c r="AB91" s="8"/>
      <c r="AC91" s="8"/>
      <c r="AD91" s="8"/>
      <c r="AE91" s="8"/>
      <c r="AF91" s="9" t="s">
        <v>1006</v>
      </c>
      <c r="AG91" s="8"/>
      <c r="AH91" s="8"/>
      <c r="AI91" s="8" t="n">
        <v>0</v>
      </c>
      <c r="AJ91" s="8" t="n">
        <v>0</v>
      </c>
      <c r="AK91" s="8" t="n">
        <v>0</v>
      </c>
      <c r="AL91" s="8" t="n">
        <v>0</v>
      </c>
      <c r="AM91" s="8" t="n">
        <v>0</v>
      </c>
      <c r="AN91" s="8" t="n">
        <v>0</v>
      </c>
      <c r="AO91" s="8" t="n">
        <v>0</v>
      </c>
      <c r="AP91" s="8" t="n">
        <v>0</v>
      </c>
      <c r="AQ91" s="8" t="n">
        <v>0</v>
      </c>
      <c r="AR91" s="8" t="n">
        <v>0</v>
      </c>
      <c r="AS91" s="8" t="n">
        <v>0</v>
      </c>
      <c r="AT91" s="8" t="n">
        <v>0</v>
      </c>
      <c r="AU91" s="8" t="n">
        <v>0</v>
      </c>
      <c r="AV91" s="8" t="n">
        <v>0</v>
      </c>
      <c r="AW91" s="8" t="n">
        <v>0</v>
      </c>
      <c r="AX91" s="8" t="n">
        <v>0</v>
      </c>
      <c r="AY91" s="8" t="n">
        <v>0</v>
      </c>
      <c r="AZ91" s="8" t="n">
        <v>0</v>
      </c>
      <c r="BA91" s="8" t="n">
        <v>0</v>
      </c>
      <c r="BB91" s="8" t="n">
        <v>0</v>
      </c>
      <c r="BC91" s="8" t="n">
        <v>87</v>
      </c>
      <c r="BD91" s="8" t="n">
        <v>0</v>
      </c>
      <c r="BE91" s="8" t="n">
        <v>0</v>
      </c>
      <c r="BF91" s="8" t="n">
        <v>0</v>
      </c>
      <c r="BG91" s="10" t="s">
        <v>1003</v>
      </c>
      <c r="BH91" s="9" t="s">
        <v>1007</v>
      </c>
    </row>
    <row r="92" customFormat="false" ht="15" hidden="false" customHeight="false" outlineLevel="0" collapsed="false">
      <c r="A92" s="8" t="s">
        <v>1008</v>
      </c>
      <c r="B92" s="8" t="s">
        <v>1009</v>
      </c>
      <c r="C92" s="8" t="n">
        <v>1</v>
      </c>
      <c r="D92" s="8" t="n">
        <v>1925</v>
      </c>
      <c r="E92" s="8" t="n">
        <v>1925</v>
      </c>
      <c r="F92" s="8" t="str">
        <f aca="false">IF(D92="","?",IF(D92&lt;1796,"pre-1796",IF(D92&lt;1912,"1796-1911",IF(D92&lt;1949,"1912-1948","1949+"))))</f>
        <v>1912-1948</v>
      </c>
      <c r="G92" s="8" t="str">
        <f aca="false">IF(D92="","?",IF(D92&lt;1912,"Qing",IF(D92&lt;1949,"Republic","PRC")))</f>
        <v>Republic</v>
      </c>
      <c r="H92" s="8" t="s">
        <v>435</v>
      </c>
      <c r="I92" s="9" t="s">
        <v>110</v>
      </c>
      <c r="J92" s="9" t="s">
        <v>111</v>
      </c>
      <c r="K92" s="8" t="s">
        <v>84</v>
      </c>
      <c r="L92" s="8"/>
      <c r="M92" s="9" t="s">
        <v>1010</v>
      </c>
      <c r="N92" s="9" t="s">
        <v>1011</v>
      </c>
      <c r="O92" s="8" t="s">
        <v>1012</v>
      </c>
      <c r="P92" s="8" t="s">
        <v>97</v>
      </c>
      <c r="Q92" s="9" t="s">
        <v>98</v>
      </c>
      <c r="R92" s="9" t="s">
        <v>1013</v>
      </c>
      <c r="S92" s="8"/>
      <c r="T92" s="8"/>
      <c r="U92" s="9" t="s">
        <v>1014</v>
      </c>
      <c r="V92" s="9" t="s">
        <v>229</v>
      </c>
      <c r="W92" s="9" t="s">
        <v>1015</v>
      </c>
      <c r="X92" s="8"/>
      <c r="Y92" s="8"/>
      <c r="Z92" s="9" t="s">
        <v>1016</v>
      </c>
      <c r="AA92" s="8"/>
      <c r="AB92" s="8"/>
      <c r="AC92" s="8"/>
      <c r="AD92" s="8"/>
      <c r="AE92" s="9" t="s">
        <v>1017</v>
      </c>
      <c r="AF92" s="8"/>
      <c r="AG92" s="8"/>
      <c r="AH92" s="8"/>
      <c r="AI92" s="8" t="n">
        <v>0</v>
      </c>
      <c r="AJ92" s="8" t="n">
        <v>0</v>
      </c>
      <c r="AK92" s="8" t="n">
        <v>0</v>
      </c>
      <c r="AL92" s="8" t="n">
        <v>0</v>
      </c>
      <c r="AM92" s="8" t="n">
        <v>0</v>
      </c>
      <c r="AN92" s="8" t="n">
        <v>0</v>
      </c>
      <c r="AO92" s="8" t="n">
        <v>0</v>
      </c>
      <c r="AP92" s="8" t="n">
        <v>0</v>
      </c>
      <c r="AQ92" s="8" t="n">
        <v>0</v>
      </c>
      <c r="AR92" s="8" t="n">
        <v>0</v>
      </c>
      <c r="AS92" s="8" t="n">
        <v>1</v>
      </c>
      <c r="AT92" s="8" t="n">
        <v>1</v>
      </c>
      <c r="AU92" s="8" t="n">
        <v>0</v>
      </c>
      <c r="AV92" s="8" t="n">
        <v>0</v>
      </c>
      <c r="AW92" s="8" t="n">
        <v>0</v>
      </c>
      <c r="AX92" s="8" t="n">
        <v>1</v>
      </c>
      <c r="AY92" s="8" t="n">
        <v>0</v>
      </c>
      <c r="AZ92" s="8" t="n">
        <v>0</v>
      </c>
      <c r="BA92" s="8" t="n">
        <v>1</v>
      </c>
      <c r="BB92" s="8" t="n">
        <v>1</v>
      </c>
      <c r="BC92" s="8" t="n">
        <v>681</v>
      </c>
      <c r="BD92" s="8" t="n">
        <v>0</v>
      </c>
      <c r="BE92" s="8" t="n">
        <v>1</v>
      </c>
      <c r="BF92" s="8" t="n">
        <v>0</v>
      </c>
      <c r="BG92" s="10" t="s">
        <v>1018</v>
      </c>
      <c r="BH92" s="9" t="s">
        <v>1019</v>
      </c>
    </row>
    <row r="93" customFormat="false" ht="15" hidden="false" customHeight="false" outlineLevel="0" collapsed="false">
      <c r="A93" s="8" t="s">
        <v>1020</v>
      </c>
      <c r="B93" s="8" t="s">
        <v>1021</v>
      </c>
      <c r="C93" s="8" t="n">
        <v>1</v>
      </c>
      <c r="D93" s="8" t="n">
        <v>1913</v>
      </c>
      <c r="E93" s="8" t="n">
        <v>1913</v>
      </c>
      <c r="F93" s="8" t="str">
        <f aca="false">IF(D93="","?",IF(D93&lt;1796,"pre-1796",IF(D93&lt;1912,"1796-1911",IF(D93&lt;1949,"1912-1948","1949+"))))</f>
        <v>1912-1948</v>
      </c>
      <c r="G93" s="8" t="str">
        <f aca="false">IF(D93="","?",IF(D93&lt;1912,"Qing",IF(D93&lt;1949,"Republic","PRC")))</f>
        <v>Republic</v>
      </c>
      <c r="H93" s="8" t="s">
        <v>573</v>
      </c>
      <c r="I93" s="9" t="s">
        <v>899</v>
      </c>
      <c r="J93" s="9" t="s">
        <v>900</v>
      </c>
      <c r="K93" s="8" t="s">
        <v>84</v>
      </c>
      <c r="L93" s="9" t="s">
        <v>1022</v>
      </c>
      <c r="M93" s="8"/>
      <c r="N93" s="8"/>
      <c r="O93" s="8" t="s">
        <v>1023</v>
      </c>
      <c r="P93" s="8" t="s">
        <v>114</v>
      </c>
      <c r="Q93" s="9" t="s">
        <v>115</v>
      </c>
      <c r="R93" s="8"/>
      <c r="S93" s="8"/>
      <c r="T93" s="8"/>
      <c r="U93" s="8"/>
      <c r="V93" s="8"/>
      <c r="W93" s="9" t="s">
        <v>1024</v>
      </c>
      <c r="X93" s="8"/>
      <c r="Y93" s="8"/>
      <c r="Z93" s="8"/>
      <c r="AA93" s="8"/>
      <c r="AB93" s="8"/>
      <c r="AC93" s="8"/>
      <c r="AD93" s="8"/>
      <c r="AE93" s="9" t="s">
        <v>1025</v>
      </c>
      <c r="AF93" s="9" t="s">
        <v>399</v>
      </c>
      <c r="AG93" s="9" t="s">
        <v>1022</v>
      </c>
      <c r="AH93" s="9" t="s">
        <v>1026</v>
      </c>
      <c r="AI93" s="8" t="n">
        <v>0</v>
      </c>
      <c r="AJ93" s="8" t="n">
        <v>0</v>
      </c>
      <c r="AK93" s="8" t="n">
        <v>0</v>
      </c>
      <c r="AL93" s="8" t="n">
        <v>0</v>
      </c>
      <c r="AM93" s="8" t="n">
        <v>0</v>
      </c>
      <c r="AN93" s="8" t="n">
        <v>0</v>
      </c>
      <c r="AO93" s="8" t="n">
        <v>0</v>
      </c>
      <c r="AP93" s="8" t="n">
        <v>0</v>
      </c>
      <c r="AQ93" s="8" t="n">
        <v>0</v>
      </c>
      <c r="AR93" s="8" t="n">
        <v>0</v>
      </c>
      <c r="AS93" s="8" t="n">
        <v>1</v>
      </c>
      <c r="AT93" s="8" t="n">
        <v>0</v>
      </c>
      <c r="AU93" s="8" t="n">
        <v>0</v>
      </c>
      <c r="AV93" s="8" t="n">
        <v>0</v>
      </c>
      <c r="AW93" s="8" t="n">
        <v>0</v>
      </c>
      <c r="AX93" s="8" t="n">
        <v>1</v>
      </c>
      <c r="AY93" s="8" t="n">
        <v>1</v>
      </c>
      <c r="AZ93" s="8" t="n">
        <v>1</v>
      </c>
      <c r="BA93" s="8" t="n">
        <v>1</v>
      </c>
      <c r="BB93" s="8" t="n">
        <v>1</v>
      </c>
      <c r="BC93" s="8" t="n">
        <v>356</v>
      </c>
      <c r="BD93" s="8" t="n">
        <v>0</v>
      </c>
      <c r="BE93" s="8" t="n">
        <v>0</v>
      </c>
      <c r="BF93" s="8" t="n">
        <v>0</v>
      </c>
      <c r="BG93" s="10" t="s">
        <v>1027</v>
      </c>
      <c r="BH93" s="9" t="s">
        <v>1028</v>
      </c>
    </row>
    <row r="94" customFormat="false" ht="15" hidden="false" customHeight="false" outlineLevel="0" collapsed="false">
      <c r="A94" s="8" t="s">
        <v>1029</v>
      </c>
      <c r="B94" s="8" t="s">
        <v>1030</v>
      </c>
      <c r="C94" s="8" t="n">
        <v>1</v>
      </c>
      <c r="D94" s="8" t="n">
        <v>1906</v>
      </c>
      <c r="E94" s="8" t="n">
        <v>1906</v>
      </c>
      <c r="F94" s="8" t="str">
        <f aca="false">IF(D94="","?",IF(D94&lt;1796,"pre-1796",IF(D94&lt;1912,"1796-1911",IF(D94&lt;1949,"1912-1948","1949+"))))</f>
        <v>1796-1911</v>
      </c>
      <c r="G94" s="8" t="str">
        <f aca="false">IF(D94="","?",IF(D94&lt;1912,"Qing",IF(D94&lt;1949,"Republic","PRC")))</f>
        <v>Qing</v>
      </c>
      <c r="H94" s="8" t="s">
        <v>583</v>
      </c>
      <c r="I94" s="8"/>
      <c r="J94" s="8"/>
      <c r="K94" s="8" t="s">
        <v>130</v>
      </c>
      <c r="L94" s="8"/>
      <c r="M94" s="9" t="s">
        <v>1031</v>
      </c>
      <c r="N94" s="9" t="s">
        <v>1032</v>
      </c>
      <c r="O94" s="8" t="s">
        <v>1033</v>
      </c>
      <c r="P94" s="8" t="s">
        <v>133</v>
      </c>
      <c r="Q94" s="9" t="s">
        <v>134</v>
      </c>
      <c r="R94" s="9" t="s">
        <v>1034</v>
      </c>
      <c r="S94" s="9" t="s">
        <v>1031</v>
      </c>
      <c r="T94" s="8"/>
      <c r="U94" s="8"/>
      <c r="V94" s="8"/>
      <c r="W94" s="9" t="s">
        <v>1035</v>
      </c>
      <c r="X94" s="8"/>
      <c r="Y94" s="9" t="s">
        <v>1036</v>
      </c>
      <c r="Z94" s="9" t="s">
        <v>1037</v>
      </c>
      <c r="AA94" s="9" t="s">
        <v>1038</v>
      </c>
      <c r="AB94" s="9" t="s">
        <v>1039</v>
      </c>
      <c r="AC94" s="8"/>
      <c r="AD94" s="8"/>
      <c r="AE94" s="8"/>
      <c r="AF94" s="8"/>
      <c r="AG94" s="8"/>
      <c r="AH94" s="8"/>
      <c r="AI94" s="8" t="n">
        <v>1</v>
      </c>
      <c r="AJ94" s="8" t="n">
        <v>1</v>
      </c>
      <c r="AK94" s="8" t="n">
        <v>1</v>
      </c>
      <c r="AL94" s="8" t="n">
        <v>1</v>
      </c>
      <c r="AM94" s="8" t="n">
        <v>1</v>
      </c>
      <c r="AN94" s="8" t="n">
        <v>1</v>
      </c>
      <c r="AO94" s="8" t="n">
        <v>1</v>
      </c>
      <c r="AP94" s="8" t="n">
        <v>0</v>
      </c>
      <c r="AQ94" s="8" t="n">
        <v>1</v>
      </c>
      <c r="AR94" s="8" t="n">
        <v>1</v>
      </c>
      <c r="AS94" s="8" t="n">
        <v>1</v>
      </c>
      <c r="AT94" s="8" t="n">
        <v>0</v>
      </c>
      <c r="AU94" s="8" t="n">
        <v>0</v>
      </c>
      <c r="AV94" s="8" t="n">
        <v>1</v>
      </c>
      <c r="AW94" s="8" t="n">
        <v>0</v>
      </c>
      <c r="AX94" s="8" t="n">
        <v>0</v>
      </c>
      <c r="AY94" s="8" t="n">
        <v>0</v>
      </c>
      <c r="AZ94" s="8" t="n">
        <v>0</v>
      </c>
      <c r="BA94" s="8" t="n">
        <v>0</v>
      </c>
      <c r="BB94" s="8" t="n">
        <v>0</v>
      </c>
      <c r="BC94" s="8" t="n">
        <v>345</v>
      </c>
      <c r="BD94" s="8" t="n">
        <v>0</v>
      </c>
      <c r="BE94" s="8" t="n">
        <v>0</v>
      </c>
      <c r="BF94" s="8" t="n">
        <v>0</v>
      </c>
      <c r="BG94" s="10" t="s">
        <v>1040</v>
      </c>
      <c r="BH94" s="9" t="s">
        <v>1041</v>
      </c>
    </row>
    <row r="95" customFormat="false" ht="15" hidden="false" customHeight="false" outlineLevel="0" collapsed="false">
      <c r="A95" s="8" t="s">
        <v>1042</v>
      </c>
      <c r="B95" s="8" t="s">
        <v>1043</v>
      </c>
      <c r="C95" s="8" t="n">
        <v>1</v>
      </c>
      <c r="D95" s="8" t="n">
        <v>1921</v>
      </c>
      <c r="E95" s="8" t="n">
        <v>1921</v>
      </c>
      <c r="F95" s="8" t="str">
        <f aca="false">IF(D95="","?",IF(D95&lt;1796,"pre-1796",IF(D95&lt;1912,"1796-1911",IF(D95&lt;1949,"1912-1948","1949+"))))</f>
        <v>1912-1948</v>
      </c>
      <c r="G95" s="8" t="str">
        <f aca="false">IF(D95="","?",IF(D95&lt;1912,"Qing",IF(D95&lt;1949,"Republic","PRC")))</f>
        <v>Republic</v>
      </c>
      <c r="H95" s="8" t="s">
        <v>1044</v>
      </c>
      <c r="I95" s="9" t="s">
        <v>110</v>
      </c>
      <c r="J95" s="9" t="s">
        <v>111</v>
      </c>
      <c r="K95" s="8" t="s">
        <v>84</v>
      </c>
      <c r="L95" s="9" t="s">
        <v>1045</v>
      </c>
      <c r="M95" s="8"/>
      <c r="N95" s="8"/>
      <c r="O95" s="8" t="s">
        <v>1046</v>
      </c>
      <c r="P95" s="8" t="s">
        <v>114</v>
      </c>
      <c r="Q95" s="8"/>
      <c r="R95" s="9" t="s">
        <v>1047</v>
      </c>
      <c r="S95" s="8"/>
      <c r="T95" s="8"/>
      <c r="U95" s="8"/>
      <c r="V95" s="8"/>
      <c r="W95" s="8"/>
      <c r="X95" s="8"/>
      <c r="Y95" s="8"/>
      <c r="Z95" s="8"/>
      <c r="AA95" s="8"/>
      <c r="AB95" s="8"/>
      <c r="AC95" s="8"/>
      <c r="AD95" s="8"/>
      <c r="AE95" s="9" t="s">
        <v>1048</v>
      </c>
      <c r="AF95" s="9" t="s">
        <v>1049</v>
      </c>
      <c r="AG95" s="8"/>
      <c r="AH95" s="8"/>
      <c r="AI95" s="8" t="n">
        <v>0</v>
      </c>
      <c r="AJ95" s="8" t="n">
        <v>0</v>
      </c>
      <c r="AK95" s="8" t="n">
        <v>0</v>
      </c>
      <c r="AL95" s="8" t="n">
        <v>0</v>
      </c>
      <c r="AM95" s="8" t="n">
        <v>0</v>
      </c>
      <c r="AN95" s="8" t="n">
        <v>0</v>
      </c>
      <c r="AO95" s="8" t="n">
        <v>0</v>
      </c>
      <c r="AP95" s="8" t="n">
        <v>0</v>
      </c>
      <c r="AQ95" s="8" t="n">
        <v>0</v>
      </c>
      <c r="AR95" s="8" t="n">
        <v>0</v>
      </c>
      <c r="AS95" s="8" t="n">
        <v>0</v>
      </c>
      <c r="AT95" s="8" t="n">
        <v>0</v>
      </c>
      <c r="AU95" s="8" t="n">
        <v>0</v>
      </c>
      <c r="AV95" s="8" t="n">
        <v>0</v>
      </c>
      <c r="AW95" s="8" t="n">
        <v>0</v>
      </c>
      <c r="AX95" s="8" t="n">
        <v>0</v>
      </c>
      <c r="AY95" s="8" t="n">
        <v>0</v>
      </c>
      <c r="AZ95" s="8" t="n">
        <v>0</v>
      </c>
      <c r="BA95" s="8" t="n">
        <v>0</v>
      </c>
      <c r="BB95" s="8" t="n">
        <v>0</v>
      </c>
      <c r="BC95" s="8" t="n">
        <v>197</v>
      </c>
      <c r="BD95" s="8" t="n">
        <v>1</v>
      </c>
      <c r="BE95" s="8" t="n">
        <v>0</v>
      </c>
      <c r="BF95" s="8" t="n">
        <v>0</v>
      </c>
      <c r="BG95" s="10" t="s">
        <v>1050</v>
      </c>
      <c r="BH95" s="9" t="s">
        <v>1051</v>
      </c>
    </row>
    <row r="96" customFormat="false" ht="15" hidden="false" customHeight="false" outlineLevel="0" collapsed="false">
      <c r="A96" s="8" t="s">
        <v>1052</v>
      </c>
      <c r="B96" s="8" t="s">
        <v>1053</v>
      </c>
      <c r="C96" s="8" t="n">
        <v>1</v>
      </c>
      <c r="D96" s="8" t="n">
        <v>1933</v>
      </c>
      <c r="E96" s="8" t="n">
        <v>1933</v>
      </c>
      <c r="F96" s="8" t="str">
        <f aca="false">IF(D96="","?",IF(D96&lt;1796,"pre-1796",IF(D96&lt;1912,"1796-1911",IF(D96&lt;1949,"1912-1948","1949+"))))</f>
        <v>1912-1948</v>
      </c>
      <c r="G96" s="8" t="str">
        <f aca="false">IF(D96="","?",IF(D96&lt;1912,"Qing",IF(D96&lt;1949,"Republic","PRC")))</f>
        <v>Republic</v>
      </c>
      <c r="H96" s="8" t="s">
        <v>1054</v>
      </c>
      <c r="I96" s="9" t="s">
        <v>110</v>
      </c>
      <c r="J96" s="9" t="s">
        <v>111</v>
      </c>
      <c r="K96" s="8" t="s">
        <v>84</v>
      </c>
      <c r="L96" s="9" t="s">
        <v>1055</v>
      </c>
      <c r="M96" s="8"/>
      <c r="N96" s="8"/>
      <c r="O96" s="8" t="s">
        <v>1056</v>
      </c>
      <c r="P96" s="8" t="s">
        <v>114</v>
      </c>
      <c r="Q96" s="8"/>
      <c r="R96" s="9" t="s">
        <v>1057</v>
      </c>
      <c r="S96" s="8"/>
      <c r="T96" s="8"/>
      <c r="U96" s="8"/>
      <c r="V96" s="8"/>
      <c r="W96" s="8"/>
      <c r="X96" s="8"/>
      <c r="Y96" s="9" t="s">
        <v>306</v>
      </c>
      <c r="Z96" s="8"/>
      <c r="AA96" s="8"/>
      <c r="AB96" s="8"/>
      <c r="AC96" s="8"/>
      <c r="AD96" s="8"/>
      <c r="AE96" s="9" t="s">
        <v>1058</v>
      </c>
      <c r="AF96" s="9" t="s">
        <v>1059</v>
      </c>
      <c r="AG96" s="8"/>
      <c r="AH96" s="8"/>
      <c r="AI96" s="8" t="n">
        <v>0</v>
      </c>
      <c r="AJ96" s="8" t="n">
        <v>0</v>
      </c>
      <c r="AK96" s="8" t="n">
        <v>0</v>
      </c>
      <c r="AL96" s="8" t="n">
        <v>0</v>
      </c>
      <c r="AM96" s="8" t="n">
        <v>0</v>
      </c>
      <c r="AN96" s="8" t="n">
        <v>0</v>
      </c>
      <c r="AO96" s="8" t="n">
        <v>0</v>
      </c>
      <c r="AP96" s="8" t="n">
        <v>0</v>
      </c>
      <c r="AQ96" s="8" t="n">
        <v>0</v>
      </c>
      <c r="AR96" s="8" t="n">
        <v>0</v>
      </c>
      <c r="AS96" s="8" t="n">
        <v>0</v>
      </c>
      <c r="AT96" s="8" t="n">
        <v>0</v>
      </c>
      <c r="AU96" s="8" t="n">
        <v>0</v>
      </c>
      <c r="AV96" s="8" t="n">
        <v>0</v>
      </c>
      <c r="AW96" s="8" t="n">
        <v>1</v>
      </c>
      <c r="AX96" s="8" t="n">
        <v>1</v>
      </c>
      <c r="AY96" s="8" t="n">
        <v>0</v>
      </c>
      <c r="AZ96" s="8" t="n">
        <v>0</v>
      </c>
      <c r="BA96" s="8" t="n">
        <v>0</v>
      </c>
      <c r="BB96" s="8" t="n">
        <v>0</v>
      </c>
      <c r="BC96" s="8" t="n">
        <v>250</v>
      </c>
      <c r="BD96" s="8" t="n">
        <v>0</v>
      </c>
      <c r="BE96" s="8" t="n">
        <v>0</v>
      </c>
      <c r="BF96" s="8" t="n">
        <v>0</v>
      </c>
      <c r="BG96" s="10" t="s">
        <v>1060</v>
      </c>
      <c r="BH96" s="9" t="s">
        <v>1061</v>
      </c>
    </row>
    <row r="97" customFormat="false" ht="15" hidden="false" customHeight="false" outlineLevel="0" collapsed="false">
      <c r="A97" s="8" t="s">
        <v>1062</v>
      </c>
      <c r="B97" s="8" t="s">
        <v>1063</v>
      </c>
      <c r="C97" s="8" t="n">
        <v>1</v>
      </c>
      <c r="D97" s="8" t="n">
        <v>1933</v>
      </c>
      <c r="E97" s="8" t="n">
        <v>1933</v>
      </c>
      <c r="F97" s="8" t="str">
        <f aca="false">IF(D97="","?",IF(D97&lt;1796,"pre-1796",IF(D97&lt;1912,"1796-1911",IF(D97&lt;1949,"1912-1948","1949+"))))</f>
        <v>1912-1948</v>
      </c>
      <c r="G97" s="8" t="str">
        <f aca="false">IF(D97="","?",IF(D97&lt;1912,"Qing",IF(D97&lt;1949,"Republic","PRC")))</f>
        <v>Republic</v>
      </c>
      <c r="H97" s="8" t="s">
        <v>1054</v>
      </c>
      <c r="I97" s="9" t="s">
        <v>110</v>
      </c>
      <c r="J97" s="9" t="s">
        <v>111</v>
      </c>
      <c r="K97" s="8" t="s">
        <v>84</v>
      </c>
      <c r="L97" s="9" t="s">
        <v>1064</v>
      </c>
      <c r="M97" s="8"/>
      <c r="N97" s="8"/>
      <c r="O97" s="8" t="s">
        <v>1065</v>
      </c>
      <c r="P97" s="8" t="s">
        <v>114</v>
      </c>
      <c r="Q97" s="8"/>
      <c r="R97" s="8"/>
      <c r="S97" s="8"/>
      <c r="T97" s="8"/>
      <c r="U97" s="8"/>
      <c r="V97" s="8"/>
      <c r="W97" s="8"/>
      <c r="X97" s="8"/>
      <c r="Y97" s="8"/>
      <c r="Z97" s="8"/>
      <c r="AA97" s="8"/>
      <c r="AB97" s="8"/>
      <c r="AC97" s="8"/>
      <c r="AD97" s="8"/>
      <c r="AE97" s="9" t="s">
        <v>1058</v>
      </c>
      <c r="AF97" s="9" t="s">
        <v>1059</v>
      </c>
      <c r="AG97" s="8"/>
      <c r="AH97" s="8"/>
      <c r="AI97" s="8" t="n">
        <v>0</v>
      </c>
      <c r="AJ97" s="8" t="n">
        <v>0</v>
      </c>
      <c r="AK97" s="8" t="n">
        <v>0</v>
      </c>
      <c r="AL97" s="8" t="n">
        <v>0</v>
      </c>
      <c r="AM97" s="8" t="n">
        <v>0</v>
      </c>
      <c r="AN97" s="8" t="n">
        <v>0</v>
      </c>
      <c r="AO97" s="8" t="n">
        <v>0</v>
      </c>
      <c r="AP97" s="8" t="n">
        <v>0</v>
      </c>
      <c r="AQ97" s="8" t="n">
        <v>0</v>
      </c>
      <c r="AR97" s="8" t="n">
        <v>0</v>
      </c>
      <c r="AS97" s="8" t="n">
        <v>0</v>
      </c>
      <c r="AT97" s="8" t="n">
        <v>0</v>
      </c>
      <c r="AU97" s="8" t="n">
        <v>0</v>
      </c>
      <c r="AV97" s="8" t="n">
        <v>0</v>
      </c>
      <c r="AW97" s="8" t="n">
        <v>1</v>
      </c>
      <c r="AX97" s="8" t="n">
        <v>1</v>
      </c>
      <c r="AY97" s="8" t="n">
        <v>0</v>
      </c>
      <c r="AZ97" s="8" t="n">
        <v>0</v>
      </c>
      <c r="BA97" s="8" t="n">
        <v>0</v>
      </c>
      <c r="BB97" s="8" t="n">
        <v>0</v>
      </c>
      <c r="BC97" s="8" t="n">
        <v>198</v>
      </c>
      <c r="BD97" s="8" t="n">
        <v>0</v>
      </c>
      <c r="BE97" s="8" t="n">
        <v>0</v>
      </c>
      <c r="BF97" s="8" t="n">
        <v>0</v>
      </c>
      <c r="BG97" s="10" t="s">
        <v>1066</v>
      </c>
      <c r="BH97" s="9" t="s">
        <v>1067</v>
      </c>
    </row>
    <row r="98" customFormat="false" ht="15" hidden="false" customHeight="false" outlineLevel="0" collapsed="false">
      <c r="A98" s="8" t="s">
        <v>1068</v>
      </c>
      <c r="B98" s="8" t="s">
        <v>1069</v>
      </c>
      <c r="C98" s="8" t="n">
        <v>1</v>
      </c>
      <c r="D98" s="8" t="n">
        <v>1904</v>
      </c>
      <c r="E98" s="8" t="n">
        <v>1943</v>
      </c>
      <c r="F98" s="8" t="str">
        <f aca="false">IF(D98="","?",IF(D98&lt;1796,"pre-1796",IF(D98&lt;1912,"1796-1911",IF(D98&lt;1949,"1912-1948","1949+"))))</f>
        <v>1796-1911</v>
      </c>
      <c r="G98" s="8" t="str">
        <f aca="false">IF(D98="","?",IF(D98&lt;1912,"Qing",IF(D98&lt;1949,"Republic","PRC")))</f>
        <v>Qing</v>
      </c>
      <c r="H98" s="8" t="s">
        <v>1070</v>
      </c>
      <c r="I98" s="9" t="s">
        <v>128</v>
      </c>
      <c r="J98" s="9" t="s">
        <v>175</v>
      </c>
      <c r="K98" s="8" t="s">
        <v>84</v>
      </c>
      <c r="L98" s="9" t="s">
        <v>1071</v>
      </c>
      <c r="M98" s="9" t="s">
        <v>1072</v>
      </c>
      <c r="N98" s="9" t="s">
        <v>1071</v>
      </c>
      <c r="O98" s="8" t="s">
        <v>1073</v>
      </c>
      <c r="P98" s="8" t="s">
        <v>133</v>
      </c>
      <c r="Q98" s="9" t="s">
        <v>134</v>
      </c>
      <c r="R98" s="9" t="s">
        <v>1074</v>
      </c>
      <c r="S98" s="9" t="s">
        <v>1072</v>
      </c>
      <c r="T98" s="8"/>
      <c r="U98" s="9" t="s">
        <v>1075</v>
      </c>
      <c r="V98" s="9" t="s">
        <v>229</v>
      </c>
      <c r="W98" s="9" t="s">
        <v>1076</v>
      </c>
      <c r="X98" s="9" t="s">
        <v>1077</v>
      </c>
      <c r="Y98" s="9" t="s">
        <v>306</v>
      </c>
      <c r="Z98" s="8"/>
      <c r="AA98" s="9" t="s">
        <v>1078</v>
      </c>
      <c r="AB98" s="8"/>
      <c r="AC98" s="8"/>
      <c r="AD98" s="8"/>
      <c r="AE98" s="8"/>
      <c r="AF98" s="8"/>
      <c r="AG98" s="8"/>
      <c r="AH98" s="8"/>
      <c r="AI98" s="8" t="n">
        <v>1</v>
      </c>
      <c r="AJ98" s="8" t="n">
        <v>1</v>
      </c>
      <c r="AK98" s="8" t="n">
        <v>0</v>
      </c>
      <c r="AL98" s="8" t="n">
        <v>1</v>
      </c>
      <c r="AM98" s="8" t="n">
        <v>1</v>
      </c>
      <c r="AN98" s="8" t="n">
        <v>1</v>
      </c>
      <c r="AO98" s="8" t="n">
        <v>1</v>
      </c>
      <c r="AP98" s="8" t="n">
        <v>0</v>
      </c>
      <c r="AQ98" s="8" t="n">
        <v>1</v>
      </c>
      <c r="AR98" s="8" t="n">
        <v>0</v>
      </c>
      <c r="AS98" s="8" t="n">
        <v>1</v>
      </c>
      <c r="AT98" s="8" t="n">
        <v>0</v>
      </c>
      <c r="AU98" s="8" t="n">
        <v>0</v>
      </c>
      <c r="AV98" s="8" t="n">
        <v>0</v>
      </c>
      <c r="AW98" s="8" t="n">
        <v>0</v>
      </c>
      <c r="AX98" s="8" t="n">
        <v>0</v>
      </c>
      <c r="AY98" s="8" t="n">
        <v>0</v>
      </c>
      <c r="AZ98" s="8" t="n">
        <v>0</v>
      </c>
      <c r="BA98" s="8" t="n">
        <v>0</v>
      </c>
      <c r="BB98" s="8" t="n">
        <v>0</v>
      </c>
      <c r="BC98" s="8" t="n">
        <v>249</v>
      </c>
      <c r="BD98" s="8" t="n">
        <v>1</v>
      </c>
      <c r="BE98" s="8" t="n">
        <v>0</v>
      </c>
      <c r="BF98" s="8" t="n">
        <v>0</v>
      </c>
      <c r="BG98" s="10" t="s">
        <v>1079</v>
      </c>
      <c r="BH98" s="9" t="s">
        <v>1080</v>
      </c>
    </row>
    <row r="99" customFormat="false" ht="15" hidden="false" customHeight="false" outlineLevel="0" collapsed="false">
      <c r="A99" s="8" t="s">
        <v>1081</v>
      </c>
      <c r="B99" s="8" t="s">
        <v>1069</v>
      </c>
      <c r="C99" s="8" t="n">
        <v>2</v>
      </c>
      <c r="D99" s="8" t="n">
        <v>1904</v>
      </c>
      <c r="E99" s="8" t="n">
        <v>1943</v>
      </c>
      <c r="F99" s="8" t="str">
        <f aca="false">IF(D99="","?",IF(D99&lt;1796,"pre-1796",IF(D99&lt;1912,"1796-1911",IF(D99&lt;1949,"1912-1948","1949+"))))</f>
        <v>1796-1911</v>
      </c>
      <c r="G99" s="8" t="str">
        <f aca="false">IF(D99="","?",IF(D99&lt;1912,"Qing",IF(D99&lt;1949,"Republic","PRC")))</f>
        <v>Qing</v>
      </c>
      <c r="H99" s="8" t="s">
        <v>1070</v>
      </c>
      <c r="I99" s="9" t="s">
        <v>128</v>
      </c>
      <c r="J99" s="9" t="s">
        <v>175</v>
      </c>
      <c r="K99" s="8" t="s">
        <v>84</v>
      </c>
      <c r="L99" s="9" t="s">
        <v>1071</v>
      </c>
      <c r="M99" s="9" t="s">
        <v>1072</v>
      </c>
      <c r="N99" s="9" t="s">
        <v>1071</v>
      </c>
      <c r="O99" s="8" t="s">
        <v>1073</v>
      </c>
      <c r="P99" s="8" t="s">
        <v>87</v>
      </c>
      <c r="Q99" s="8"/>
      <c r="R99" s="8"/>
      <c r="S99" s="8"/>
      <c r="T99" s="8"/>
      <c r="U99" s="8"/>
      <c r="V99" s="8"/>
      <c r="W99" s="8"/>
      <c r="X99" s="8"/>
      <c r="Y99" s="8"/>
      <c r="Z99" s="8"/>
      <c r="AA99" s="8"/>
      <c r="AB99" s="8"/>
      <c r="AC99" s="8"/>
      <c r="AD99" s="8"/>
      <c r="AE99" s="8"/>
      <c r="AF99" s="8"/>
      <c r="AG99" s="8"/>
      <c r="AH99" s="8"/>
      <c r="AI99" s="8" t="n">
        <v>0</v>
      </c>
      <c r="AJ99" s="8" t="n">
        <v>0</v>
      </c>
      <c r="AK99" s="8" t="n">
        <v>0</v>
      </c>
      <c r="AL99" s="8" t="n">
        <v>0</v>
      </c>
      <c r="AM99" s="8" t="n">
        <v>0</v>
      </c>
      <c r="AN99" s="8" t="n">
        <v>0</v>
      </c>
      <c r="AO99" s="8" t="n">
        <v>0</v>
      </c>
      <c r="AP99" s="8" t="n">
        <v>0</v>
      </c>
      <c r="AQ99" s="8" t="n">
        <v>0</v>
      </c>
      <c r="AR99" s="8" t="n">
        <v>0</v>
      </c>
      <c r="AS99" s="8" t="n">
        <v>0</v>
      </c>
      <c r="AT99" s="8" t="n">
        <v>0</v>
      </c>
      <c r="AU99" s="8" t="n">
        <v>0</v>
      </c>
      <c r="AV99" s="8" t="n">
        <v>0</v>
      </c>
      <c r="AW99" s="8" t="n">
        <v>0</v>
      </c>
      <c r="AX99" s="8" t="n">
        <v>0</v>
      </c>
      <c r="AY99" s="8" t="n">
        <v>0</v>
      </c>
      <c r="AZ99" s="8" t="n">
        <v>0</v>
      </c>
      <c r="BA99" s="8" t="n">
        <v>0</v>
      </c>
      <c r="BB99" s="8" t="n">
        <v>0</v>
      </c>
      <c r="BC99" s="8" t="n">
        <v>0</v>
      </c>
      <c r="BD99" s="8" t="n">
        <v>0</v>
      </c>
      <c r="BE99" s="8" t="n">
        <v>0</v>
      </c>
      <c r="BF99" s="8" t="n">
        <v>0</v>
      </c>
      <c r="BG99" s="10" t="s">
        <v>1079</v>
      </c>
      <c r="BH99" s="8"/>
    </row>
    <row r="100" customFormat="false" ht="15" hidden="false" customHeight="false" outlineLevel="0" collapsed="false">
      <c r="A100" s="8" t="s">
        <v>1082</v>
      </c>
      <c r="B100" s="8" t="s">
        <v>1083</v>
      </c>
      <c r="C100" s="8" t="n">
        <v>1</v>
      </c>
      <c r="D100" s="8" t="n">
        <v>1942</v>
      </c>
      <c r="E100" s="8" t="n">
        <v>1943</v>
      </c>
      <c r="F100" s="8" t="str">
        <f aca="false">IF(D100="","?",IF(D100&lt;1796,"pre-1796",IF(D100&lt;1912,"1796-1911",IF(D100&lt;1949,"1912-1948","1949+"))))</f>
        <v>1912-1948</v>
      </c>
      <c r="G100" s="8" t="str">
        <f aca="false">IF(D100="","?",IF(D100&lt;1912,"Qing",IF(D100&lt;1949,"Republic","PRC")))</f>
        <v>Republic</v>
      </c>
      <c r="H100" s="8" t="s">
        <v>1084</v>
      </c>
      <c r="I100" s="9" t="s">
        <v>296</v>
      </c>
      <c r="J100" s="9" t="s">
        <v>297</v>
      </c>
      <c r="K100" s="8" t="s">
        <v>84</v>
      </c>
      <c r="L100" s="9" t="s">
        <v>1085</v>
      </c>
      <c r="M100" s="9" t="s">
        <v>1086</v>
      </c>
      <c r="N100" s="9" t="s">
        <v>1085</v>
      </c>
      <c r="O100" s="8" t="s">
        <v>1087</v>
      </c>
      <c r="P100" s="8" t="s">
        <v>133</v>
      </c>
      <c r="Q100" s="9" t="s">
        <v>453</v>
      </c>
      <c r="R100" s="9" t="s">
        <v>1088</v>
      </c>
      <c r="S100" s="9" t="s">
        <v>1089</v>
      </c>
      <c r="T100" s="8"/>
      <c r="U100" s="9" t="s">
        <v>1090</v>
      </c>
      <c r="V100" s="9" t="s">
        <v>327</v>
      </c>
      <c r="W100" s="9" t="s">
        <v>1091</v>
      </c>
      <c r="X100" s="9" t="s">
        <v>1092</v>
      </c>
      <c r="Y100" s="9" t="s">
        <v>715</v>
      </c>
      <c r="Z100" s="8"/>
      <c r="AA100" s="8"/>
      <c r="AB100" s="8"/>
      <c r="AC100" s="8"/>
      <c r="AD100" s="8"/>
      <c r="AE100" s="8"/>
      <c r="AF100" s="8"/>
      <c r="AG100" s="8"/>
      <c r="AH100" s="8"/>
      <c r="AI100" s="8" t="n">
        <v>1</v>
      </c>
      <c r="AJ100" s="8" t="n">
        <v>1</v>
      </c>
      <c r="AK100" s="8" t="n">
        <v>1</v>
      </c>
      <c r="AL100" s="8" t="n">
        <v>1</v>
      </c>
      <c r="AM100" s="8" t="n">
        <v>1</v>
      </c>
      <c r="AN100" s="8" t="n">
        <v>0</v>
      </c>
      <c r="AO100" s="8" t="n">
        <v>1</v>
      </c>
      <c r="AP100" s="8" t="n">
        <v>0</v>
      </c>
      <c r="AQ100" s="8" t="n">
        <v>1</v>
      </c>
      <c r="AR100" s="8" t="n">
        <v>1</v>
      </c>
      <c r="AS100" s="8" t="n">
        <v>1</v>
      </c>
      <c r="AT100" s="8" t="n">
        <v>0</v>
      </c>
      <c r="AU100" s="8" t="n">
        <v>0</v>
      </c>
      <c r="AV100" s="8" t="n">
        <v>0</v>
      </c>
      <c r="AW100" s="8" t="n">
        <v>0</v>
      </c>
      <c r="AX100" s="8" t="n">
        <v>0</v>
      </c>
      <c r="AY100" s="8" t="n">
        <v>0</v>
      </c>
      <c r="AZ100" s="8" t="n">
        <v>0</v>
      </c>
      <c r="BA100" s="8" t="n">
        <v>0</v>
      </c>
      <c r="BB100" s="8" t="n">
        <v>0</v>
      </c>
      <c r="BC100" s="8" t="n">
        <v>305</v>
      </c>
      <c r="BD100" s="8" t="n">
        <v>1</v>
      </c>
      <c r="BE100" s="8" t="n">
        <v>0</v>
      </c>
      <c r="BF100" s="8" t="n">
        <v>0</v>
      </c>
      <c r="BG100" s="10" t="s">
        <v>1093</v>
      </c>
      <c r="BH100" s="9" t="s">
        <v>1094</v>
      </c>
    </row>
    <row r="101" customFormat="false" ht="15" hidden="false" customHeight="false" outlineLevel="0" collapsed="false">
      <c r="A101" s="8" t="s">
        <v>1095</v>
      </c>
      <c r="B101" s="8" t="s">
        <v>1083</v>
      </c>
      <c r="C101" s="8" t="n">
        <v>2</v>
      </c>
      <c r="D101" s="8" t="n">
        <v>1942</v>
      </c>
      <c r="E101" s="8" t="n">
        <v>1943</v>
      </c>
      <c r="F101" s="8" t="str">
        <f aca="false">IF(D101="","?",IF(D101&lt;1796,"pre-1796",IF(D101&lt;1912,"1796-1911",IF(D101&lt;1949,"1912-1948","1949+"))))</f>
        <v>1912-1948</v>
      </c>
      <c r="G101" s="8" t="str">
        <f aca="false">IF(D101="","?",IF(D101&lt;1912,"Qing",IF(D101&lt;1949,"Republic","PRC")))</f>
        <v>Republic</v>
      </c>
      <c r="H101" s="8" t="s">
        <v>1084</v>
      </c>
      <c r="I101" s="9" t="s">
        <v>296</v>
      </c>
      <c r="J101" s="9" t="s">
        <v>297</v>
      </c>
      <c r="K101" s="8" t="s">
        <v>84</v>
      </c>
      <c r="L101" s="9" t="s">
        <v>1085</v>
      </c>
      <c r="M101" s="9" t="s">
        <v>1086</v>
      </c>
      <c r="N101" s="9" t="s">
        <v>1085</v>
      </c>
      <c r="O101" s="8" t="s">
        <v>1087</v>
      </c>
      <c r="P101" s="8" t="s">
        <v>114</v>
      </c>
      <c r="Q101" s="9" t="s">
        <v>98</v>
      </c>
      <c r="R101" s="9" t="s">
        <v>1096</v>
      </c>
      <c r="S101" s="8"/>
      <c r="T101" s="8"/>
      <c r="U101" s="8"/>
      <c r="V101" s="9" t="s">
        <v>327</v>
      </c>
      <c r="W101" s="8"/>
      <c r="X101" s="8"/>
      <c r="Y101" s="8"/>
      <c r="Z101" s="8"/>
      <c r="AA101" s="8"/>
      <c r="AB101" s="8"/>
      <c r="AC101" s="8"/>
      <c r="AD101" s="8"/>
      <c r="AE101" s="9" t="s">
        <v>1097</v>
      </c>
      <c r="AF101" s="8"/>
      <c r="AG101" s="9" t="s">
        <v>1098</v>
      </c>
      <c r="AH101" s="8"/>
      <c r="AI101" s="8" t="n">
        <v>0</v>
      </c>
      <c r="AJ101" s="8" t="n">
        <v>0</v>
      </c>
      <c r="AK101" s="8" t="n">
        <v>0</v>
      </c>
      <c r="AL101" s="8" t="n">
        <v>0</v>
      </c>
      <c r="AM101" s="8" t="n">
        <v>0</v>
      </c>
      <c r="AN101" s="8" t="n">
        <v>0</v>
      </c>
      <c r="AO101" s="8" t="n">
        <v>0</v>
      </c>
      <c r="AP101" s="8" t="n">
        <v>0</v>
      </c>
      <c r="AQ101" s="8" t="n">
        <v>0</v>
      </c>
      <c r="AR101" s="8" t="n">
        <v>0</v>
      </c>
      <c r="AS101" s="8" t="n">
        <v>0</v>
      </c>
      <c r="AT101" s="8" t="n">
        <v>1</v>
      </c>
      <c r="AU101" s="8" t="n">
        <v>0</v>
      </c>
      <c r="AV101" s="8" t="n">
        <v>0</v>
      </c>
      <c r="AW101" s="8" t="n">
        <v>0</v>
      </c>
      <c r="AX101" s="8" t="n">
        <v>0</v>
      </c>
      <c r="AY101" s="8" t="n">
        <v>0</v>
      </c>
      <c r="AZ101" s="8" t="n">
        <v>0</v>
      </c>
      <c r="BA101" s="8" t="n">
        <v>1</v>
      </c>
      <c r="BB101" s="8" t="n">
        <v>0</v>
      </c>
      <c r="BC101" s="8" t="n">
        <v>474</v>
      </c>
      <c r="BD101" s="8" t="n">
        <v>0</v>
      </c>
      <c r="BE101" s="8" t="n">
        <v>0</v>
      </c>
      <c r="BF101" s="8" t="n">
        <v>0</v>
      </c>
      <c r="BG101" s="10" t="s">
        <v>1093</v>
      </c>
      <c r="BH101" s="9" t="s">
        <v>1099</v>
      </c>
    </row>
    <row r="102" customFormat="false" ht="15" hidden="false" customHeight="false" outlineLevel="0" collapsed="false">
      <c r="A102" s="8" t="s">
        <v>1100</v>
      </c>
      <c r="B102" s="8" t="s">
        <v>1101</v>
      </c>
      <c r="C102" s="8" t="n">
        <v>1</v>
      </c>
      <c r="D102" s="8" t="n">
        <v>1903</v>
      </c>
      <c r="E102" s="8" t="n">
        <v>1943</v>
      </c>
      <c r="F102" s="8" t="str">
        <f aca="false">IF(D102="","?",IF(D102&lt;1796,"pre-1796",IF(D102&lt;1912,"1796-1911",IF(D102&lt;1949,"1912-1948","1949+"))))</f>
        <v>1796-1911</v>
      </c>
      <c r="G102" s="8" t="str">
        <f aca="false">IF(D102="","?",IF(D102&lt;1912,"Qing",IF(D102&lt;1949,"Republic","PRC")))</f>
        <v>Qing</v>
      </c>
      <c r="H102" s="8" t="s">
        <v>1102</v>
      </c>
      <c r="I102" s="9" t="s">
        <v>466</v>
      </c>
      <c r="J102" s="9" t="s">
        <v>467</v>
      </c>
      <c r="K102" s="8" t="s">
        <v>84</v>
      </c>
      <c r="L102" s="9" t="s">
        <v>1103</v>
      </c>
      <c r="M102" s="9" t="s">
        <v>1104</v>
      </c>
      <c r="N102" s="9" t="s">
        <v>1103</v>
      </c>
      <c r="O102" s="8" t="s">
        <v>1105</v>
      </c>
      <c r="P102" s="8" t="s">
        <v>133</v>
      </c>
      <c r="Q102" s="9" t="s">
        <v>453</v>
      </c>
      <c r="R102" s="9" t="s">
        <v>1106</v>
      </c>
      <c r="S102" s="9" t="s">
        <v>1104</v>
      </c>
      <c r="T102" s="8"/>
      <c r="U102" s="9" t="s">
        <v>1107</v>
      </c>
      <c r="V102" s="9" t="s">
        <v>534</v>
      </c>
      <c r="W102" s="9" t="s">
        <v>1108</v>
      </c>
      <c r="X102" s="8"/>
      <c r="Y102" s="8"/>
      <c r="Z102" s="8"/>
      <c r="AA102" s="8"/>
      <c r="AB102" s="8"/>
      <c r="AC102" s="8"/>
      <c r="AD102" s="8"/>
      <c r="AE102" s="8"/>
      <c r="AF102" s="8"/>
      <c r="AG102" s="8"/>
      <c r="AH102" s="8"/>
      <c r="AI102" s="8" t="n">
        <v>1</v>
      </c>
      <c r="AJ102" s="8" t="n">
        <v>1</v>
      </c>
      <c r="AK102" s="8" t="n">
        <v>1</v>
      </c>
      <c r="AL102" s="8" t="n">
        <v>1</v>
      </c>
      <c r="AM102" s="8" t="n">
        <v>1</v>
      </c>
      <c r="AN102" s="8" t="n">
        <v>1</v>
      </c>
      <c r="AO102" s="8" t="n">
        <v>1</v>
      </c>
      <c r="AP102" s="8" t="n">
        <v>1</v>
      </c>
      <c r="AQ102" s="8" t="n">
        <v>0</v>
      </c>
      <c r="AR102" s="8" t="n">
        <v>0</v>
      </c>
      <c r="AS102" s="8" t="n">
        <v>1</v>
      </c>
      <c r="AT102" s="8" t="n">
        <v>1</v>
      </c>
      <c r="AU102" s="8" t="n">
        <v>0</v>
      </c>
      <c r="AV102" s="8" t="n">
        <v>0</v>
      </c>
      <c r="AW102" s="8" t="n">
        <v>0</v>
      </c>
      <c r="AX102" s="8" t="n">
        <v>0</v>
      </c>
      <c r="AY102" s="8" t="n">
        <v>0</v>
      </c>
      <c r="AZ102" s="8" t="n">
        <v>0</v>
      </c>
      <c r="BA102" s="8" t="n">
        <v>0</v>
      </c>
      <c r="BB102" s="8" t="n">
        <v>0</v>
      </c>
      <c r="BC102" s="8" t="n">
        <v>293</v>
      </c>
      <c r="BD102" s="8" t="n">
        <v>0</v>
      </c>
      <c r="BE102" s="8" t="n">
        <v>0</v>
      </c>
      <c r="BF102" s="8" t="n">
        <v>0</v>
      </c>
      <c r="BG102" s="10" t="s">
        <v>1109</v>
      </c>
      <c r="BH102" s="9" t="s">
        <v>1110</v>
      </c>
    </row>
    <row r="103" customFormat="false" ht="15" hidden="false" customHeight="false" outlineLevel="0" collapsed="false">
      <c r="A103" s="8" t="s">
        <v>1111</v>
      </c>
      <c r="B103" s="8" t="s">
        <v>1101</v>
      </c>
      <c r="C103" s="8" t="n">
        <v>2</v>
      </c>
      <c r="D103" s="8" t="n">
        <v>1903</v>
      </c>
      <c r="E103" s="8" t="n">
        <v>1943</v>
      </c>
      <c r="F103" s="8" t="str">
        <f aca="false">IF(D103="","?",IF(D103&lt;1796,"pre-1796",IF(D103&lt;1912,"1796-1911",IF(D103&lt;1949,"1912-1948","1949+"))))</f>
        <v>1796-1911</v>
      </c>
      <c r="G103" s="8" t="str">
        <f aca="false">IF(D103="","?",IF(D103&lt;1912,"Qing",IF(D103&lt;1949,"Republic","PRC")))</f>
        <v>Qing</v>
      </c>
      <c r="H103" s="8" t="s">
        <v>1102</v>
      </c>
      <c r="I103" s="9" t="s">
        <v>466</v>
      </c>
      <c r="J103" s="9" t="s">
        <v>467</v>
      </c>
      <c r="K103" s="8" t="s">
        <v>84</v>
      </c>
      <c r="L103" s="9" t="s">
        <v>1103</v>
      </c>
      <c r="M103" s="9" t="s">
        <v>1104</v>
      </c>
      <c r="N103" s="9" t="s">
        <v>1103</v>
      </c>
      <c r="O103" s="8" t="s">
        <v>1105</v>
      </c>
      <c r="P103" s="8" t="s">
        <v>114</v>
      </c>
      <c r="Q103" s="9" t="s">
        <v>98</v>
      </c>
      <c r="R103" s="8"/>
      <c r="S103" s="8"/>
      <c r="T103" s="8"/>
      <c r="U103" s="8"/>
      <c r="V103" s="9" t="s">
        <v>327</v>
      </c>
      <c r="W103" s="9" t="s">
        <v>1112</v>
      </c>
      <c r="X103" s="8"/>
      <c r="Y103" s="8"/>
      <c r="Z103" s="8"/>
      <c r="AA103" s="8"/>
      <c r="AB103" s="8"/>
      <c r="AC103" s="8"/>
      <c r="AD103" s="8"/>
      <c r="AE103" s="9" t="s">
        <v>1113</v>
      </c>
      <c r="AF103" s="9" t="s">
        <v>1114</v>
      </c>
      <c r="AG103" s="8"/>
      <c r="AH103" s="8"/>
      <c r="AI103" s="8" t="n">
        <v>0</v>
      </c>
      <c r="AJ103" s="8" t="n">
        <v>0</v>
      </c>
      <c r="AK103" s="8" t="n">
        <v>0</v>
      </c>
      <c r="AL103" s="8" t="n">
        <v>0</v>
      </c>
      <c r="AM103" s="8" t="n">
        <v>0</v>
      </c>
      <c r="AN103" s="8" t="n">
        <v>0</v>
      </c>
      <c r="AO103" s="8" t="n">
        <v>0</v>
      </c>
      <c r="AP103" s="8" t="n">
        <v>0</v>
      </c>
      <c r="AQ103" s="8" t="n">
        <v>0</v>
      </c>
      <c r="AR103" s="8" t="n">
        <v>0</v>
      </c>
      <c r="AS103" s="8" t="n">
        <v>0</v>
      </c>
      <c r="AT103" s="8" t="n">
        <v>0</v>
      </c>
      <c r="AU103" s="8" t="n">
        <v>0</v>
      </c>
      <c r="AV103" s="8" t="n">
        <v>0</v>
      </c>
      <c r="AW103" s="8" t="n">
        <v>0</v>
      </c>
      <c r="AX103" s="8" t="n">
        <v>0</v>
      </c>
      <c r="AY103" s="8" t="n">
        <v>0</v>
      </c>
      <c r="AZ103" s="8" t="n">
        <v>0</v>
      </c>
      <c r="BA103" s="8" t="n">
        <v>1</v>
      </c>
      <c r="BB103" s="8" t="n">
        <v>0</v>
      </c>
      <c r="BC103" s="8" t="n">
        <v>426</v>
      </c>
      <c r="BD103" s="8" t="n">
        <v>2</v>
      </c>
      <c r="BE103" s="8" t="n">
        <v>0</v>
      </c>
      <c r="BF103" s="8" t="n">
        <v>0</v>
      </c>
      <c r="BG103" s="10" t="s">
        <v>1109</v>
      </c>
      <c r="BH103" s="9" t="s">
        <v>1115</v>
      </c>
    </row>
    <row r="104" customFormat="false" ht="15" hidden="false" customHeight="false" outlineLevel="0" collapsed="false">
      <c r="A104" s="8" t="s">
        <v>1116</v>
      </c>
      <c r="B104" s="8" t="s">
        <v>1117</v>
      </c>
      <c r="C104" s="8" t="n">
        <v>1</v>
      </c>
      <c r="D104" s="8" t="n">
        <v>1867</v>
      </c>
      <c r="E104" s="8" t="n">
        <v>1867</v>
      </c>
      <c r="F104" s="8" t="str">
        <f aca="false">IF(D104="","?",IF(D104&lt;1796,"pre-1796",IF(D104&lt;1912,"1796-1911",IF(D104&lt;1949,"1912-1948","1949+"))))</f>
        <v>1796-1911</v>
      </c>
      <c r="G104" s="8" t="str">
        <f aca="false">IF(D104="","?",IF(D104&lt;1912,"Qing",IF(D104&lt;1949,"Republic","PRC")))</f>
        <v>Qing</v>
      </c>
      <c r="H104" s="8" t="s">
        <v>1118</v>
      </c>
      <c r="I104" s="9" t="s">
        <v>527</v>
      </c>
      <c r="J104" s="9" t="s">
        <v>528</v>
      </c>
      <c r="K104" s="8" t="s">
        <v>84</v>
      </c>
      <c r="L104" s="9" t="s">
        <v>1119</v>
      </c>
      <c r="M104" s="8"/>
      <c r="N104" s="8"/>
      <c r="O104" s="8" t="s">
        <v>1120</v>
      </c>
      <c r="P104" s="8" t="s">
        <v>87</v>
      </c>
      <c r="Q104" s="8"/>
      <c r="R104" s="8"/>
      <c r="S104" s="8"/>
      <c r="T104" s="8"/>
      <c r="U104" s="8"/>
      <c r="V104" s="8"/>
      <c r="W104" s="8"/>
      <c r="X104" s="8"/>
      <c r="Y104" s="8"/>
      <c r="Z104" s="8"/>
      <c r="AA104" s="8"/>
      <c r="AB104" s="8"/>
      <c r="AC104" s="8"/>
      <c r="AD104" s="8"/>
      <c r="AE104" s="8"/>
      <c r="AF104" s="9" t="s">
        <v>1121</v>
      </c>
      <c r="AG104" s="8"/>
      <c r="AH104" s="8"/>
      <c r="AI104" s="8" t="n">
        <v>0</v>
      </c>
      <c r="AJ104" s="8" t="n">
        <v>0</v>
      </c>
      <c r="AK104" s="8" t="n">
        <v>0</v>
      </c>
      <c r="AL104" s="8" t="n">
        <v>0</v>
      </c>
      <c r="AM104" s="8" t="n">
        <v>0</v>
      </c>
      <c r="AN104" s="8" t="n">
        <v>0</v>
      </c>
      <c r="AO104" s="8" t="n">
        <v>0</v>
      </c>
      <c r="AP104" s="8" t="n">
        <v>0</v>
      </c>
      <c r="AQ104" s="8" t="n">
        <v>0</v>
      </c>
      <c r="AR104" s="8" t="n">
        <v>0</v>
      </c>
      <c r="AS104" s="8" t="n">
        <v>0</v>
      </c>
      <c r="AT104" s="8" t="n">
        <v>0</v>
      </c>
      <c r="AU104" s="8" t="n">
        <v>0</v>
      </c>
      <c r="AV104" s="8" t="n">
        <v>0</v>
      </c>
      <c r="AW104" s="8" t="n">
        <v>0</v>
      </c>
      <c r="AX104" s="8" t="n">
        <v>0</v>
      </c>
      <c r="AY104" s="8" t="n">
        <v>0</v>
      </c>
      <c r="AZ104" s="8" t="n">
        <v>0</v>
      </c>
      <c r="BA104" s="8" t="n">
        <v>0</v>
      </c>
      <c r="BB104" s="8" t="n">
        <v>0</v>
      </c>
      <c r="BC104" s="8" t="n">
        <v>902</v>
      </c>
      <c r="BD104" s="8" t="n">
        <v>10</v>
      </c>
      <c r="BE104" s="8" t="n">
        <v>0</v>
      </c>
      <c r="BF104" s="8" t="n">
        <v>0</v>
      </c>
      <c r="BG104" s="10" t="s">
        <v>1122</v>
      </c>
      <c r="BH104" s="9" t="s">
        <v>1123</v>
      </c>
    </row>
    <row r="105" customFormat="false" ht="15" hidden="false" customHeight="false" outlineLevel="0" collapsed="false">
      <c r="A105" s="8" t="s">
        <v>1124</v>
      </c>
      <c r="B105" s="8" t="s">
        <v>1125</v>
      </c>
      <c r="C105" s="8" t="n">
        <v>1</v>
      </c>
      <c r="D105" s="8" t="n">
        <v>1869</v>
      </c>
      <c r="E105" s="8" t="n">
        <v>1928</v>
      </c>
      <c r="F105" s="8" t="str">
        <f aca="false">IF(D105="","?",IF(D105&lt;1796,"pre-1796",IF(D105&lt;1912,"1796-1911",IF(D105&lt;1949,"1912-1948","1949+"))))</f>
        <v>1796-1911</v>
      </c>
      <c r="G105" s="8" t="str">
        <f aca="false">IF(D105="","?",IF(D105&lt;1912,"Qing",IF(D105&lt;1949,"Republic","PRC")))</f>
        <v>Qing</v>
      </c>
      <c r="H105" s="8" t="s">
        <v>1126</v>
      </c>
      <c r="I105" s="9" t="s">
        <v>128</v>
      </c>
      <c r="J105" s="9" t="s">
        <v>223</v>
      </c>
      <c r="K105" s="8" t="s">
        <v>84</v>
      </c>
      <c r="L105" s="9" t="s">
        <v>1127</v>
      </c>
      <c r="M105" s="9" t="s">
        <v>131</v>
      </c>
      <c r="N105" s="9" t="s">
        <v>1127</v>
      </c>
      <c r="O105" s="8" t="s">
        <v>1128</v>
      </c>
      <c r="P105" s="8" t="s">
        <v>133</v>
      </c>
      <c r="Q105" s="9" t="s">
        <v>134</v>
      </c>
      <c r="R105" s="9" t="s">
        <v>1129</v>
      </c>
      <c r="S105" s="9" t="s">
        <v>131</v>
      </c>
      <c r="T105" s="8"/>
      <c r="U105" s="8"/>
      <c r="V105" s="8"/>
      <c r="W105" s="9" t="s">
        <v>1130</v>
      </c>
      <c r="X105" s="8"/>
      <c r="Y105" s="9" t="s">
        <v>214</v>
      </c>
      <c r="Z105" s="9" t="s">
        <v>1131</v>
      </c>
      <c r="AA105" s="9" t="s">
        <v>1132</v>
      </c>
      <c r="AB105" s="8"/>
      <c r="AC105" s="8"/>
      <c r="AD105" s="8"/>
      <c r="AE105" s="8"/>
      <c r="AF105" s="8"/>
      <c r="AG105" s="8"/>
      <c r="AH105" s="8"/>
      <c r="AI105" s="8" t="n">
        <v>1</v>
      </c>
      <c r="AJ105" s="8" t="n">
        <v>0</v>
      </c>
      <c r="AK105" s="8" t="n">
        <v>1</v>
      </c>
      <c r="AL105" s="8" t="n">
        <v>0</v>
      </c>
      <c r="AM105" s="8" t="n">
        <v>1</v>
      </c>
      <c r="AN105" s="8" t="n">
        <v>1</v>
      </c>
      <c r="AO105" s="8" t="n">
        <v>1</v>
      </c>
      <c r="AP105" s="8" t="n">
        <v>0</v>
      </c>
      <c r="AQ105" s="8" t="n">
        <v>0</v>
      </c>
      <c r="AR105" s="8" t="n">
        <v>0</v>
      </c>
      <c r="AS105" s="8" t="n">
        <v>1</v>
      </c>
      <c r="AT105" s="8" t="n">
        <v>0</v>
      </c>
      <c r="AU105" s="8" t="n">
        <v>0</v>
      </c>
      <c r="AV105" s="8" t="n">
        <v>1</v>
      </c>
      <c r="AW105" s="8" t="n">
        <v>0</v>
      </c>
      <c r="AX105" s="8" t="n">
        <v>0</v>
      </c>
      <c r="AY105" s="8" t="n">
        <v>0</v>
      </c>
      <c r="AZ105" s="8" t="n">
        <v>0</v>
      </c>
      <c r="BA105" s="8" t="n">
        <v>0</v>
      </c>
      <c r="BB105" s="8" t="n">
        <v>0</v>
      </c>
      <c r="BC105" s="8" t="n">
        <v>362</v>
      </c>
      <c r="BD105" s="8" t="n">
        <v>3</v>
      </c>
      <c r="BE105" s="8" t="n">
        <v>0</v>
      </c>
      <c r="BF105" s="8" t="n">
        <v>1</v>
      </c>
      <c r="BG105" s="10" t="s">
        <v>1133</v>
      </c>
      <c r="BH105" s="9" t="s">
        <v>1134</v>
      </c>
    </row>
    <row r="106" customFormat="false" ht="15" hidden="false" customHeight="false" outlineLevel="0" collapsed="false">
      <c r="A106" s="8" t="s">
        <v>1135</v>
      </c>
      <c r="B106" s="8" t="s">
        <v>1125</v>
      </c>
      <c r="C106" s="8" t="n">
        <v>2</v>
      </c>
      <c r="D106" s="8" t="n">
        <v>1869</v>
      </c>
      <c r="E106" s="8" t="n">
        <v>1928</v>
      </c>
      <c r="F106" s="8" t="str">
        <f aca="false">IF(D106="","?",IF(D106&lt;1796,"pre-1796",IF(D106&lt;1912,"1796-1911",IF(D106&lt;1949,"1912-1948","1949+"))))</f>
        <v>1796-1911</v>
      </c>
      <c r="G106" s="8" t="str">
        <f aca="false">IF(D106="","?",IF(D106&lt;1912,"Qing",IF(D106&lt;1949,"Republic","PRC")))</f>
        <v>Qing</v>
      </c>
      <c r="H106" s="8" t="s">
        <v>1126</v>
      </c>
      <c r="I106" s="9" t="s">
        <v>128</v>
      </c>
      <c r="J106" s="9" t="s">
        <v>223</v>
      </c>
      <c r="K106" s="8" t="s">
        <v>84</v>
      </c>
      <c r="L106" s="9" t="s">
        <v>1127</v>
      </c>
      <c r="M106" s="9" t="s">
        <v>131</v>
      </c>
      <c r="N106" s="9" t="s">
        <v>1127</v>
      </c>
      <c r="O106" s="8" t="s">
        <v>1128</v>
      </c>
      <c r="P106" s="8" t="s">
        <v>114</v>
      </c>
      <c r="Q106" s="9" t="s">
        <v>115</v>
      </c>
      <c r="R106" s="9" t="s">
        <v>1136</v>
      </c>
      <c r="S106" s="8"/>
      <c r="T106" s="8"/>
      <c r="U106" s="9" t="s">
        <v>1137</v>
      </c>
      <c r="V106" s="8"/>
      <c r="W106" s="9" t="s">
        <v>1138</v>
      </c>
      <c r="X106" s="8"/>
      <c r="Y106" s="9" t="s">
        <v>198</v>
      </c>
      <c r="Z106" s="8"/>
      <c r="AA106" s="8"/>
      <c r="AB106" s="8"/>
      <c r="AC106" s="8"/>
      <c r="AD106" s="8"/>
      <c r="AE106" s="9" t="s">
        <v>399</v>
      </c>
      <c r="AF106" s="9" t="s">
        <v>1139</v>
      </c>
      <c r="AG106" s="9" t="s">
        <v>1140</v>
      </c>
      <c r="AH106" s="8"/>
      <c r="AI106" s="8" t="n">
        <v>0</v>
      </c>
      <c r="AJ106" s="8" t="n">
        <v>0</v>
      </c>
      <c r="AK106" s="8" t="n">
        <v>0</v>
      </c>
      <c r="AL106" s="8" t="n">
        <v>0</v>
      </c>
      <c r="AM106" s="8" t="n">
        <v>0</v>
      </c>
      <c r="AN106" s="8" t="n">
        <v>0</v>
      </c>
      <c r="AO106" s="8" t="n">
        <v>0</v>
      </c>
      <c r="AP106" s="8" t="n">
        <v>0</v>
      </c>
      <c r="AQ106" s="8" t="n">
        <v>0</v>
      </c>
      <c r="AR106" s="8" t="n">
        <v>0</v>
      </c>
      <c r="AS106" s="8" t="n">
        <v>1</v>
      </c>
      <c r="AT106" s="8" t="n">
        <v>0</v>
      </c>
      <c r="AU106" s="8" t="n">
        <v>0</v>
      </c>
      <c r="AV106" s="8" t="n">
        <v>0</v>
      </c>
      <c r="AW106" s="8" t="n">
        <v>0</v>
      </c>
      <c r="AX106" s="8" t="n">
        <v>1</v>
      </c>
      <c r="AY106" s="8" t="n">
        <v>1</v>
      </c>
      <c r="AZ106" s="8" t="n">
        <v>1</v>
      </c>
      <c r="BA106" s="8" t="n">
        <v>1</v>
      </c>
      <c r="BB106" s="8" t="n">
        <v>0</v>
      </c>
      <c r="BC106" s="8" t="n">
        <v>336</v>
      </c>
      <c r="BD106" s="8" t="n">
        <v>0</v>
      </c>
      <c r="BE106" s="8" t="n">
        <v>0</v>
      </c>
      <c r="BF106" s="8" t="n">
        <v>0</v>
      </c>
      <c r="BG106" s="10" t="s">
        <v>1133</v>
      </c>
      <c r="BH106" s="9" t="s">
        <v>1141</v>
      </c>
    </row>
    <row r="107" customFormat="false" ht="15" hidden="false" customHeight="false" outlineLevel="0" collapsed="false">
      <c r="A107" s="8" t="s">
        <v>1142</v>
      </c>
      <c r="B107" s="8" t="s">
        <v>1125</v>
      </c>
      <c r="C107" s="8" t="n">
        <v>3</v>
      </c>
      <c r="D107" s="8" t="n">
        <v>1869</v>
      </c>
      <c r="E107" s="8" t="n">
        <v>1928</v>
      </c>
      <c r="F107" s="8" t="str">
        <f aca="false">IF(D107="","?",IF(D107&lt;1796,"pre-1796",IF(D107&lt;1912,"1796-1911",IF(D107&lt;1949,"1912-1948","1949+"))))</f>
        <v>1796-1911</v>
      </c>
      <c r="G107" s="8" t="str">
        <f aca="false">IF(D107="","?",IF(D107&lt;1912,"Qing",IF(D107&lt;1949,"Republic","PRC")))</f>
        <v>Qing</v>
      </c>
      <c r="H107" s="8" t="s">
        <v>1126</v>
      </c>
      <c r="I107" s="9" t="s">
        <v>128</v>
      </c>
      <c r="J107" s="9" t="s">
        <v>223</v>
      </c>
      <c r="K107" s="8" t="s">
        <v>84</v>
      </c>
      <c r="L107" s="9" t="s">
        <v>1127</v>
      </c>
      <c r="M107" s="9" t="s">
        <v>131</v>
      </c>
      <c r="N107" s="9" t="s">
        <v>1127</v>
      </c>
      <c r="O107" s="8" t="s">
        <v>1128</v>
      </c>
      <c r="P107" s="8" t="s">
        <v>114</v>
      </c>
      <c r="Q107" s="9" t="s">
        <v>115</v>
      </c>
      <c r="R107" s="8"/>
      <c r="S107" s="8"/>
      <c r="T107" s="8"/>
      <c r="U107" s="8"/>
      <c r="V107" s="8"/>
      <c r="W107" s="8"/>
      <c r="X107" s="8"/>
      <c r="Y107" s="8"/>
      <c r="Z107" s="8"/>
      <c r="AA107" s="8"/>
      <c r="AB107" s="8"/>
      <c r="AC107" s="8"/>
      <c r="AD107" s="8"/>
      <c r="AE107" s="9" t="s">
        <v>119</v>
      </c>
      <c r="AF107" s="9" t="s">
        <v>120</v>
      </c>
      <c r="AG107" s="8"/>
      <c r="AH107" s="8"/>
      <c r="AI107" s="8" t="n">
        <v>0</v>
      </c>
      <c r="AJ107" s="8" t="n">
        <v>0</v>
      </c>
      <c r="AK107" s="8" t="n">
        <v>0</v>
      </c>
      <c r="AL107" s="8" t="n">
        <v>0</v>
      </c>
      <c r="AM107" s="8" t="n">
        <v>0</v>
      </c>
      <c r="AN107" s="8" t="n">
        <v>0</v>
      </c>
      <c r="AO107" s="8" t="n">
        <v>0</v>
      </c>
      <c r="AP107" s="8" t="n">
        <v>0</v>
      </c>
      <c r="AQ107" s="8" t="n">
        <v>0</v>
      </c>
      <c r="AR107" s="8" t="n">
        <v>0</v>
      </c>
      <c r="AS107" s="8" t="n">
        <v>1</v>
      </c>
      <c r="AT107" s="8" t="n">
        <v>0</v>
      </c>
      <c r="AU107" s="8" t="n">
        <v>0</v>
      </c>
      <c r="AV107" s="8" t="n">
        <v>0</v>
      </c>
      <c r="AW107" s="8" t="n">
        <v>1</v>
      </c>
      <c r="AX107" s="8" t="n">
        <v>1</v>
      </c>
      <c r="AY107" s="8" t="n">
        <v>0</v>
      </c>
      <c r="AZ107" s="8" t="n">
        <v>0</v>
      </c>
      <c r="BA107" s="8" t="n">
        <v>1</v>
      </c>
      <c r="BB107" s="8" t="n">
        <v>1</v>
      </c>
      <c r="BC107" s="8" t="n">
        <v>119</v>
      </c>
      <c r="BD107" s="8" t="n">
        <v>0</v>
      </c>
      <c r="BE107" s="8" t="n">
        <v>0</v>
      </c>
      <c r="BF107" s="8" t="n">
        <v>0</v>
      </c>
      <c r="BG107" s="10" t="s">
        <v>1133</v>
      </c>
      <c r="BH107" s="9" t="s">
        <v>1143</v>
      </c>
    </row>
    <row r="108" customFormat="false" ht="15" hidden="false" customHeight="false" outlineLevel="0" collapsed="false">
      <c r="A108" s="8" t="s">
        <v>1144</v>
      </c>
      <c r="B108" s="8" t="s">
        <v>1145</v>
      </c>
      <c r="C108" s="8" t="n">
        <v>1</v>
      </c>
      <c r="D108" s="8" t="n">
        <v>1917</v>
      </c>
      <c r="E108" s="8" t="n">
        <v>1926</v>
      </c>
      <c r="F108" s="8" t="str">
        <f aca="false">IF(D108="","?",IF(D108&lt;1796,"pre-1796",IF(D108&lt;1912,"1796-1911",IF(D108&lt;1949,"1912-1948","1949+"))))</f>
        <v>1912-1948</v>
      </c>
      <c r="G108" s="8" t="str">
        <f aca="false">IF(D108="","?",IF(D108&lt;1912,"Qing",IF(D108&lt;1949,"Republic","PRC")))</f>
        <v>Republic</v>
      </c>
      <c r="H108" s="8" t="s">
        <v>1146</v>
      </c>
      <c r="I108" s="9" t="s">
        <v>466</v>
      </c>
      <c r="J108" s="9" t="s">
        <v>467</v>
      </c>
      <c r="K108" s="8" t="s">
        <v>84</v>
      </c>
      <c r="L108" s="9" t="s">
        <v>1147</v>
      </c>
      <c r="M108" s="8"/>
      <c r="N108" s="8"/>
      <c r="O108" s="8" t="s">
        <v>1148</v>
      </c>
      <c r="P108" s="8" t="s">
        <v>87</v>
      </c>
      <c r="Q108" s="8"/>
      <c r="R108" s="9" t="s">
        <v>1149</v>
      </c>
      <c r="S108" s="8"/>
      <c r="T108" s="8"/>
      <c r="U108" s="8"/>
      <c r="V108" s="9" t="s">
        <v>327</v>
      </c>
      <c r="W108" s="8"/>
      <c r="X108" s="8"/>
      <c r="Y108" s="8"/>
      <c r="Z108" s="8"/>
      <c r="AA108" s="8"/>
      <c r="AB108" s="8"/>
      <c r="AC108" s="8"/>
      <c r="AD108" s="8"/>
      <c r="AE108" s="8"/>
      <c r="AF108" s="8"/>
      <c r="AG108" s="8"/>
      <c r="AH108" s="8"/>
      <c r="AI108" s="8" t="n">
        <v>0</v>
      </c>
      <c r="AJ108" s="8" t="n">
        <v>0</v>
      </c>
      <c r="AK108" s="8" t="n">
        <v>0</v>
      </c>
      <c r="AL108" s="8" t="n">
        <v>0</v>
      </c>
      <c r="AM108" s="8" t="n">
        <v>0</v>
      </c>
      <c r="AN108" s="8" t="n">
        <v>0</v>
      </c>
      <c r="AO108" s="8" t="n">
        <v>0</v>
      </c>
      <c r="AP108" s="8" t="n">
        <v>0</v>
      </c>
      <c r="AQ108" s="8" t="n">
        <v>0</v>
      </c>
      <c r="AR108" s="8" t="n">
        <v>0</v>
      </c>
      <c r="AS108" s="8" t="n">
        <v>0</v>
      </c>
      <c r="AT108" s="8" t="n">
        <v>0</v>
      </c>
      <c r="AU108" s="8" t="n">
        <v>0</v>
      </c>
      <c r="AV108" s="8" t="n">
        <v>0</v>
      </c>
      <c r="AW108" s="8" t="n">
        <v>0</v>
      </c>
      <c r="AX108" s="8" t="n">
        <v>0</v>
      </c>
      <c r="AY108" s="8" t="n">
        <v>0</v>
      </c>
      <c r="AZ108" s="8" t="n">
        <v>0</v>
      </c>
      <c r="BA108" s="8" t="n">
        <v>0</v>
      </c>
      <c r="BB108" s="8" t="n">
        <v>0</v>
      </c>
      <c r="BC108" s="8" t="n">
        <v>31</v>
      </c>
      <c r="BD108" s="8" t="n">
        <v>0</v>
      </c>
      <c r="BE108" s="8" t="n">
        <v>0</v>
      </c>
      <c r="BF108" s="8" t="n">
        <v>0</v>
      </c>
      <c r="BG108" s="10" t="s">
        <v>1150</v>
      </c>
      <c r="BH108" s="9" t="s">
        <v>1151</v>
      </c>
    </row>
    <row r="109" customFormat="false" ht="15" hidden="false" customHeight="false" outlineLevel="0" collapsed="false">
      <c r="A109" s="8" t="s">
        <v>1152</v>
      </c>
      <c r="B109" s="8" t="s">
        <v>1145</v>
      </c>
      <c r="C109" s="8" t="n">
        <v>2</v>
      </c>
      <c r="D109" s="8" t="n">
        <v>1917</v>
      </c>
      <c r="E109" s="8" t="n">
        <v>1926</v>
      </c>
      <c r="F109" s="8" t="str">
        <f aca="false">IF(D109="","?",IF(D109&lt;1796,"pre-1796",IF(D109&lt;1912,"1796-1911",IF(D109&lt;1949,"1912-1948","1949+"))))</f>
        <v>1912-1948</v>
      </c>
      <c r="G109" s="8" t="str">
        <f aca="false">IF(D109="","?",IF(D109&lt;1912,"Qing",IF(D109&lt;1949,"Republic","PRC")))</f>
        <v>Republic</v>
      </c>
      <c r="H109" s="8" t="s">
        <v>1146</v>
      </c>
      <c r="I109" s="9" t="s">
        <v>466</v>
      </c>
      <c r="J109" s="9" t="s">
        <v>467</v>
      </c>
      <c r="K109" s="8" t="s">
        <v>84</v>
      </c>
      <c r="L109" s="9" t="s">
        <v>1147</v>
      </c>
      <c r="M109" s="8"/>
      <c r="N109" s="8"/>
      <c r="O109" s="8" t="s">
        <v>1148</v>
      </c>
      <c r="P109" s="8" t="s">
        <v>114</v>
      </c>
      <c r="Q109" s="8"/>
      <c r="R109" s="9" t="s">
        <v>1153</v>
      </c>
      <c r="S109" s="8"/>
      <c r="T109" s="8"/>
      <c r="U109" s="8"/>
      <c r="V109" s="8"/>
      <c r="W109" s="8"/>
      <c r="X109" s="8"/>
      <c r="Y109" s="8"/>
      <c r="Z109" s="8"/>
      <c r="AA109" s="8"/>
      <c r="AB109" s="8"/>
      <c r="AC109" s="8"/>
      <c r="AD109" s="8"/>
      <c r="AE109" s="9" t="s">
        <v>1154</v>
      </c>
      <c r="AF109" s="9" t="s">
        <v>1155</v>
      </c>
      <c r="AG109" s="9" t="s">
        <v>1156</v>
      </c>
      <c r="AH109" s="8"/>
      <c r="AI109" s="8" t="n">
        <v>0</v>
      </c>
      <c r="AJ109" s="8" t="n">
        <v>0</v>
      </c>
      <c r="AK109" s="8" t="n">
        <v>0</v>
      </c>
      <c r="AL109" s="8" t="n">
        <v>0</v>
      </c>
      <c r="AM109" s="8" t="n">
        <v>0</v>
      </c>
      <c r="AN109" s="8" t="n">
        <v>0</v>
      </c>
      <c r="AO109" s="8" t="n">
        <v>0</v>
      </c>
      <c r="AP109" s="8" t="n">
        <v>0</v>
      </c>
      <c r="AQ109" s="8" t="n">
        <v>0</v>
      </c>
      <c r="AR109" s="8" t="n">
        <v>0</v>
      </c>
      <c r="AS109" s="8" t="n">
        <v>0</v>
      </c>
      <c r="AT109" s="8" t="n">
        <v>0</v>
      </c>
      <c r="AU109" s="8" t="n">
        <v>0</v>
      </c>
      <c r="AV109" s="8" t="n">
        <v>0</v>
      </c>
      <c r="AW109" s="8" t="n">
        <v>1</v>
      </c>
      <c r="AX109" s="8" t="n">
        <v>0</v>
      </c>
      <c r="AY109" s="8" t="n">
        <v>1</v>
      </c>
      <c r="AZ109" s="8" t="n">
        <v>0</v>
      </c>
      <c r="BA109" s="8" t="n">
        <v>0</v>
      </c>
      <c r="BB109" s="8" t="n">
        <v>0</v>
      </c>
      <c r="BC109" s="8" t="n">
        <v>66</v>
      </c>
      <c r="BD109" s="8" t="n">
        <v>1</v>
      </c>
      <c r="BE109" s="8" t="n">
        <v>0</v>
      </c>
      <c r="BF109" s="8" t="n">
        <v>0</v>
      </c>
      <c r="BG109" s="10" t="s">
        <v>1150</v>
      </c>
      <c r="BH109" s="9" t="s">
        <v>1157</v>
      </c>
    </row>
    <row r="110" customFormat="false" ht="15" hidden="false" customHeight="false" outlineLevel="0" collapsed="false">
      <c r="A110" s="8" t="s">
        <v>1158</v>
      </c>
      <c r="B110" s="8" t="s">
        <v>1145</v>
      </c>
      <c r="C110" s="8" t="n">
        <v>3</v>
      </c>
      <c r="D110" s="8" t="n">
        <v>1917</v>
      </c>
      <c r="E110" s="8" t="n">
        <v>1926</v>
      </c>
      <c r="F110" s="8" t="str">
        <f aca="false">IF(D110="","?",IF(D110&lt;1796,"pre-1796",IF(D110&lt;1912,"1796-1911",IF(D110&lt;1949,"1912-1948","1949+"))))</f>
        <v>1912-1948</v>
      </c>
      <c r="G110" s="8" t="str">
        <f aca="false">IF(D110="","?",IF(D110&lt;1912,"Qing",IF(D110&lt;1949,"Republic","PRC")))</f>
        <v>Republic</v>
      </c>
      <c r="H110" s="8" t="s">
        <v>1146</v>
      </c>
      <c r="I110" s="9" t="s">
        <v>466</v>
      </c>
      <c r="J110" s="9" t="s">
        <v>467</v>
      </c>
      <c r="K110" s="8" t="s">
        <v>84</v>
      </c>
      <c r="L110" s="9" t="s">
        <v>1147</v>
      </c>
      <c r="M110" s="8"/>
      <c r="N110" s="8"/>
      <c r="O110" s="8" t="s">
        <v>1148</v>
      </c>
      <c r="P110" s="8" t="s">
        <v>114</v>
      </c>
      <c r="Q110" s="8"/>
      <c r="R110" s="9" t="s">
        <v>1159</v>
      </c>
      <c r="S110" s="8"/>
      <c r="T110" s="8"/>
      <c r="U110" s="8"/>
      <c r="V110" s="8"/>
      <c r="W110" s="8"/>
      <c r="X110" s="8"/>
      <c r="Y110" s="8"/>
      <c r="Z110" s="8"/>
      <c r="AA110" s="8"/>
      <c r="AB110" s="8"/>
      <c r="AC110" s="8"/>
      <c r="AD110" s="8"/>
      <c r="AE110" s="9" t="s">
        <v>1160</v>
      </c>
      <c r="AF110" s="8"/>
      <c r="AG110" s="8"/>
      <c r="AH110" s="8"/>
      <c r="AI110" s="8" t="n">
        <v>0</v>
      </c>
      <c r="AJ110" s="8" t="n">
        <v>0</v>
      </c>
      <c r="AK110" s="8" t="n">
        <v>0</v>
      </c>
      <c r="AL110" s="8" t="n">
        <v>0</v>
      </c>
      <c r="AM110" s="8" t="n">
        <v>0</v>
      </c>
      <c r="AN110" s="8" t="n">
        <v>0</v>
      </c>
      <c r="AO110" s="8" t="n">
        <v>0</v>
      </c>
      <c r="AP110" s="8" t="n">
        <v>0</v>
      </c>
      <c r="AQ110" s="8" t="n">
        <v>0</v>
      </c>
      <c r="AR110" s="8" t="n">
        <v>0</v>
      </c>
      <c r="AS110" s="8" t="n">
        <v>0</v>
      </c>
      <c r="AT110" s="8" t="n">
        <v>0</v>
      </c>
      <c r="AU110" s="8" t="n">
        <v>0</v>
      </c>
      <c r="AV110" s="8" t="n">
        <v>0</v>
      </c>
      <c r="AW110" s="8" t="n">
        <v>0</v>
      </c>
      <c r="AX110" s="8" t="n">
        <v>0</v>
      </c>
      <c r="AY110" s="8" t="n">
        <v>0</v>
      </c>
      <c r="AZ110" s="8" t="n">
        <v>0</v>
      </c>
      <c r="BA110" s="8" t="n">
        <v>0</v>
      </c>
      <c r="BB110" s="8" t="n">
        <v>0</v>
      </c>
      <c r="BC110" s="8" t="n">
        <v>44</v>
      </c>
      <c r="BD110" s="8" t="n">
        <v>0</v>
      </c>
      <c r="BE110" s="8" t="n">
        <v>0</v>
      </c>
      <c r="BF110" s="8" t="n">
        <v>0</v>
      </c>
      <c r="BG110" s="10" t="s">
        <v>1150</v>
      </c>
      <c r="BH110" s="9" t="s">
        <v>1161</v>
      </c>
    </row>
    <row r="111" customFormat="false" ht="15" hidden="false" customHeight="false" outlineLevel="0" collapsed="false">
      <c r="A111" s="8" t="s">
        <v>1162</v>
      </c>
      <c r="B111" s="8" t="s">
        <v>1145</v>
      </c>
      <c r="C111" s="8" t="n">
        <v>4</v>
      </c>
      <c r="D111" s="8" t="n">
        <v>1917</v>
      </c>
      <c r="E111" s="8" t="n">
        <v>1926</v>
      </c>
      <c r="F111" s="8" t="str">
        <f aca="false">IF(D111="","?",IF(D111&lt;1796,"pre-1796",IF(D111&lt;1912,"1796-1911",IF(D111&lt;1949,"1912-1948","1949+"))))</f>
        <v>1912-1948</v>
      </c>
      <c r="G111" s="8" t="str">
        <f aca="false">IF(D111="","?",IF(D111&lt;1912,"Qing",IF(D111&lt;1949,"Republic","PRC")))</f>
        <v>Republic</v>
      </c>
      <c r="H111" s="8" t="s">
        <v>1146</v>
      </c>
      <c r="I111" s="9" t="s">
        <v>466</v>
      </c>
      <c r="J111" s="9" t="s">
        <v>467</v>
      </c>
      <c r="K111" s="8" t="s">
        <v>84</v>
      </c>
      <c r="L111" s="9" t="s">
        <v>1147</v>
      </c>
      <c r="M111" s="8"/>
      <c r="N111" s="8"/>
      <c r="O111" s="8" t="s">
        <v>1148</v>
      </c>
      <c r="P111" s="8" t="s">
        <v>114</v>
      </c>
      <c r="Q111" s="8"/>
      <c r="R111" s="9" t="s">
        <v>1163</v>
      </c>
      <c r="S111" s="8"/>
      <c r="T111" s="8"/>
      <c r="U111" s="8"/>
      <c r="V111" s="8"/>
      <c r="W111" s="8"/>
      <c r="X111" s="8"/>
      <c r="Y111" s="8"/>
      <c r="Z111" s="8"/>
      <c r="AA111" s="8"/>
      <c r="AB111" s="8"/>
      <c r="AC111" s="8"/>
      <c r="AD111" s="8"/>
      <c r="AE111" s="9" t="s">
        <v>1164</v>
      </c>
      <c r="AF111" s="8"/>
      <c r="AG111" s="8"/>
      <c r="AH111" s="8"/>
      <c r="AI111" s="8" t="n">
        <v>0</v>
      </c>
      <c r="AJ111" s="8" t="n">
        <v>0</v>
      </c>
      <c r="AK111" s="8" t="n">
        <v>0</v>
      </c>
      <c r="AL111" s="8" t="n">
        <v>0</v>
      </c>
      <c r="AM111" s="8" t="n">
        <v>0</v>
      </c>
      <c r="AN111" s="8" t="n">
        <v>0</v>
      </c>
      <c r="AO111" s="8" t="n">
        <v>0</v>
      </c>
      <c r="AP111" s="8" t="n">
        <v>0</v>
      </c>
      <c r="AQ111" s="8" t="n">
        <v>0</v>
      </c>
      <c r="AR111" s="8" t="n">
        <v>0</v>
      </c>
      <c r="AS111" s="8" t="n">
        <v>0</v>
      </c>
      <c r="AT111" s="8" t="n">
        <v>0</v>
      </c>
      <c r="AU111" s="8" t="n">
        <v>0</v>
      </c>
      <c r="AV111" s="8" t="n">
        <v>0</v>
      </c>
      <c r="AW111" s="8" t="n">
        <v>0</v>
      </c>
      <c r="AX111" s="8" t="n">
        <v>0</v>
      </c>
      <c r="AY111" s="8" t="n">
        <v>0</v>
      </c>
      <c r="AZ111" s="8" t="n">
        <v>0</v>
      </c>
      <c r="BA111" s="8" t="n">
        <v>0</v>
      </c>
      <c r="BB111" s="8" t="n">
        <v>0</v>
      </c>
      <c r="BC111" s="8" t="n">
        <v>47</v>
      </c>
      <c r="BD111" s="8" t="n">
        <v>0</v>
      </c>
      <c r="BE111" s="8" t="n">
        <v>2</v>
      </c>
      <c r="BF111" s="8" t="n">
        <v>0</v>
      </c>
      <c r="BG111" s="10" t="s">
        <v>1150</v>
      </c>
      <c r="BH111" s="9" t="s">
        <v>1165</v>
      </c>
    </row>
    <row r="112" customFormat="false" ht="15" hidden="false" customHeight="false" outlineLevel="0" collapsed="false">
      <c r="A112" s="8" t="s">
        <v>1166</v>
      </c>
      <c r="B112" s="8" t="s">
        <v>1145</v>
      </c>
      <c r="C112" s="8" t="n">
        <v>5</v>
      </c>
      <c r="D112" s="8" t="n">
        <v>1917</v>
      </c>
      <c r="E112" s="8" t="n">
        <v>1926</v>
      </c>
      <c r="F112" s="8" t="str">
        <f aca="false">IF(D112="","?",IF(D112&lt;1796,"pre-1796",IF(D112&lt;1912,"1796-1911",IF(D112&lt;1949,"1912-1948","1949+"))))</f>
        <v>1912-1948</v>
      </c>
      <c r="G112" s="8" t="str">
        <f aca="false">IF(D112="","?",IF(D112&lt;1912,"Qing",IF(D112&lt;1949,"Republic","PRC")))</f>
        <v>Republic</v>
      </c>
      <c r="H112" s="8" t="s">
        <v>1146</v>
      </c>
      <c r="I112" s="9" t="s">
        <v>466</v>
      </c>
      <c r="J112" s="9" t="s">
        <v>467</v>
      </c>
      <c r="K112" s="8" t="s">
        <v>84</v>
      </c>
      <c r="L112" s="9" t="s">
        <v>1147</v>
      </c>
      <c r="M112" s="8"/>
      <c r="N112" s="8"/>
      <c r="O112" s="8" t="s">
        <v>1148</v>
      </c>
      <c r="P112" s="8" t="s">
        <v>114</v>
      </c>
      <c r="Q112" s="8"/>
      <c r="R112" s="9" t="s">
        <v>1167</v>
      </c>
      <c r="S112" s="8"/>
      <c r="T112" s="8"/>
      <c r="U112" s="8"/>
      <c r="V112" s="8"/>
      <c r="W112" s="8"/>
      <c r="X112" s="8"/>
      <c r="Y112" s="8"/>
      <c r="Z112" s="8"/>
      <c r="AA112" s="8"/>
      <c r="AB112" s="8"/>
      <c r="AC112" s="8"/>
      <c r="AD112" s="8"/>
      <c r="AE112" s="9" t="s">
        <v>1154</v>
      </c>
      <c r="AF112" s="8"/>
      <c r="AG112" s="9" t="s">
        <v>1156</v>
      </c>
      <c r="AH112" s="8"/>
      <c r="AI112" s="8" t="n">
        <v>0</v>
      </c>
      <c r="AJ112" s="8" t="n">
        <v>0</v>
      </c>
      <c r="AK112" s="8" t="n">
        <v>0</v>
      </c>
      <c r="AL112" s="8" t="n">
        <v>0</v>
      </c>
      <c r="AM112" s="8" t="n">
        <v>0</v>
      </c>
      <c r="AN112" s="8" t="n">
        <v>0</v>
      </c>
      <c r="AO112" s="8" t="n">
        <v>0</v>
      </c>
      <c r="AP112" s="8" t="n">
        <v>0</v>
      </c>
      <c r="AQ112" s="8" t="n">
        <v>0</v>
      </c>
      <c r="AR112" s="8" t="n">
        <v>0</v>
      </c>
      <c r="AS112" s="8" t="n">
        <v>0</v>
      </c>
      <c r="AT112" s="8" t="n">
        <v>0</v>
      </c>
      <c r="AU112" s="8" t="n">
        <v>0</v>
      </c>
      <c r="AV112" s="8" t="n">
        <v>0</v>
      </c>
      <c r="AW112" s="8" t="n">
        <v>1</v>
      </c>
      <c r="AX112" s="8" t="n">
        <v>0</v>
      </c>
      <c r="AY112" s="8" t="n">
        <v>0</v>
      </c>
      <c r="AZ112" s="8" t="n">
        <v>0</v>
      </c>
      <c r="BA112" s="8" t="n">
        <v>0</v>
      </c>
      <c r="BB112" s="8" t="n">
        <v>0</v>
      </c>
      <c r="BC112" s="8" t="n">
        <v>39</v>
      </c>
      <c r="BD112" s="8" t="n">
        <v>1</v>
      </c>
      <c r="BE112" s="8" t="n">
        <v>0</v>
      </c>
      <c r="BF112" s="8" t="n">
        <v>0</v>
      </c>
      <c r="BG112" s="10" t="s">
        <v>1150</v>
      </c>
      <c r="BH112" s="9" t="s">
        <v>1168</v>
      </c>
    </row>
    <row r="113" customFormat="false" ht="15" hidden="false" customHeight="false" outlineLevel="0" collapsed="false">
      <c r="A113" s="8" t="s">
        <v>1169</v>
      </c>
      <c r="B113" s="8" t="s">
        <v>1145</v>
      </c>
      <c r="C113" s="8" t="n">
        <v>6</v>
      </c>
      <c r="D113" s="8" t="n">
        <v>1917</v>
      </c>
      <c r="E113" s="8" t="n">
        <v>1926</v>
      </c>
      <c r="F113" s="8" t="str">
        <f aca="false">IF(D113="","?",IF(D113&lt;1796,"pre-1796",IF(D113&lt;1912,"1796-1911",IF(D113&lt;1949,"1912-1948","1949+"))))</f>
        <v>1912-1948</v>
      </c>
      <c r="G113" s="8" t="str">
        <f aca="false">IF(D113="","?",IF(D113&lt;1912,"Qing",IF(D113&lt;1949,"Republic","PRC")))</f>
        <v>Republic</v>
      </c>
      <c r="H113" s="8" t="s">
        <v>1146</v>
      </c>
      <c r="I113" s="9" t="s">
        <v>466</v>
      </c>
      <c r="J113" s="9" t="s">
        <v>467</v>
      </c>
      <c r="K113" s="8" t="s">
        <v>84</v>
      </c>
      <c r="L113" s="9" t="s">
        <v>1147</v>
      </c>
      <c r="M113" s="8"/>
      <c r="N113" s="8"/>
      <c r="O113" s="8" t="s">
        <v>1148</v>
      </c>
      <c r="P113" s="8" t="s">
        <v>87</v>
      </c>
      <c r="Q113" s="8"/>
      <c r="R113" s="9" t="s">
        <v>1170</v>
      </c>
      <c r="S113" s="8"/>
      <c r="T113" s="8"/>
      <c r="U113" s="8"/>
      <c r="V113" s="8"/>
      <c r="W113" s="8"/>
      <c r="X113" s="8"/>
      <c r="Y113" s="8"/>
      <c r="Z113" s="8"/>
      <c r="AA113" s="8"/>
      <c r="AB113" s="8"/>
      <c r="AC113" s="8"/>
      <c r="AD113" s="8"/>
      <c r="AE113" s="8"/>
      <c r="AF113" s="8"/>
      <c r="AG113" s="8"/>
      <c r="AH113" s="8"/>
      <c r="AI113" s="8" t="n">
        <v>0</v>
      </c>
      <c r="AJ113" s="8" t="n">
        <v>0</v>
      </c>
      <c r="AK113" s="8" t="n">
        <v>0</v>
      </c>
      <c r="AL113" s="8" t="n">
        <v>0</v>
      </c>
      <c r="AM113" s="8" t="n">
        <v>0</v>
      </c>
      <c r="AN113" s="8" t="n">
        <v>0</v>
      </c>
      <c r="AO113" s="8" t="n">
        <v>0</v>
      </c>
      <c r="AP113" s="8" t="n">
        <v>0</v>
      </c>
      <c r="AQ113" s="8" t="n">
        <v>0</v>
      </c>
      <c r="AR113" s="8" t="n">
        <v>0</v>
      </c>
      <c r="AS113" s="8" t="n">
        <v>0</v>
      </c>
      <c r="AT113" s="8" t="n">
        <v>0</v>
      </c>
      <c r="AU113" s="8" t="n">
        <v>0</v>
      </c>
      <c r="AV113" s="8" t="n">
        <v>0</v>
      </c>
      <c r="AW113" s="8" t="n">
        <v>0</v>
      </c>
      <c r="AX113" s="8" t="n">
        <v>0</v>
      </c>
      <c r="AY113" s="8" t="n">
        <v>0</v>
      </c>
      <c r="AZ113" s="8" t="n">
        <v>0</v>
      </c>
      <c r="BA113" s="8" t="n">
        <v>0</v>
      </c>
      <c r="BB113" s="8" t="n">
        <v>0</v>
      </c>
      <c r="BC113" s="8" t="n">
        <v>269</v>
      </c>
      <c r="BD113" s="8" t="n">
        <v>0</v>
      </c>
      <c r="BE113" s="8" t="n">
        <v>0</v>
      </c>
      <c r="BF113" s="8" t="n">
        <v>1</v>
      </c>
      <c r="BG113" s="10" t="s">
        <v>1150</v>
      </c>
      <c r="BH113" s="9" t="s">
        <v>1171</v>
      </c>
    </row>
    <row r="114" customFormat="false" ht="15" hidden="false" customHeight="false" outlineLevel="0" collapsed="false">
      <c r="A114" s="8" t="s">
        <v>1172</v>
      </c>
      <c r="B114" s="8" t="s">
        <v>1145</v>
      </c>
      <c r="C114" s="8" t="n">
        <v>7</v>
      </c>
      <c r="D114" s="8" t="n">
        <v>1917</v>
      </c>
      <c r="E114" s="8" t="n">
        <v>1926</v>
      </c>
      <c r="F114" s="8" t="str">
        <f aca="false">IF(D114="","?",IF(D114&lt;1796,"pre-1796",IF(D114&lt;1912,"1796-1911",IF(D114&lt;1949,"1912-1948","1949+"))))</f>
        <v>1912-1948</v>
      </c>
      <c r="G114" s="8" t="str">
        <f aca="false">IF(D114="","?",IF(D114&lt;1912,"Qing",IF(D114&lt;1949,"Republic","PRC")))</f>
        <v>Republic</v>
      </c>
      <c r="H114" s="8" t="s">
        <v>1146</v>
      </c>
      <c r="I114" s="9" t="s">
        <v>466</v>
      </c>
      <c r="J114" s="9" t="s">
        <v>467</v>
      </c>
      <c r="K114" s="8" t="s">
        <v>84</v>
      </c>
      <c r="L114" s="9" t="s">
        <v>1147</v>
      </c>
      <c r="M114" s="8"/>
      <c r="N114" s="8"/>
      <c r="O114" s="8" t="s">
        <v>1148</v>
      </c>
      <c r="P114" s="8" t="s">
        <v>114</v>
      </c>
      <c r="Q114" s="8"/>
      <c r="R114" s="9" t="s">
        <v>1173</v>
      </c>
      <c r="S114" s="8"/>
      <c r="T114" s="8"/>
      <c r="U114" s="8"/>
      <c r="V114" s="8"/>
      <c r="W114" s="8"/>
      <c r="X114" s="8"/>
      <c r="Y114" s="8"/>
      <c r="Z114" s="8"/>
      <c r="AA114" s="8"/>
      <c r="AB114" s="8"/>
      <c r="AC114" s="8"/>
      <c r="AD114" s="8"/>
      <c r="AE114" s="9" t="s">
        <v>1154</v>
      </c>
      <c r="AF114" s="8"/>
      <c r="AG114" s="9" t="s">
        <v>1156</v>
      </c>
      <c r="AH114" s="8"/>
      <c r="AI114" s="8" t="n">
        <v>0</v>
      </c>
      <c r="AJ114" s="8" t="n">
        <v>0</v>
      </c>
      <c r="AK114" s="8" t="n">
        <v>0</v>
      </c>
      <c r="AL114" s="8" t="n">
        <v>0</v>
      </c>
      <c r="AM114" s="8" t="n">
        <v>0</v>
      </c>
      <c r="AN114" s="8" t="n">
        <v>0</v>
      </c>
      <c r="AO114" s="8" t="n">
        <v>0</v>
      </c>
      <c r="AP114" s="8" t="n">
        <v>0</v>
      </c>
      <c r="AQ114" s="8" t="n">
        <v>0</v>
      </c>
      <c r="AR114" s="8" t="n">
        <v>0</v>
      </c>
      <c r="AS114" s="8" t="n">
        <v>0</v>
      </c>
      <c r="AT114" s="8" t="n">
        <v>0</v>
      </c>
      <c r="AU114" s="8" t="n">
        <v>0</v>
      </c>
      <c r="AV114" s="8" t="n">
        <v>0</v>
      </c>
      <c r="AW114" s="8" t="n">
        <v>0</v>
      </c>
      <c r="AX114" s="8" t="n">
        <v>0</v>
      </c>
      <c r="AY114" s="8" t="n">
        <v>0</v>
      </c>
      <c r="AZ114" s="8" t="n">
        <v>0</v>
      </c>
      <c r="BA114" s="8" t="n">
        <v>0</v>
      </c>
      <c r="BB114" s="8" t="n">
        <v>0</v>
      </c>
      <c r="BC114" s="8" t="n">
        <v>74</v>
      </c>
      <c r="BD114" s="8" t="n">
        <v>0</v>
      </c>
      <c r="BE114" s="8" t="n">
        <v>0</v>
      </c>
      <c r="BF114" s="8" t="n">
        <v>0</v>
      </c>
      <c r="BG114" s="10" t="s">
        <v>1150</v>
      </c>
      <c r="BH114" s="9" t="s">
        <v>1174</v>
      </c>
    </row>
    <row r="115" customFormat="false" ht="15" hidden="false" customHeight="false" outlineLevel="0" collapsed="false">
      <c r="A115" s="8" t="s">
        <v>1175</v>
      </c>
      <c r="B115" s="8" t="s">
        <v>1145</v>
      </c>
      <c r="C115" s="8" t="n">
        <v>8</v>
      </c>
      <c r="D115" s="8" t="n">
        <v>1917</v>
      </c>
      <c r="E115" s="8" t="n">
        <v>1926</v>
      </c>
      <c r="F115" s="8" t="str">
        <f aca="false">IF(D115="","?",IF(D115&lt;1796,"pre-1796",IF(D115&lt;1912,"1796-1911",IF(D115&lt;1949,"1912-1948","1949+"))))</f>
        <v>1912-1948</v>
      </c>
      <c r="G115" s="8" t="str">
        <f aca="false">IF(D115="","?",IF(D115&lt;1912,"Qing",IF(D115&lt;1949,"Republic","PRC")))</f>
        <v>Republic</v>
      </c>
      <c r="H115" s="8" t="s">
        <v>1146</v>
      </c>
      <c r="I115" s="9" t="s">
        <v>466</v>
      </c>
      <c r="J115" s="9" t="s">
        <v>467</v>
      </c>
      <c r="K115" s="8" t="s">
        <v>84</v>
      </c>
      <c r="L115" s="9" t="s">
        <v>1147</v>
      </c>
      <c r="M115" s="8"/>
      <c r="N115" s="8"/>
      <c r="O115" s="8" t="s">
        <v>1148</v>
      </c>
      <c r="P115" s="8" t="s">
        <v>87</v>
      </c>
      <c r="Q115" s="8"/>
      <c r="R115" s="9" t="s">
        <v>1047</v>
      </c>
      <c r="S115" s="8"/>
      <c r="T115" s="8"/>
      <c r="U115" s="8"/>
      <c r="V115" s="8"/>
      <c r="W115" s="8"/>
      <c r="X115" s="8"/>
      <c r="Y115" s="8"/>
      <c r="Z115" s="8"/>
      <c r="AA115" s="8"/>
      <c r="AB115" s="8"/>
      <c r="AC115" s="8"/>
      <c r="AD115" s="8"/>
      <c r="AE115" s="9" t="s">
        <v>1176</v>
      </c>
      <c r="AF115" s="8"/>
      <c r="AG115" s="8"/>
      <c r="AH115" s="8"/>
      <c r="AI115" s="8" t="n">
        <v>0</v>
      </c>
      <c r="AJ115" s="8" t="n">
        <v>0</v>
      </c>
      <c r="AK115" s="8" t="n">
        <v>0</v>
      </c>
      <c r="AL115" s="8" t="n">
        <v>0</v>
      </c>
      <c r="AM115" s="8" t="n">
        <v>0</v>
      </c>
      <c r="AN115" s="8" t="n">
        <v>0</v>
      </c>
      <c r="AO115" s="8" t="n">
        <v>0</v>
      </c>
      <c r="AP115" s="8" t="n">
        <v>0</v>
      </c>
      <c r="AQ115" s="8" t="n">
        <v>0</v>
      </c>
      <c r="AR115" s="8" t="n">
        <v>0</v>
      </c>
      <c r="AS115" s="8" t="n">
        <v>0</v>
      </c>
      <c r="AT115" s="8" t="n">
        <v>0</v>
      </c>
      <c r="AU115" s="8" t="n">
        <v>0</v>
      </c>
      <c r="AV115" s="8" t="n">
        <v>0</v>
      </c>
      <c r="AW115" s="8" t="n">
        <v>0</v>
      </c>
      <c r="AX115" s="8" t="n">
        <v>0</v>
      </c>
      <c r="AY115" s="8" t="n">
        <v>0</v>
      </c>
      <c r="AZ115" s="8" t="n">
        <v>0</v>
      </c>
      <c r="BA115" s="8" t="n">
        <v>0</v>
      </c>
      <c r="BB115" s="8" t="n">
        <v>0</v>
      </c>
      <c r="BC115" s="8" t="n">
        <v>67</v>
      </c>
      <c r="BD115" s="8" t="n">
        <v>0</v>
      </c>
      <c r="BE115" s="8" t="n">
        <v>12</v>
      </c>
      <c r="BF115" s="8" t="n">
        <v>0</v>
      </c>
      <c r="BG115" s="10" t="s">
        <v>1150</v>
      </c>
      <c r="BH115" s="9" t="s">
        <v>1177</v>
      </c>
    </row>
    <row r="116" customFormat="false" ht="15" hidden="false" customHeight="false" outlineLevel="0" collapsed="false">
      <c r="A116" s="8" t="s">
        <v>1178</v>
      </c>
      <c r="B116" s="8" t="s">
        <v>1145</v>
      </c>
      <c r="C116" s="8" t="n">
        <v>9</v>
      </c>
      <c r="D116" s="8" t="n">
        <v>1917</v>
      </c>
      <c r="E116" s="8" t="n">
        <v>1926</v>
      </c>
      <c r="F116" s="8" t="str">
        <f aca="false">IF(D116="","?",IF(D116&lt;1796,"pre-1796",IF(D116&lt;1912,"1796-1911",IF(D116&lt;1949,"1912-1948","1949+"))))</f>
        <v>1912-1948</v>
      </c>
      <c r="G116" s="8" t="str">
        <f aca="false">IF(D116="","?",IF(D116&lt;1912,"Qing",IF(D116&lt;1949,"Republic","PRC")))</f>
        <v>Republic</v>
      </c>
      <c r="H116" s="8" t="s">
        <v>1146</v>
      </c>
      <c r="I116" s="9" t="s">
        <v>466</v>
      </c>
      <c r="J116" s="9" t="s">
        <v>467</v>
      </c>
      <c r="K116" s="8" t="s">
        <v>84</v>
      </c>
      <c r="L116" s="9" t="s">
        <v>1147</v>
      </c>
      <c r="M116" s="8"/>
      <c r="N116" s="8"/>
      <c r="O116" s="8" t="s">
        <v>1148</v>
      </c>
      <c r="P116" s="8" t="s">
        <v>114</v>
      </c>
      <c r="Q116" s="8"/>
      <c r="R116" s="9" t="s">
        <v>1179</v>
      </c>
      <c r="S116" s="8"/>
      <c r="T116" s="8"/>
      <c r="U116" s="8"/>
      <c r="V116" s="8"/>
      <c r="W116" s="8"/>
      <c r="X116" s="8"/>
      <c r="Y116" s="8"/>
      <c r="Z116" s="8"/>
      <c r="AA116" s="8"/>
      <c r="AB116" s="8"/>
      <c r="AC116" s="8"/>
      <c r="AD116" s="8"/>
      <c r="AE116" s="9" t="s">
        <v>1154</v>
      </c>
      <c r="AF116" s="8"/>
      <c r="AG116" s="9" t="s">
        <v>1156</v>
      </c>
      <c r="AH116" s="8"/>
      <c r="AI116" s="8" t="n">
        <v>0</v>
      </c>
      <c r="AJ116" s="8" t="n">
        <v>0</v>
      </c>
      <c r="AK116" s="8" t="n">
        <v>0</v>
      </c>
      <c r="AL116" s="8" t="n">
        <v>0</v>
      </c>
      <c r="AM116" s="8" t="n">
        <v>0</v>
      </c>
      <c r="AN116" s="8" t="n">
        <v>0</v>
      </c>
      <c r="AO116" s="8" t="n">
        <v>0</v>
      </c>
      <c r="AP116" s="8" t="n">
        <v>0</v>
      </c>
      <c r="AQ116" s="8" t="n">
        <v>0</v>
      </c>
      <c r="AR116" s="8" t="n">
        <v>0</v>
      </c>
      <c r="AS116" s="8" t="n">
        <v>0</v>
      </c>
      <c r="AT116" s="8" t="n">
        <v>0</v>
      </c>
      <c r="AU116" s="8" t="n">
        <v>0</v>
      </c>
      <c r="AV116" s="8" t="n">
        <v>0</v>
      </c>
      <c r="AW116" s="8" t="n">
        <v>0</v>
      </c>
      <c r="AX116" s="8" t="n">
        <v>0</v>
      </c>
      <c r="AY116" s="8" t="n">
        <v>0</v>
      </c>
      <c r="AZ116" s="8" t="n">
        <v>0</v>
      </c>
      <c r="BA116" s="8" t="n">
        <v>0</v>
      </c>
      <c r="BB116" s="8" t="n">
        <v>0</v>
      </c>
      <c r="BC116" s="8" t="n">
        <v>51</v>
      </c>
      <c r="BD116" s="8" t="n">
        <v>0</v>
      </c>
      <c r="BE116" s="8" t="n">
        <v>0</v>
      </c>
      <c r="BF116" s="8" t="n">
        <v>0</v>
      </c>
      <c r="BG116" s="10" t="s">
        <v>1150</v>
      </c>
      <c r="BH116" s="9" t="s">
        <v>1180</v>
      </c>
    </row>
    <row r="117" customFormat="false" ht="15" hidden="false" customHeight="false" outlineLevel="0" collapsed="false">
      <c r="A117" s="8" t="s">
        <v>1181</v>
      </c>
      <c r="B117" s="8" t="s">
        <v>1145</v>
      </c>
      <c r="C117" s="8" t="n">
        <v>10</v>
      </c>
      <c r="D117" s="8" t="n">
        <v>1917</v>
      </c>
      <c r="E117" s="8" t="n">
        <v>1926</v>
      </c>
      <c r="F117" s="8" t="str">
        <f aca="false">IF(D117="","?",IF(D117&lt;1796,"pre-1796",IF(D117&lt;1912,"1796-1911",IF(D117&lt;1949,"1912-1948","1949+"))))</f>
        <v>1912-1948</v>
      </c>
      <c r="G117" s="8" t="str">
        <f aca="false">IF(D117="","?",IF(D117&lt;1912,"Qing",IF(D117&lt;1949,"Republic","PRC")))</f>
        <v>Republic</v>
      </c>
      <c r="H117" s="8" t="s">
        <v>1146</v>
      </c>
      <c r="I117" s="9" t="s">
        <v>466</v>
      </c>
      <c r="J117" s="9" t="s">
        <v>467</v>
      </c>
      <c r="K117" s="8" t="s">
        <v>84</v>
      </c>
      <c r="L117" s="9" t="s">
        <v>1147</v>
      </c>
      <c r="M117" s="8"/>
      <c r="N117" s="8"/>
      <c r="O117" s="8" t="s">
        <v>1148</v>
      </c>
      <c r="P117" s="8" t="s">
        <v>114</v>
      </c>
      <c r="Q117" s="8"/>
      <c r="R117" s="8"/>
      <c r="S117" s="8"/>
      <c r="T117" s="8"/>
      <c r="U117" s="8"/>
      <c r="V117" s="9" t="s">
        <v>396</v>
      </c>
      <c r="W117" s="8"/>
      <c r="X117" s="8"/>
      <c r="Y117" s="8"/>
      <c r="Z117" s="8"/>
      <c r="AA117" s="8"/>
      <c r="AB117" s="8"/>
      <c r="AC117" s="8"/>
      <c r="AD117" s="8"/>
      <c r="AE117" s="9" t="s">
        <v>1182</v>
      </c>
      <c r="AF117" s="8"/>
      <c r="AG117" s="8"/>
      <c r="AH117" s="8"/>
      <c r="AI117" s="8" t="n">
        <v>0</v>
      </c>
      <c r="AJ117" s="8" t="n">
        <v>0</v>
      </c>
      <c r="AK117" s="8" t="n">
        <v>0</v>
      </c>
      <c r="AL117" s="8" t="n">
        <v>0</v>
      </c>
      <c r="AM117" s="8" t="n">
        <v>0</v>
      </c>
      <c r="AN117" s="8" t="n">
        <v>0</v>
      </c>
      <c r="AO117" s="8" t="n">
        <v>0</v>
      </c>
      <c r="AP117" s="8" t="n">
        <v>0</v>
      </c>
      <c r="AQ117" s="8" t="n">
        <v>0</v>
      </c>
      <c r="AR117" s="8" t="n">
        <v>0</v>
      </c>
      <c r="AS117" s="8" t="n">
        <v>0</v>
      </c>
      <c r="AT117" s="8" t="n">
        <v>0</v>
      </c>
      <c r="AU117" s="8" t="n">
        <v>0</v>
      </c>
      <c r="AV117" s="8" t="n">
        <v>0</v>
      </c>
      <c r="AW117" s="8" t="n">
        <v>0</v>
      </c>
      <c r="AX117" s="8" t="n">
        <v>0</v>
      </c>
      <c r="AY117" s="8" t="n">
        <v>0</v>
      </c>
      <c r="AZ117" s="8" t="n">
        <v>0</v>
      </c>
      <c r="BA117" s="8" t="n">
        <v>0</v>
      </c>
      <c r="BB117" s="8" t="n">
        <v>0</v>
      </c>
      <c r="BC117" s="8" t="n">
        <v>92</v>
      </c>
      <c r="BD117" s="8" t="n">
        <v>0</v>
      </c>
      <c r="BE117" s="8" t="n">
        <v>7</v>
      </c>
      <c r="BF117" s="8" t="n">
        <v>0</v>
      </c>
      <c r="BG117" s="10" t="s">
        <v>1150</v>
      </c>
      <c r="BH117" s="9" t="s">
        <v>1183</v>
      </c>
    </row>
    <row r="118" customFormat="false" ht="15" hidden="false" customHeight="false" outlineLevel="0" collapsed="false">
      <c r="A118" s="8" t="s">
        <v>1184</v>
      </c>
      <c r="B118" s="8" t="s">
        <v>1145</v>
      </c>
      <c r="C118" s="8" t="n">
        <v>11</v>
      </c>
      <c r="D118" s="8" t="n">
        <v>1917</v>
      </c>
      <c r="E118" s="8" t="n">
        <v>1926</v>
      </c>
      <c r="F118" s="8" t="str">
        <f aca="false">IF(D118="","?",IF(D118&lt;1796,"pre-1796",IF(D118&lt;1912,"1796-1911",IF(D118&lt;1949,"1912-1948","1949+"))))</f>
        <v>1912-1948</v>
      </c>
      <c r="G118" s="8" t="str">
        <f aca="false">IF(D118="","?",IF(D118&lt;1912,"Qing",IF(D118&lt;1949,"Republic","PRC")))</f>
        <v>Republic</v>
      </c>
      <c r="H118" s="8" t="s">
        <v>1146</v>
      </c>
      <c r="I118" s="9" t="s">
        <v>466</v>
      </c>
      <c r="J118" s="9" t="s">
        <v>467</v>
      </c>
      <c r="K118" s="8" t="s">
        <v>84</v>
      </c>
      <c r="L118" s="9" t="s">
        <v>1147</v>
      </c>
      <c r="M118" s="8"/>
      <c r="N118" s="8"/>
      <c r="O118" s="8" t="s">
        <v>1148</v>
      </c>
      <c r="P118" s="8" t="s">
        <v>114</v>
      </c>
      <c r="Q118" s="8"/>
      <c r="R118" s="9" t="s">
        <v>1185</v>
      </c>
      <c r="S118" s="8"/>
      <c r="T118" s="8"/>
      <c r="U118" s="8"/>
      <c r="V118" s="8"/>
      <c r="W118" s="8"/>
      <c r="X118" s="8"/>
      <c r="Y118" s="8"/>
      <c r="Z118" s="8"/>
      <c r="AA118" s="8"/>
      <c r="AB118" s="8"/>
      <c r="AC118" s="8"/>
      <c r="AD118" s="8"/>
      <c r="AE118" s="9" t="s">
        <v>1154</v>
      </c>
      <c r="AF118" s="8"/>
      <c r="AG118" s="9" t="s">
        <v>1156</v>
      </c>
      <c r="AH118" s="8"/>
      <c r="AI118" s="8" t="n">
        <v>0</v>
      </c>
      <c r="AJ118" s="8" t="n">
        <v>0</v>
      </c>
      <c r="AK118" s="8" t="n">
        <v>0</v>
      </c>
      <c r="AL118" s="8" t="n">
        <v>0</v>
      </c>
      <c r="AM118" s="8" t="n">
        <v>0</v>
      </c>
      <c r="AN118" s="8" t="n">
        <v>0</v>
      </c>
      <c r="AO118" s="8" t="n">
        <v>0</v>
      </c>
      <c r="AP118" s="8" t="n">
        <v>0</v>
      </c>
      <c r="AQ118" s="8" t="n">
        <v>0</v>
      </c>
      <c r="AR118" s="8" t="n">
        <v>0</v>
      </c>
      <c r="AS118" s="8" t="n">
        <v>0</v>
      </c>
      <c r="AT118" s="8" t="n">
        <v>0</v>
      </c>
      <c r="AU118" s="8" t="n">
        <v>0</v>
      </c>
      <c r="AV118" s="8" t="n">
        <v>0</v>
      </c>
      <c r="AW118" s="8" t="n">
        <v>0</v>
      </c>
      <c r="AX118" s="8" t="n">
        <v>0</v>
      </c>
      <c r="AY118" s="8" t="n">
        <v>0</v>
      </c>
      <c r="AZ118" s="8" t="n">
        <v>0</v>
      </c>
      <c r="BA118" s="8" t="n">
        <v>0</v>
      </c>
      <c r="BB118" s="8" t="n">
        <v>0</v>
      </c>
      <c r="BC118" s="8" t="n">
        <v>57</v>
      </c>
      <c r="BD118" s="8" t="n">
        <v>0</v>
      </c>
      <c r="BE118" s="8" t="n">
        <v>0</v>
      </c>
      <c r="BF118" s="8" t="n">
        <v>0</v>
      </c>
      <c r="BG118" s="10" t="s">
        <v>1150</v>
      </c>
      <c r="BH118" s="9" t="s">
        <v>1186</v>
      </c>
    </row>
    <row r="119" customFormat="false" ht="15" hidden="false" customHeight="false" outlineLevel="0" collapsed="false">
      <c r="A119" s="8" t="s">
        <v>1187</v>
      </c>
      <c r="B119" s="8" t="s">
        <v>1145</v>
      </c>
      <c r="C119" s="8" t="n">
        <v>12</v>
      </c>
      <c r="D119" s="8" t="n">
        <v>1917</v>
      </c>
      <c r="E119" s="8" t="n">
        <v>1926</v>
      </c>
      <c r="F119" s="8" t="str">
        <f aca="false">IF(D119="","?",IF(D119&lt;1796,"pre-1796",IF(D119&lt;1912,"1796-1911",IF(D119&lt;1949,"1912-1948","1949+"))))</f>
        <v>1912-1948</v>
      </c>
      <c r="G119" s="8" t="str">
        <f aca="false">IF(D119="","?",IF(D119&lt;1912,"Qing",IF(D119&lt;1949,"Republic","PRC")))</f>
        <v>Republic</v>
      </c>
      <c r="H119" s="8" t="s">
        <v>1146</v>
      </c>
      <c r="I119" s="9" t="s">
        <v>466</v>
      </c>
      <c r="J119" s="9" t="s">
        <v>467</v>
      </c>
      <c r="K119" s="8" t="s">
        <v>84</v>
      </c>
      <c r="L119" s="9" t="s">
        <v>1147</v>
      </c>
      <c r="M119" s="8"/>
      <c r="N119" s="8"/>
      <c r="O119" s="8" t="s">
        <v>1148</v>
      </c>
      <c r="P119" s="8" t="s">
        <v>114</v>
      </c>
      <c r="Q119" s="8"/>
      <c r="R119" s="9" t="s">
        <v>1188</v>
      </c>
      <c r="S119" s="8"/>
      <c r="T119" s="8"/>
      <c r="U119" s="8"/>
      <c r="V119" s="8"/>
      <c r="W119" s="8"/>
      <c r="X119" s="8"/>
      <c r="Y119" s="8"/>
      <c r="Z119" s="8"/>
      <c r="AA119" s="8"/>
      <c r="AB119" s="8"/>
      <c r="AC119" s="8"/>
      <c r="AD119" s="8"/>
      <c r="AE119" s="9" t="s">
        <v>1154</v>
      </c>
      <c r="AF119" s="8"/>
      <c r="AG119" s="9" t="s">
        <v>1156</v>
      </c>
      <c r="AH119" s="8"/>
      <c r="AI119" s="8" t="n">
        <v>0</v>
      </c>
      <c r="AJ119" s="8" t="n">
        <v>0</v>
      </c>
      <c r="AK119" s="8" t="n">
        <v>0</v>
      </c>
      <c r="AL119" s="8" t="n">
        <v>0</v>
      </c>
      <c r="AM119" s="8" t="n">
        <v>0</v>
      </c>
      <c r="AN119" s="8" t="n">
        <v>0</v>
      </c>
      <c r="AO119" s="8" t="n">
        <v>0</v>
      </c>
      <c r="AP119" s="8" t="n">
        <v>0</v>
      </c>
      <c r="AQ119" s="8" t="n">
        <v>0</v>
      </c>
      <c r="AR119" s="8" t="n">
        <v>0</v>
      </c>
      <c r="AS119" s="8" t="n">
        <v>0</v>
      </c>
      <c r="AT119" s="8" t="n">
        <v>0</v>
      </c>
      <c r="AU119" s="8" t="n">
        <v>0</v>
      </c>
      <c r="AV119" s="8" t="n">
        <v>0</v>
      </c>
      <c r="AW119" s="8" t="n">
        <v>0</v>
      </c>
      <c r="AX119" s="8" t="n">
        <v>0</v>
      </c>
      <c r="AY119" s="8" t="n">
        <v>0</v>
      </c>
      <c r="AZ119" s="8" t="n">
        <v>0</v>
      </c>
      <c r="BA119" s="8" t="n">
        <v>0</v>
      </c>
      <c r="BB119" s="8" t="n">
        <v>0</v>
      </c>
      <c r="BC119" s="8" t="n">
        <v>45</v>
      </c>
      <c r="BD119" s="8" t="n">
        <v>0</v>
      </c>
      <c r="BE119" s="8" t="n">
        <v>0</v>
      </c>
      <c r="BF119" s="8" t="n">
        <v>0</v>
      </c>
      <c r="BG119" s="10" t="s">
        <v>1150</v>
      </c>
      <c r="BH119" s="9" t="s">
        <v>1189</v>
      </c>
    </row>
    <row r="120" customFormat="false" ht="15" hidden="false" customHeight="false" outlineLevel="0" collapsed="false">
      <c r="A120" s="8" t="s">
        <v>1190</v>
      </c>
      <c r="B120" s="8" t="s">
        <v>1145</v>
      </c>
      <c r="C120" s="8" t="n">
        <v>13</v>
      </c>
      <c r="D120" s="8" t="n">
        <v>1917</v>
      </c>
      <c r="E120" s="8" t="n">
        <v>1926</v>
      </c>
      <c r="F120" s="8" t="str">
        <f aca="false">IF(D120="","?",IF(D120&lt;1796,"pre-1796",IF(D120&lt;1912,"1796-1911",IF(D120&lt;1949,"1912-1948","1949+"))))</f>
        <v>1912-1948</v>
      </c>
      <c r="G120" s="8" t="str">
        <f aca="false">IF(D120="","?",IF(D120&lt;1912,"Qing",IF(D120&lt;1949,"Republic","PRC")))</f>
        <v>Republic</v>
      </c>
      <c r="H120" s="8" t="s">
        <v>1146</v>
      </c>
      <c r="I120" s="9" t="s">
        <v>466</v>
      </c>
      <c r="J120" s="9" t="s">
        <v>467</v>
      </c>
      <c r="K120" s="8" t="s">
        <v>84</v>
      </c>
      <c r="L120" s="9" t="s">
        <v>1147</v>
      </c>
      <c r="M120" s="8"/>
      <c r="N120" s="8"/>
      <c r="O120" s="8" t="s">
        <v>1148</v>
      </c>
      <c r="P120" s="8" t="s">
        <v>87</v>
      </c>
      <c r="Q120" s="8"/>
      <c r="R120" s="9" t="s">
        <v>1191</v>
      </c>
      <c r="S120" s="8"/>
      <c r="T120" s="8"/>
      <c r="U120" s="8"/>
      <c r="V120" s="8"/>
      <c r="W120" s="8"/>
      <c r="X120" s="8"/>
      <c r="Y120" s="8"/>
      <c r="Z120" s="8"/>
      <c r="AA120" s="8"/>
      <c r="AB120" s="8"/>
      <c r="AC120" s="8"/>
      <c r="AD120" s="8"/>
      <c r="AE120" s="9" t="s">
        <v>1192</v>
      </c>
      <c r="AF120" s="8"/>
      <c r="AG120" s="8"/>
      <c r="AH120" s="8"/>
      <c r="AI120" s="8" t="n">
        <v>0</v>
      </c>
      <c r="AJ120" s="8" t="n">
        <v>0</v>
      </c>
      <c r="AK120" s="8" t="n">
        <v>0</v>
      </c>
      <c r="AL120" s="8" t="n">
        <v>0</v>
      </c>
      <c r="AM120" s="8" t="n">
        <v>0</v>
      </c>
      <c r="AN120" s="8" t="n">
        <v>0</v>
      </c>
      <c r="AO120" s="8" t="n">
        <v>0</v>
      </c>
      <c r="AP120" s="8" t="n">
        <v>0</v>
      </c>
      <c r="AQ120" s="8" t="n">
        <v>0</v>
      </c>
      <c r="AR120" s="8" t="n">
        <v>0</v>
      </c>
      <c r="AS120" s="8" t="n">
        <v>0</v>
      </c>
      <c r="AT120" s="8" t="n">
        <v>0</v>
      </c>
      <c r="AU120" s="8" t="n">
        <v>0</v>
      </c>
      <c r="AV120" s="8" t="n">
        <v>0</v>
      </c>
      <c r="AW120" s="8" t="n">
        <v>0</v>
      </c>
      <c r="AX120" s="8" t="n">
        <v>0</v>
      </c>
      <c r="AY120" s="8" t="n">
        <v>0</v>
      </c>
      <c r="AZ120" s="8" t="n">
        <v>0</v>
      </c>
      <c r="BA120" s="8" t="n">
        <v>0</v>
      </c>
      <c r="BB120" s="8" t="n">
        <v>0</v>
      </c>
      <c r="BC120" s="8" t="n">
        <v>60</v>
      </c>
      <c r="BD120" s="8" t="n">
        <v>0</v>
      </c>
      <c r="BE120" s="8" t="n">
        <v>12</v>
      </c>
      <c r="BF120" s="8" t="n">
        <v>0</v>
      </c>
      <c r="BG120" s="10" t="s">
        <v>1150</v>
      </c>
      <c r="BH120" s="9" t="s">
        <v>1193</v>
      </c>
    </row>
    <row r="121" customFormat="false" ht="15" hidden="false" customHeight="false" outlineLevel="0" collapsed="false">
      <c r="A121" s="8" t="s">
        <v>1194</v>
      </c>
      <c r="B121" s="8" t="s">
        <v>1145</v>
      </c>
      <c r="C121" s="8" t="n">
        <v>14</v>
      </c>
      <c r="D121" s="8" t="n">
        <v>1917</v>
      </c>
      <c r="E121" s="8" t="n">
        <v>1926</v>
      </c>
      <c r="F121" s="8" t="str">
        <f aca="false">IF(D121="","?",IF(D121&lt;1796,"pre-1796",IF(D121&lt;1912,"1796-1911",IF(D121&lt;1949,"1912-1948","1949+"))))</f>
        <v>1912-1948</v>
      </c>
      <c r="G121" s="8" t="str">
        <f aca="false">IF(D121="","?",IF(D121&lt;1912,"Qing",IF(D121&lt;1949,"Republic","PRC")))</f>
        <v>Republic</v>
      </c>
      <c r="H121" s="8" t="s">
        <v>1146</v>
      </c>
      <c r="I121" s="9" t="s">
        <v>466</v>
      </c>
      <c r="J121" s="9" t="s">
        <v>467</v>
      </c>
      <c r="K121" s="8" t="s">
        <v>84</v>
      </c>
      <c r="L121" s="9" t="s">
        <v>1147</v>
      </c>
      <c r="M121" s="8"/>
      <c r="N121" s="8"/>
      <c r="O121" s="8" t="s">
        <v>1148</v>
      </c>
      <c r="P121" s="8" t="s">
        <v>114</v>
      </c>
      <c r="Q121" s="8"/>
      <c r="R121" s="9" t="s">
        <v>1195</v>
      </c>
      <c r="S121" s="8"/>
      <c r="T121" s="8"/>
      <c r="U121" s="8"/>
      <c r="V121" s="8"/>
      <c r="W121" s="8"/>
      <c r="X121" s="8"/>
      <c r="Y121" s="8"/>
      <c r="Z121" s="8"/>
      <c r="AA121" s="8"/>
      <c r="AB121" s="8"/>
      <c r="AC121" s="8"/>
      <c r="AD121" s="8"/>
      <c r="AE121" s="9" t="s">
        <v>1196</v>
      </c>
      <c r="AF121" s="8"/>
      <c r="AG121" s="8"/>
      <c r="AH121" s="8"/>
      <c r="AI121" s="8" t="n">
        <v>0</v>
      </c>
      <c r="AJ121" s="8" t="n">
        <v>0</v>
      </c>
      <c r="AK121" s="8" t="n">
        <v>0</v>
      </c>
      <c r="AL121" s="8" t="n">
        <v>0</v>
      </c>
      <c r="AM121" s="8" t="n">
        <v>0</v>
      </c>
      <c r="AN121" s="8" t="n">
        <v>0</v>
      </c>
      <c r="AO121" s="8" t="n">
        <v>0</v>
      </c>
      <c r="AP121" s="8" t="n">
        <v>0</v>
      </c>
      <c r="AQ121" s="8" t="n">
        <v>0</v>
      </c>
      <c r="AR121" s="8" t="n">
        <v>0</v>
      </c>
      <c r="AS121" s="8" t="n">
        <v>0</v>
      </c>
      <c r="AT121" s="8" t="n">
        <v>0</v>
      </c>
      <c r="AU121" s="8" t="n">
        <v>0</v>
      </c>
      <c r="AV121" s="8" t="n">
        <v>0</v>
      </c>
      <c r="AW121" s="8" t="n">
        <v>0</v>
      </c>
      <c r="AX121" s="8" t="n">
        <v>0</v>
      </c>
      <c r="AY121" s="8" t="n">
        <v>0</v>
      </c>
      <c r="AZ121" s="8" t="n">
        <v>0</v>
      </c>
      <c r="BA121" s="8" t="n">
        <v>0</v>
      </c>
      <c r="BB121" s="8" t="n">
        <v>0</v>
      </c>
      <c r="BC121" s="8" t="n">
        <v>57</v>
      </c>
      <c r="BD121" s="8" t="n">
        <v>0</v>
      </c>
      <c r="BE121" s="8" t="n">
        <v>0</v>
      </c>
      <c r="BF121" s="8" t="n">
        <v>0</v>
      </c>
      <c r="BG121" s="10" t="s">
        <v>1150</v>
      </c>
      <c r="BH121" s="9" t="s">
        <v>1197</v>
      </c>
    </row>
    <row r="122" customFormat="false" ht="15" hidden="false" customHeight="false" outlineLevel="0" collapsed="false">
      <c r="A122" s="8" t="s">
        <v>1198</v>
      </c>
      <c r="B122" s="8" t="s">
        <v>1145</v>
      </c>
      <c r="C122" s="8" t="n">
        <v>15</v>
      </c>
      <c r="D122" s="8" t="n">
        <v>1917</v>
      </c>
      <c r="E122" s="8" t="n">
        <v>1926</v>
      </c>
      <c r="F122" s="8" t="str">
        <f aca="false">IF(D122="","?",IF(D122&lt;1796,"pre-1796",IF(D122&lt;1912,"1796-1911",IF(D122&lt;1949,"1912-1948","1949+"))))</f>
        <v>1912-1948</v>
      </c>
      <c r="G122" s="8" t="str">
        <f aca="false">IF(D122="","?",IF(D122&lt;1912,"Qing",IF(D122&lt;1949,"Republic","PRC")))</f>
        <v>Republic</v>
      </c>
      <c r="H122" s="8" t="s">
        <v>1146</v>
      </c>
      <c r="I122" s="9" t="s">
        <v>466</v>
      </c>
      <c r="J122" s="9" t="s">
        <v>467</v>
      </c>
      <c r="K122" s="8" t="s">
        <v>84</v>
      </c>
      <c r="L122" s="9" t="s">
        <v>1147</v>
      </c>
      <c r="M122" s="8"/>
      <c r="N122" s="8"/>
      <c r="O122" s="8" t="s">
        <v>1148</v>
      </c>
      <c r="P122" s="8" t="s">
        <v>114</v>
      </c>
      <c r="Q122" s="8"/>
      <c r="R122" s="9" t="s">
        <v>1199</v>
      </c>
      <c r="S122" s="8"/>
      <c r="T122" s="8"/>
      <c r="U122" s="8"/>
      <c r="V122" s="8"/>
      <c r="W122" s="8"/>
      <c r="X122" s="8"/>
      <c r="Y122" s="8"/>
      <c r="Z122" s="8"/>
      <c r="AA122" s="8"/>
      <c r="AB122" s="8"/>
      <c r="AC122" s="8"/>
      <c r="AD122" s="8"/>
      <c r="AE122" s="8"/>
      <c r="AF122" s="8"/>
      <c r="AG122" s="9" t="s">
        <v>1156</v>
      </c>
      <c r="AH122" s="8"/>
      <c r="AI122" s="8" t="n">
        <v>0</v>
      </c>
      <c r="AJ122" s="8" t="n">
        <v>0</v>
      </c>
      <c r="AK122" s="8" t="n">
        <v>0</v>
      </c>
      <c r="AL122" s="8" t="n">
        <v>0</v>
      </c>
      <c r="AM122" s="8" t="n">
        <v>0</v>
      </c>
      <c r="AN122" s="8" t="n">
        <v>0</v>
      </c>
      <c r="AO122" s="8" t="n">
        <v>0</v>
      </c>
      <c r="AP122" s="8" t="n">
        <v>0</v>
      </c>
      <c r="AQ122" s="8" t="n">
        <v>0</v>
      </c>
      <c r="AR122" s="8" t="n">
        <v>0</v>
      </c>
      <c r="AS122" s="8" t="n">
        <v>0</v>
      </c>
      <c r="AT122" s="8" t="n">
        <v>0</v>
      </c>
      <c r="AU122" s="8" t="n">
        <v>0</v>
      </c>
      <c r="AV122" s="8" t="n">
        <v>0</v>
      </c>
      <c r="AW122" s="8" t="n">
        <v>0</v>
      </c>
      <c r="AX122" s="8" t="n">
        <v>0</v>
      </c>
      <c r="AY122" s="8" t="n">
        <v>0</v>
      </c>
      <c r="AZ122" s="8" t="n">
        <v>0</v>
      </c>
      <c r="BA122" s="8" t="n">
        <v>0</v>
      </c>
      <c r="BB122" s="8" t="n">
        <v>0</v>
      </c>
      <c r="BC122" s="8" t="n">
        <v>51</v>
      </c>
      <c r="BD122" s="8" t="n">
        <v>0</v>
      </c>
      <c r="BE122" s="8" t="n">
        <v>0</v>
      </c>
      <c r="BF122" s="8" t="n">
        <v>0</v>
      </c>
      <c r="BG122" s="10" t="s">
        <v>1150</v>
      </c>
      <c r="BH122" s="9" t="s">
        <v>1200</v>
      </c>
    </row>
    <row r="123" customFormat="false" ht="15" hidden="false" customHeight="false" outlineLevel="0" collapsed="false">
      <c r="A123" s="8" t="s">
        <v>1201</v>
      </c>
      <c r="B123" s="8" t="s">
        <v>1145</v>
      </c>
      <c r="C123" s="8" t="n">
        <v>16</v>
      </c>
      <c r="D123" s="8" t="n">
        <v>1917</v>
      </c>
      <c r="E123" s="8" t="n">
        <v>1926</v>
      </c>
      <c r="F123" s="8" t="str">
        <f aca="false">IF(D123="","?",IF(D123&lt;1796,"pre-1796",IF(D123&lt;1912,"1796-1911",IF(D123&lt;1949,"1912-1948","1949+"))))</f>
        <v>1912-1948</v>
      </c>
      <c r="G123" s="8" t="str">
        <f aca="false">IF(D123="","?",IF(D123&lt;1912,"Qing",IF(D123&lt;1949,"Republic","PRC")))</f>
        <v>Republic</v>
      </c>
      <c r="H123" s="8" t="s">
        <v>1146</v>
      </c>
      <c r="I123" s="9" t="s">
        <v>466</v>
      </c>
      <c r="J123" s="9" t="s">
        <v>467</v>
      </c>
      <c r="K123" s="8" t="s">
        <v>84</v>
      </c>
      <c r="L123" s="9" t="s">
        <v>1147</v>
      </c>
      <c r="M123" s="8"/>
      <c r="N123" s="8"/>
      <c r="O123" s="8" t="s">
        <v>1148</v>
      </c>
      <c r="P123" s="8" t="s">
        <v>114</v>
      </c>
      <c r="Q123" s="8"/>
      <c r="R123" s="9" t="s">
        <v>1202</v>
      </c>
      <c r="S123" s="8"/>
      <c r="T123" s="8"/>
      <c r="U123" s="8"/>
      <c r="V123" s="8"/>
      <c r="W123" s="8"/>
      <c r="X123" s="8"/>
      <c r="Y123" s="8"/>
      <c r="Z123" s="8"/>
      <c r="AA123" s="8"/>
      <c r="AB123" s="8"/>
      <c r="AC123" s="8"/>
      <c r="AD123" s="8"/>
      <c r="AE123" s="8"/>
      <c r="AF123" s="9" t="s">
        <v>1203</v>
      </c>
      <c r="AG123" s="9" t="s">
        <v>1204</v>
      </c>
      <c r="AH123" s="8"/>
      <c r="AI123" s="8" t="n">
        <v>0</v>
      </c>
      <c r="AJ123" s="8" t="n">
        <v>0</v>
      </c>
      <c r="AK123" s="8" t="n">
        <v>0</v>
      </c>
      <c r="AL123" s="8" t="n">
        <v>0</v>
      </c>
      <c r="AM123" s="8" t="n">
        <v>0</v>
      </c>
      <c r="AN123" s="8" t="n">
        <v>0</v>
      </c>
      <c r="AO123" s="8" t="n">
        <v>0</v>
      </c>
      <c r="AP123" s="8" t="n">
        <v>0</v>
      </c>
      <c r="AQ123" s="8" t="n">
        <v>0</v>
      </c>
      <c r="AR123" s="8" t="n">
        <v>0</v>
      </c>
      <c r="AS123" s="8" t="n">
        <v>0</v>
      </c>
      <c r="AT123" s="8" t="n">
        <v>0</v>
      </c>
      <c r="AU123" s="8" t="n">
        <v>0</v>
      </c>
      <c r="AV123" s="8" t="n">
        <v>0</v>
      </c>
      <c r="AW123" s="8" t="n">
        <v>1</v>
      </c>
      <c r="AX123" s="8" t="n">
        <v>0</v>
      </c>
      <c r="AY123" s="8" t="n">
        <v>1</v>
      </c>
      <c r="AZ123" s="8" t="n">
        <v>0</v>
      </c>
      <c r="BA123" s="8" t="n">
        <v>0</v>
      </c>
      <c r="BB123" s="8" t="n">
        <v>0</v>
      </c>
      <c r="BC123" s="8" t="n">
        <v>57</v>
      </c>
      <c r="BD123" s="8" t="n">
        <v>0</v>
      </c>
      <c r="BE123" s="8" t="n">
        <v>0</v>
      </c>
      <c r="BF123" s="8" t="n">
        <v>0</v>
      </c>
      <c r="BG123" s="10" t="s">
        <v>1150</v>
      </c>
      <c r="BH123" s="9" t="s">
        <v>1205</v>
      </c>
    </row>
    <row r="124" customFormat="false" ht="15" hidden="false" customHeight="false" outlineLevel="0" collapsed="false">
      <c r="A124" s="8" t="s">
        <v>1206</v>
      </c>
      <c r="B124" s="8" t="s">
        <v>1145</v>
      </c>
      <c r="C124" s="8" t="n">
        <v>17</v>
      </c>
      <c r="D124" s="8" t="n">
        <v>1917</v>
      </c>
      <c r="E124" s="8" t="n">
        <v>1926</v>
      </c>
      <c r="F124" s="8" t="str">
        <f aca="false">IF(D124="","?",IF(D124&lt;1796,"pre-1796",IF(D124&lt;1912,"1796-1911",IF(D124&lt;1949,"1912-1948","1949+"))))</f>
        <v>1912-1948</v>
      </c>
      <c r="G124" s="8" t="str">
        <f aca="false">IF(D124="","?",IF(D124&lt;1912,"Qing",IF(D124&lt;1949,"Republic","PRC")))</f>
        <v>Republic</v>
      </c>
      <c r="H124" s="8" t="s">
        <v>1146</v>
      </c>
      <c r="I124" s="9" t="s">
        <v>466</v>
      </c>
      <c r="J124" s="9" t="s">
        <v>467</v>
      </c>
      <c r="K124" s="8" t="s">
        <v>84</v>
      </c>
      <c r="L124" s="9" t="s">
        <v>1147</v>
      </c>
      <c r="M124" s="8"/>
      <c r="N124" s="8"/>
      <c r="O124" s="8" t="s">
        <v>1148</v>
      </c>
      <c r="P124" s="8" t="s">
        <v>87</v>
      </c>
      <c r="Q124" s="8"/>
      <c r="R124" s="9" t="s">
        <v>1207</v>
      </c>
      <c r="S124" s="8"/>
      <c r="T124" s="8"/>
      <c r="U124" s="8"/>
      <c r="V124" s="8"/>
      <c r="W124" s="8"/>
      <c r="X124" s="8"/>
      <c r="Y124" s="8"/>
      <c r="Z124" s="8"/>
      <c r="AA124" s="8"/>
      <c r="AB124" s="8"/>
      <c r="AC124" s="8"/>
      <c r="AD124" s="8"/>
      <c r="AE124" s="9" t="s">
        <v>1208</v>
      </c>
      <c r="AF124" s="8"/>
      <c r="AG124" s="8"/>
      <c r="AH124" s="8"/>
      <c r="AI124" s="8" t="n">
        <v>0</v>
      </c>
      <c r="AJ124" s="8" t="n">
        <v>0</v>
      </c>
      <c r="AK124" s="8" t="n">
        <v>0</v>
      </c>
      <c r="AL124" s="8" t="n">
        <v>0</v>
      </c>
      <c r="AM124" s="8" t="n">
        <v>0</v>
      </c>
      <c r="AN124" s="8" t="n">
        <v>0</v>
      </c>
      <c r="AO124" s="8" t="n">
        <v>0</v>
      </c>
      <c r="AP124" s="8" t="n">
        <v>0</v>
      </c>
      <c r="AQ124" s="8" t="n">
        <v>0</v>
      </c>
      <c r="AR124" s="8" t="n">
        <v>0</v>
      </c>
      <c r="AS124" s="8" t="n">
        <v>0</v>
      </c>
      <c r="AT124" s="8" t="n">
        <v>0</v>
      </c>
      <c r="AU124" s="8" t="n">
        <v>0</v>
      </c>
      <c r="AV124" s="8" t="n">
        <v>0</v>
      </c>
      <c r="AW124" s="8" t="n">
        <v>0</v>
      </c>
      <c r="AX124" s="8" t="n">
        <v>0</v>
      </c>
      <c r="AY124" s="8" t="n">
        <v>0</v>
      </c>
      <c r="AZ124" s="8" t="n">
        <v>0</v>
      </c>
      <c r="BA124" s="8" t="n">
        <v>0</v>
      </c>
      <c r="BB124" s="8" t="n">
        <v>0</v>
      </c>
      <c r="BC124" s="8" t="n">
        <v>75</v>
      </c>
      <c r="BD124" s="8" t="n">
        <v>0</v>
      </c>
      <c r="BE124" s="8" t="n">
        <v>0</v>
      </c>
      <c r="BF124" s="8" t="n">
        <v>0</v>
      </c>
      <c r="BG124" s="10" t="s">
        <v>1150</v>
      </c>
      <c r="BH124" s="9" t="s">
        <v>1209</v>
      </c>
    </row>
    <row r="125" customFormat="false" ht="15" hidden="false" customHeight="false" outlineLevel="0" collapsed="false">
      <c r="A125" s="8" t="s">
        <v>1210</v>
      </c>
      <c r="B125" s="8" t="s">
        <v>1145</v>
      </c>
      <c r="C125" s="8" t="n">
        <v>18</v>
      </c>
      <c r="D125" s="8" t="n">
        <v>1917</v>
      </c>
      <c r="E125" s="8" t="n">
        <v>1926</v>
      </c>
      <c r="F125" s="8" t="str">
        <f aca="false">IF(D125="","?",IF(D125&lt;1796,"pre-1796",IF(D125&lt;1912,"1796-1911",IF(D125&lt;1949,"1912-1948","1949+"))))</f>
        <v>1912-1948</v>
      </c>
      <c r="G125" s="8" t="str">
        <f aca="false">IF(D125="","?",IF(D125&lt;1912,"Qing",IF(D125&lt;1949,"Republic","PRC")))</f>
        <v>Republic</v>
      </c>
      <c r="H125" s="8" t="s">
        <v>1146</v>
      </c>
      <c r="I125" s="9" t="s">
        <v>466</v>
      </c>
      <c r="J125" s="9" t="s">
        <v>467</v>
      </c>
      <c r="K125" s="8" t="s">
        <v>84</v>
      </c>
      <c r="L125" s="9" t="s">
        <v>1147</v>
      </c>
      <c r="M125" s="8"/>
      <c r="N125" s="8"/>
      <c r="O125" s="8" t="s">
        <v>1148</v>
      </c>
      <c r="P125" s="8" t="s">
        <v>114</v>
      </c>
      <c r="Q125" s="8"/>
      <c r="R125" s="9" t="s">
        <v>1211</v>
      </c>
      <c r="S125" s="8"/>
      <c r="T125" s="8"/>
      <c r="U125" s="8"/>
      <c r="V125" s="8"/>
      <c r="W125" s="8"/>
      <c r="X125" s="8"/>
      <c r="Y125" s="8"/>
      <c r="Z125" s="8"/>
      <c r="AA125" s="8"/>
      <c r="AB125" s="8"/>
      <c r="AC125" s="8"/>
      <c r="AD125" s="8"/>
      <c r="AE125" s="9" t="s">
        <v>1154</v>
      </c>
      <c r="AF125" s="9" t="s">
        <v>1155</v>
      </c>
      <c r="AG125" s="9" t="s">
        <v>1212</v>
      </c>
      <c r="AH125" s="8"/>
      <c r="AI125" s="8" t="n">
        <v>0</v>
      </c>
      <c r="AJ125" s="8" t="n">
        <v>0</v>
      </c>
      <c r="AK125" s="8" t="n">
        <v>0</v>
      </c>
      <c r="AL125" s="8" t="n">
        <v>0</v>
      </c>
      <c r="AM125" s="8" t="n">
        <v>0</v>
      </c>
      <c r="AN125" s="8" t="n">
        <v>0</v>
      </c>
      <c r="AO125" s="8" t="n">
        <v>0</v>
      </c>
      <c r="AP125" s="8" t="n">
        <v>0</v>
      </c>
      <c r="AQ125" s="8" t="n">
        <v>0</v>
      </c>
      <c r="AR125" s="8" t="n">
        <v>0</v>
      </c>
      <c r="AS125" s="8" t="n">
        <v>0</v>
      </c>
      <c r="AT125" s="8" t="n">
        <v>0</v>
      </c>
      <c r="AU125" s="8" t="n">
        <v>0</v>
      </c>
      <c r="AV125" s="8" t="n">
        <v>0</v>
      </c>
      <c r="AW125" s="8" t="n">
        <v>1</v>
      </c>
      <c r="AX125" s="8" t="n">
        <v>0</v>
      </c>
      <c r="AY125" s="8" t="n">
        <v>1</v>
      </c>
      <c r="AZ125" s="8" t="n">
        <v>0</v>
      </c>
      <c r="BA125" s="8" t="n">
        <v>0</v>
      </c>
      <c r="BB125" s="8" t="n">
        <v>0</v>
      </c>
      <c r="BC125" s="8" t="n">
        <v>70</v>
      </c>
      <c r="BD125" s="8" t="n">
        <v>0</v>
      </c>
      <c r="BE125" s="8" t="n">
        <v>0</v>
      </c>
      <c r="BF125" s="8" t="n">
        <v>0</v>
      </c>
      <c r="BG125" s="10" t="s">
        <v>1150</v>
      </c>
      <c r="BH125" s="9" t="s">
        <v>1213</v>
      </c>
    </row>
    <row r="126" customFormat="false" ht="15" hidden="false" customHeight="false" outlineLevel="0" collapsed="false">
      <c r="A126" s="8" t="s">
        <v>1214</v>
      </c>
      <c r="B126" s="8" t="s">
        <v>1145</v>
      </c>
      <c r="C126" s="8" t="n">
        <v>19</v>
      </c>
      <c r="D126" s="8" t="n">
        <v>1917</v>
      </c>
      <c r="E126" s="8" t="n">
        <v>1926</v>
      </c>
      <c r="F126" s="8" t="str">
        <f aca="false">IF(D126="","?",IF(D126&lt;1796,"pre-1796",IF(D126&lt;1912,"1796-1911",IF(D126&lt;1949,"1912-1948","1949+"))))</f>
        <v>1912-1948</v>
      </c>
      <c r="G126" s="8" t="str">
        <f aca="false">IF(D126="","?",IF(D126&lt;1912,"Qing",IF(D126&lt;1949,"Republic","PRC")))</f>
        <v>Republic</v>
      </c>
      <c r="H126" s="8" t="s">
        <v>1146</v>
      </c>
      <c r="I126" s="9" t="s">
        <v>466</v>
      </c>
      <c r="J126" s="9" t="s">
        <v>467</v>
      </c>
      <c r="K126" s="8" t="s">
        <v>84</v>
      </c>
      <c r="L126" s="9" t="s">
        <v>1147</v>
      </c>
      <c r="M126" s="8"/>
      <c r="N126" s="8"/>
      <c r="O126" s="8" t="s">
        <v>1148</v>
      </c>
      <c r="P126" s="8" t="s">
        <v>114</v>
      </c>
      <c r="Q126" s="8"/>
      <c r="R126" s="9" t="s">
        <v>1047</v>
      </c>
      <c r="S126" s="8"/>
      <c r="T126" s="8"/>
      <c r="U126" s="8"/>
      <c r="V126" s="8"/>
      <c r="W126" s="8"/>
      <c r="X126" s="8"/>
      <c r="Y126" s="8"/>
      <c r="Z126" s="8"/>
      <c r="AA126" s="8"/>
      <c r="AB126" s="8"/>
      <c r="AC126" s="8"/>
      <c r="AD126" s="8"/>
      <c r="AE126" s="9" t="s">
        <v>1154</v>
      </c>
      <c r="AF126" s="8"/>
      <c r="AG126" s="9" t="s">
        <v>1156</v>
      </c>
      <c r="AH126" s="8"/>
      <c r="AI126" s="8" t="n">
        <v>0</v>
      </c>
      <c r="AJ126" s="8" t="n">
        <v>0</v>
      </c>
      <c r="AK126" s="8" t="n">
        <v>0</v>
      </c>
      <c r="AL126" s="8" t="n">
        <v>0</v>
      </c>
      <c r="AM126" s="8" t="n">
        <v>0</v>
      </c>
      <c r="AN126" s="8" t="n">
        <v>0</v>
      </c>
      <c r="AO126" s="8" t="n">
        <v>0</v>
      </c>
      <c r="AP126" s="8" t="n">
        <v>0</v>
      </c>
      <c r="AQ126" s="8" t="n">
        <v>0</v>
      </c>
      <c r="AR126" s="8" t="n">
        <v>0</v>
      </c>
      <c r="AS126" s="8" t="n">
        <v>0</v>
      </c>
      <c r="AT126" s="8" t="n">
        <v>0</v>
      </c>
      <c r="AU126" s="8" t="n">
        <v>0</v>
      </c>
      <c r="AV126" s="8" t="n">
        <v>0</v>
      </c>
      <c r="AW126" s="8" t="n">
        <v>0</v>
      </c>
      <c r="AX126" s="8" t="n">
        <v>0</v>
      </c>
      <c r="AY126" s="8" t="n">
        <v>0</v>
      </c>
      <c r="AZ126" s="8" t="n">
        <v>0</v>
      </c>
      <c r="BA126" s="8" t="n">
        <v>0</v>
      </c>
      <c r="BB126" s="8" t="n">
        <v>0</v>
      </c>
      <c r="BC126" s="8" t="n">
        <v>39</v>
      </c>
      <c r="BD126" s="8" t="n">
        <v>0</v>
      </c>
      <c r="BE126" s="8" t="n">
        <v>5</v>
      </c>
      <c r="BF126" s="8" t="n">
        <v>0</v>
      </c>
      <c r="BG126" s="10" t="s">
        <v>1150</v>
      </c>
      <c r="BH126" s="9" t="s">
        <v>1215</v>
      </c>
    </row>
    <row r="127" customFormat="false" ht="15" hidden="false" customHeight="false" outlineLevel="0" collapsed="false">
      <c r="A127" s="8" t="s">
        <v>1216</v>
      </c>
      <c r="B127" s="8" t="s">
        <v>1145</v>
      </c>
      <c r="C127" s="8" t="n">
        <v>20</v>
      </c>
      <c r="D127" s="8" t="n">
        <v>1917</v>
      </c>
      <c r="E127" s="8" t="n">
        <v>1926</v>
      </c>
      <c r="F127" s="8" t="str">
        <f aca="false">IF(D127="","?",IF(D127&lt;1796,"pre-1796",IF(D127&lt;1912,"1796-1911",IF(D127&lt;1949,"1912-1948","1949+"))))</f>
        <v>1912-1948</v>
      </c>
      <c r="G127" s="8" t="str">
        <f aca="false">IF(D127="","?",IF(D127&lt;1912,"Qing",IF(D127&lt;1949,"Republic","PRC")))</f>
        <v>Republic</v>
      </c>
      <c r="H127" s="8" t="s">
        <v>1146</v>
      </c>
      <c r="I127" s="9" t="s">
        <v>466</v>
      </c>
      <c r="J127" s="9" t="s">
        <v>467</v>
      </c>
      <c r="K127" s="8" t="s">
        <v>84</v>
      </c>
      <c r="L127" s="9" t="s">
        <v>1147</v>
      </c>
      <c r="M127" s="8"/>
      <c r="N127" s="8"/>
      <c r="O127" s="8" t="s">
        <v>1148</v>
      </c>
      <c r="P127" s="8" t="s">
        <v>114</v>
      </c>
      <c r="Q127" s="8"/>
      <c r="R127" s="9" t="s">
        <v>1217</v>
      </c>
      <c r="S127" s="8"/>
      <c r="T127" s="8"/>
      <c r="U127" s="8"/>
      <c r="V127" s="8"/>
      <c r="W127" s="8"/>
      <c r="X127" s="8"/>
      <c r="Y127" s="8"/>
      <c r="Z127" s="8"/>
      <c r="AA127" s="8"/>
      <c r="AB127" s="8"/>
      <c r="AC127" s="8"/>
      <c r="AD127" s="8"/>
      <c r="AE127" s="9" t="s">
        <v>1164</v>
      </c>
      <c r="AF127" s="8"/>
      <c r="AG127" s="8"/>
      <c r="AH127" s="8"/>
      <c r="AI127" s="8" t="n">
        <v>0</v>
      </c>
      <c r="AJ127" s="8" t="n">
        <v>0</v>
      </c>
      <c r="AK127" s="8" t="n">
        <v>0</v>
      </c>
      <c r="AL127" s="8" t="n">
        <v>0</v>
      </c>
      <c r="AM127" s="8" t="n">
        <v>0</v>
      </c>
      <c r="AN127" s="8" t="n">
        <v>0</v>
      </c>
      <c r="AO127" s="8" t="n">
        <v>0</v>
      </c>
      <c r="AP127" s="8" t="n">
        <v>0</v>
      </c>
      <c r="AQ127" s="8" t="n">
        <v>0</v>
      </c>
      <c r="AR127" s="8" t="n">
        <v>0</v>
      </c>
      <c r="AS127" s="8" t="n">
        <v>0</v>
      </c>
      <c r="AT127" s="8" t="n">
        <v>0</v>
      </c>
      <c r="AU127" s="8" t="n">
        <v>0</v>
      </c>
      <c r="AV127" s="8" t="n">
        <v>0</v>
      </c>
      <c r="AW127" s="8" t="n">
        <v>0</v>
      </c>
      <c r="AX127" s="8" t="n">
        <v>0</v>
      </c>
      <c r="AY127" s="8" t="n">
        <v>0</v>
      </c>
      <c r="AZ127" s="8" t="n">
        <v>0</v>
      </c>
      <c r="BA127" s="8" t="n">
        <v>0</v>
      </c>
      <c r="BB127" s="8" t="n">
        <v>0</v>
      </c>
      <c r="BC127" s="8" t="n">
        <v>86</v>
      </c>
      <c r="BD127" s="8" t="n">
        <v>0</v>
      </c>
      <c r="BE127" s="8" t="n">
        <v>8</v>
      </c>
      <c r="BF127" s="8" t="n">
        <v>0</v>
      </c>
      <c r="BG127" s="10" t="s">
        <v>1150</v>
      </c>
      <c r="BH127" s="9" t="s">
        <v>1218</v>
      </c>
    </row>
    <row r="128" customFormat="false" ht="15" hidden="false" customHeight="false" outlineLevel="0" collapsed="false">
      <c r="A128" s="8" t="s">
        <v>1219</v>
      </c>
      <c r="B128" s="8" t="s">
        <v>1145</v>
      </c>
      <c r="C128" s="8" t="n">
        <v>21</v>
      </c>
      <c r="D128" s="8" t="n">
        <v>1917</v>
      </c>
      <c r="E128" s="8" t="n">
        <v>1926</v>
      </c>
      <c r="F128" s="8" t="str">
        <f aca="false">IF(D128="","?",IF(D128&lt;1796,"pre-1796",IF(D128&lt;1912,"1796-1911",IF(D128&lt;1949,"1912-1948","1949+"))))</f>
        <v>1912-1948</v>
      </c>
      <c r="G128" s="8" t="str">
        <f aca="false">IF(D128="","?",IF(D128&lt;1912,"Qing",IF(D128&lt;1949,"Republic","PRC")))</f>
        <v>Republic</v>
      </c>
      <c r="H128" s="8" t="s">
        <v>1146</v>
      </c>
      <c r="I128" s="9" t="s">
        <v>466</v>
      </c>
      <c r="J128" s="9" t="s">
        <v>467</v>
      </c>
      <c r="K128" s="8" t="s">
        <v>84</v>
      </c>
      <c r="L128" s="9" t="s">
        <v>1147</v>
      </c>
      <c r="M128" s="8"/>
      <c r="N128" s="8"/>
      <c r="O128" s="8" t="s">
        <v>1148</v>
      </c>
      <c r="P128" s="8" t="s">
        <v>114</v>
      </c>
      <c r="Q128" s="8"/>
      <c r="R128" s="9" t="s">
        <v>1220</v>
      </c>
      <c r="S128" s="8"/>
      <c r="T128" s="8"/>
      <c r="U128" s="8"/>
      <c r="V128" s="8"/>
      <c r="W128" s="8"/>
      <c r="X128" s="8"/>
      <c r="Y128" s="8"/>
      <c r="Z128" s="8"/>
      <c r="AA128" s="8"/>
      <c r="AB128" s="8"/>
      <c r="AC128" s="8"/>
      <c r="AD128" s="8"/>
      <c r="AE128" s="9" t="s">
        <v>1154</v>
      </c>
      <c r="AF128" s="8"/>
      <c r="AG128" s="9" t="s">
        <v>1156</v>
      </c>
      <c r="AH128" s="8"/>
      <c r="AI128" s="8" t="n">
        <v>0</v>
      </c>
      <c r="AJ128" s="8" t="n">
        <v>0</v>
      </c>
      <c r="AK128" s="8" t="n">
        <v>0</v>
      </c>
      <c r="AL128" s="8" t="n">
        <v>0</v>
      </c>
      <c r="AM128" s="8" t="n">
        <v>0</v>
      </c>
      <c r="AN128" s="8" t="n">
        <v>0</v>
      </c>
      <c r="AO128" s="8" t="n">
        <v>0</v>
      </c>
      <c r="AP128" s="8" t="n">
        <v>0</v>
      </c>
      <c r="AQ128" s="8" t="n">
        <v>0</v>
      </c>
      <c r="AR128" s="8" t="n">
        <v>0</v>
      </c>
      <c r="AS128" s="8" t="n">
        <v>0</v>
      </c>
      <c r="AT128" s="8" t="n">
        <v>0</v>
      </c>
      <c r="AU128" s="8" t="n">
        <v>0</v>
      </c>
      <c r="AV128" s="8" t="n">
        <v>0</v>
      </c>
      <c r="AW128" s="8" t="n">
        <v>0</v>
      </c>
      <c r="AX128" s="8" t="n">
        <v>0</v>
      </c>
      <c r="AY128" s="8" t="n">
        <v>0</v>
      </c>
      <c r="AZ128" s="8" t="n">
        <v>0</v>
      </c>
      <c r="BA128" s="8" t="n">
        <v>0</v>
      </c>
      <c r="BB128" s="8" t="n">
        <v>0</v>
      </c>
      <c r="BC128" s="8" t="n">
        <v>118</v>
      </c>
      <c r="BD128" s="8" t="n">
        <v>0</v>
      </c>
      <c r="BE128" s="8" t="n">
        <v>0</v>
      </c>
      <c r="BF128" s="8" t="n">
        <v>0</v>
      </c>
      <c r="BG128" s="10" t="s">
        <v>1150</v>
      </c>
      <c r="BH128" s="9" t="s">
        <v>1221</v>
      </c>
    </row>
    <row r="129" customFormat="false" ht="15" hidden="false" customHeight="false" outlineLevel="0" collapsed="false">
      <c r="A129" s="8" t="s">
        <v>1222</v>
      </c>
      <c r="B129" s="8" t="s">
        <v>1145</v>
      </c>
      <c r="C129" s="8" t="n">
        <v>22</v>
      </c>
      <c r="D129" s="8" t="n">
        <v>1917</v>
      </c>
      <c r="E129" s="8" t="n">
        <v>1926</v>
      </c>
      <c r="F129" s="8" t="str">
        <f aca="false">IF(D129="","?",IF(D129&lt;1796,"pre-1796",IF(D129&lt;1912,"1796-1911",IF(D129&lt;1949,"1912-1948","1949+"))))</f>
        <v>1912-1948</v>
      </c>
      <c r="G129" s="8" t="str">
        <f aca="false">IF(D129="","?",IF(D129&lt;1912,"Qing",IF(D129&lt;1949,"Republic","PRC")))</f>
        <v>Republic</v>
      </c>
      <c r="H129" s="8" t="s">
        <v>1146</v>
      </c>
      <c r="I129" s="9" t="s">
        <v>466</v>
      </c>
      <c r="J129" s="9" t="s">
        <v>467</v>
      </c>
      <c r="K129" s="8" t="s">
        <v>84</v>
      </c>
      <c r="L129" s="9" t="s">
        <v>1147</v>
      </c>
      <c r="M129" s="8"/>
      <c r="N129" s="8"/>
      <c r="O129" s="8" t="s">
        <v>1148</v>
      </c>
      <c r="P129" s="8" t="s">
        <v>114</v>
      </c>
      <c r="Q129" s="8"/>
      <c r="R129" s="9" t="s">
        <v>1223</v>
      </c>
      <c r="S129" s="8"/>
      <c r="T129" s="8"/>
      <c r="U129" s="8"/>
      <c r="V129" s="8"/>
      <c r="W129" s="8"/>
      <c r="X129" s="8"/>
      <c r="Y129" s="8"/>
      <c r="Z129" s="8"/>
      <c r="AA129" s="8"/>
      <c r="AB129" s="8"/>
      <c r="AC129" s="8"/>
      <c r="AD129" s="8"/>
      <c r="AE129" s="9" t="s">
        <v>1160</v>
      </c>
      <c r="AF129" s="8"/>
      <c r="AG129" s="8"/>
      <c r="AH129" s="8"/>
      <c r="AI129" s="8" t="n">
        <v>0</v>
      </c>
      <c r="AJ129" s="8" t="n">
        <v>0</v>
      </c>
      <c r="AK129" s="8" t="n">
        <v>0</v>
      </c>
      <c r="AL129" s="8" t="n">
        <v>0</v>
      </c>
      <c r="AM129" s="8" t="n">
        <v>0</v>
      </c>
      <c r="AN129" s="8" t="n">
        <v>0</v>
      </c>
      <c r="AO129" s="8" t="n">
        <v>0</v>
      </c>
      <c r="AP129" s="8" t="n">
        <v>0</v>
      </c>
      <c r="AQ129" s="8" t="n">
        <v>0</v>
      </c>
      <c r="AR129" s="8" t="n">
        <v>0</v>
      </c>
      <c r="AS129" s="8" t="n">
        <v>0</v>
      </c>
      <c r="AT129" s="8" t="n">
        <v>0</v>
      </c>
      <c r="AU129" s="8" t="n">
        <v>0</v>
      </c>
      <c r="AV129" s="8" t="n">
        <v>0</v>
      </c>
      <c r="AW129" s="8" t="n">
        <v>0</v>
      </c>
      <c r="AX129" s="8" t="n">
        <v>0</v>
      </c>
      <c r="AY129" s="8" t="n">
        <v>0</v>
      </c>
      <c r="AZ129" s="8" t="n">
        <v>0</v>
      </c>
      <c r="BA129" s="8" t="n">
        <v>0</v>
      </c>
      <c r="BB129" s="8" t="n">
        <v>0</v>
      </c>
      <c r="BC129" s="8" t="n">
        <v>40</v>
      </c>
      <c r="BD129" s="8" t="n">
        <v>0</v>
      </c>
      <c r="BE129" s="8" t="n">
        <v>1</v>
      </c>
      <c r="BF129" s="8" t="n">
        <v>0</v>
      </c>
      <c r="BG129" s="10" t="s">
        <v>1150</v>
      </c>
      <c r="BH129" s="9" t="s">
        <v>1224</v>
      </c>
    </row>
    <row r="130" customFormat="false" ht="15" hidden="false" customHeight="false" outlineLevel="0" collapsed="false">
      <c r="A130" s="8" t="s">
        <v>1225</v>
      </c>
      <c r="B130" s="8" t="s">
        <v>1145</v>
      </c>
      <c r="C130" s="8" t="n">
        <v>23</v>
      </c>
      <c r="D130" s="8" t="n">
        <v>1917</v>
      </c>
      <c r="E130" s="8" t="n">
        <v>1926</v>
      </c>
      <c r="F130" s="8" t="str">
        <f aca="false">IF(D130="","?",IF(D130&lt;1796,"pre-1796",IF(D130&lt;1912,"1796-1911",IF(D130&lt;1949,"1912-1948","1949+"))))</f>
        <v>1912-1948</v>
      </c>
      <c r="G130" s="8" t="str">
        <f aca="false">IF(D130="","?",IF(D130&lt;1912,"Qing",IF(D130&lt;1949,"Republic","PRC")))</f>
        <v>Republic</v>
      </c>
      <c r="H130" s="8" t="s">
        <v>1146</v>
      </c>
      <c r="I130" s="9" t="s">
        <v>466</v>
      </c>
      <c r="J130" s="9" t="s">
        <v>467</v>
      </c>
      <c r="K130" s="8" t="s">
        <v>84</v>
      </c>
      <c r="L130" s="9" t="s">
        <v>1147</v>
      </c>
      <c r="M130" s="8"/>
      <c r="N130" s="8"/>
      <c r="O130" s="8" t="s">
        <v>1148</v>
      </c>
      <c r="P130" s="8" t="s">
        <v>114</v>
      </c>
      <c r="Q130" s="8"/>
      <c r="R130" s="8"/>
      <c r="S130" s="8"/>
      <c r="T130" s="8"/>
      <c r="U130" s="8"/>
      <c r="V130" s="8"/>
      <c r="W130" s="8"/>
      <c r="X130" s="8"/>
      <c r="Y130" s="8"/>
      <c r="Z130" s="8"/>
      <c r="AA130" s="8"/>
      <c r="AB130" s="8"/>
      <c r="AC130" s="8"/>
      <c r="AD130" s="8"/>
      <c r="AE130" s="9" t="s">
        <v>1154</v>
      </c>
      <c r="AF130" s="9" t="s">
        <v>1226</v>
      </c>
      <c r="AG130" s="9" t="s">
        <v>1156</v>
      </c>
      <c r="AH130" s="9" t="s">
        <v>1227</v>
      </c>
      <c r="AI130" s="8" t="n">
        <v>0</v>
      </c>
      <c r="AJ130" s="8" t="n">
        <v>0</v>
      </c>
      <c r="AK130" s="8" t="n">
        <v>0</v>
      </c>
      <c r="AL130" s="8" t="n">
        <v>0</v>
      </c>
      <c r="AM130" s="8" t="n">
        <v>0</v>
      </c>
      <c r="AN130" s="8" t="n">
        <v>0</v>
      </c>
      <c r="AO130" s="8" t="n">
        <v>0</v>
      </c>
      <c r="AP130" s="8" t="n">
        <v>0</v>
      </c>
      <c r="AQ130" s="8" t="n">
        <v>0</v>
      </c>
      <c r="AR130" s="8" t="n">
        <v>0</v>
      </c>
      <c r="AS130" s="8" t="n">
        <v>0</v>
      </c>
      <c r="AT130" s="8" t="n">
        <v>0</v>
      </c>
      <c r="AU130" s="8" t="n">
        <v>0</v>
      </c>
      <c r="AV130" s="8" t="n">
        <v>0</v>
      </c>
      <c r="AW130" s="8" t="n">
        <v>1</v>
      </c>
      <c r="AX130" s="8" t="n">
        <v>0</v>
      </c>
      <c r="AY130" s="8" t="n">
        <v>1</v>
      </c>
      <c r="AZ130" s="8" t="n">
        <v>0</v>
      </c>
      <c r="BA130" s="8" t="n">
        <v>0</v>
      </c>
      <c r="BB130" s="8" t="n">
        <v>0</v>
      </c>
      <c r="BC130" s="8" t="n">
        <v>81</v>
      </c>
      <c r="BD130" s="8" t="n">
        <v>0</v>
      </c>
      <c r="BE130" s="8" t="n">
        <v>0</v>
      </c>
      <c r="BF130" s="8" t="n">
        <v>0</v>
      </c>
      <c r="BG130" s="10" t="s">
        <v>1150</v>
      </c>
      <c r="BH130" s="9" t="s">
        <v>1228</v>
      </c>
    </row>
    <row r="131" customFormat="false" ht="15" hidden="false" customHeight="false" outlineLevel="0" collapsed="false">
      <c r="A131" s="8" t="s">
        <v>1229</v>
      </c>
      <c r="B131" s="8" t="s">
        <v>1145</v>
      </c>
      <c r="C131" s="8" t="n">
        <v>24</v>
      </c>
      <c r="D131" s="8" t="n">
        <v>1917</v>
      </c>
      <c r="E131" s="8" t="n">
        <v>1926</v>
      </c>
      <c r="F131" s="8" t="str">
        <f aca="false">IF(D131="","?",IF(D131&lt;1796,"pre-1796",IF(D131&lt;1912,"1796-1911",IF(D131&lt;1949,"1912-1948","1949+"))))</f>
        <v>1912-1948</v>
      </c>
      <c r="G131" s="8" t="str">
        <f aca="false">IF(D131="","?",IF(D131&lt;1912,"Qing",IF(D131&lt;1949,"Republic","PRC")))</f>
        <v>Republic</v>
      </c>
      <c r="H131" s="8" t="s">
        <v>1146</v>
      </c>
      <c r="I131" s="9" t="s">
        <v>466</v>
      </c>
      <c r="J131" s="9" t="s">
        <v>467</v>
      </c>
      <c r="K131" s="8" t="s">
        <v>84</v>
      </c>
      <c r="L131" s="9" t="s">
        <v>1147</v>
      </c>
      <c r="M131" s="8"/>
      <c r="N131" s="8"/>
      <c r="O131" s="8" t="s">
        <v>1148</v>
      </c>
      <c r="P131" s="8" t="s">
        <v>114</v>
      </c>
      <c r="Q131" s="8"/>
      <c r="R131" s="9" t="s">
        <v>1191</v>
      </c>
      <c r="S131" s="8"/>
      <c r="T131" s="8"/>
      <c r="U131" s="8"/>
      <c r="V131" s="8"/>
      <c r="W131" s="8"/>
      <c r="X131" s="8"/>
      <c r="Y131" s="8"/>
      <c r="Z131" s="8"/>
      <c r="AA131" s="8"/>
      <c r="AB131" s="8"/>
      <c r="AC131" s="8"/>
      <c r="AD131" s="8"/>
      <c r="AE131" s="9" t="s">
        <v>1230</v>
      </c>
      <c r="AF131" s="8"/>
      <c r="AG131" s="8"/>
      <c r="AH131" s="8"/>
      <c r="AI131" s="8" t="n">
        <v>0</v>
      </c>
      <c r="AJ131" s="8" t="n">
        <v>0</v>
      </c>
      <c r="AK131" s="8" t="n">
        <v>0</v>
      </c>
      <c r="AL131" s="8" t="n">
        <v>0</v>
      </c>
      <c r="AM131" s="8" t="n">
        <v>0</v>
      </c>
      <c r="AN131" s="8" t="n">
        <v>0</v>
      </c>
      <c r="AO131" s="8" t="n">
        <v>0</v>
      </c>
      <c r="AP131" s="8" t="n">
        <v>0</v>
      </c>
      <c r="AQ131" s="8" t="n">
        <v>0</v>
      </c>
      <c r="AR131" s="8" t="n">
        <v>0</v>
      </c>
      <c r="AS131" s="8" t="n">
        <v>0</v>
      </c>
      <c r="AT131" s="8" t="n">
        <v>0</v>
      </c>
      <c r="AU131" s="8" t="n">
        <v>0</v>
      </c>
      <c r="AV131" s="8" t="n">
        <v>0</v>
      </c>
      <c r="AW131" s="8" t="n">
        <v>0</v>
      </c>
      <c r="AX131" s="8" t="n">
        <v>0</v>
      </c>
      <c r="AY131" s="8" t="n">
        <v>0</v>
      </c>
      <c r="AZ131" s="8" t="n">
        <v>0</v>
      </c>
      <c r="BA131" s="8" t="n">
        <v>0</v>
      </c>
      <c r="BB131" s="8" t="n">
        <v>0</v>
      </c>
      <c r="BC131" s="8" t="n">
        <v>39</v>
      </c>
      <c r="BD131" s="8" t="n">
        <v>0</v>
      </c>
      <c r="BE131" s="8" t="n">
        <v>0</v>
      </c>
      <c r="BF131" s="8" t="n">
        <v>0</v>
      </c>
      <c r="BG131" s="10" t="s">
        <v>1150</v>
      </c>
      <c r="BH131" s="9" t="s">
        <v>1231</v>
      </c>
    </row>
    <row r="132" customFormat="false" ht="15" hidden="false" customHeight="false" outlineLevel="0" collapsed="false">
      <c r="A132" s="8" t="s">
        <v>1232</v>
      </c>
      <c r="B132" s="8" t="s">
        <v>1145</v>
      </c>
      <c r="C132" s="8" t="n">
        <v>25</v>
      </c>
      <c r="D132" s="8" t="n">
        <v>1917</v>
      </c>
      <c r="E132" s="8" t="n">
        <v>1926</v>
      </c>
      <c r="F132" s="8" t="str">
        <f aca="false">IF(D132="","?",IF(D132&lt;1796,"pre-1796",IF(D132&lt;1912,"1796-1911",IF(D132&lt;1949,"1912-1948","1949+"))))</f>
        <v>1912-1948</v>
      </c>
      <c r="G132" s="8" t="str">
        <f aca="false">IF(D132="","?",IF(D132&lt;1912,"Qing",IF(D132&lt;1949,"Republic","PRC")))</f>
        <v>Republic</v>
      </c>
      <c r="H132" s="8" t="s">
        <v>1146</v>
      </c>
      <c r="I132" s="9" t="s">
        <v>466</v>
      </c>
      <c r="J132" s="9" t="s">
        <v>467</v>
      </c>
      <c r="K132" s="8" t="s">
        <v>84</v>
      </c>
      <c r="L132" s="9" t="s">
        <v>1147</v>
      </c>
      <c r="M132" s="8"/>
      <c r="N132" s="8"/>
      <c r="O132" s="8" t="s">
        <v>1148</v>
      </c>
      <c r="P132" s="8" t="s">
        <v>114</v>
      </c>
      <c r="Q132" s="8"/>
      <c r="R132" s="9" t="s">
        <v>1233</v>
      </c>
      <c r="S132" s="8"/>
      <c r="T132" s="8"/>
      <c r="U132" s="8"/>
      <c r="V132" s="8"/>
      <c r="W132" s="8"/>
      <c r="X132" s="8"/>
      <c r="Y132" s="8"/>
      <c r="Z132" s="8"/>
      <c r="AA132" s="8"/>
      <c r="AB132" s="8"/>
      <c r="AC132" s="8"/>
      <c r="AD132" s="8"/>
      <c r="AE132" s="9" t="s">
        <v>1234</v>
      </c>
      <c r="AF132" s="8"/>
      <c r="AG132" s="8"/>
      <c r="AH132" s="8"/>
      <c r="AI132" s="8" t="n">
        <v>0</v>
      </c>
      <c r="AJ132" s="8" t="n">
        <v>0</v>
      </c>
      <c r="AK132" s="8" t="n">
        <v>0</v>
      </c>
      <c r="AL132" s="8" t="n">
        <v>0</v>
      </c>
      <c r="AM132" s="8" t="n">
        <v>0</v>
      </c>
      <c r="AN132" s="8" t="n">
        <v>0</v>
      </c>
      <c r="AO132" s="8" t="n">
        <v>0</v>
      </c>
      <c r="AP132" s="8" t="n">
        <v>0</v>
      </c>
      <c r="AQ132" s="8" t="n">
        <v>0</v>
      </c>
      <c r="AR132" s="8" t="n">
        <v>0</v>
      </c>
      <c r="AS132" s="8" t="n">
        <v>0</v>
      </c>
      <c r="AT132" s="8" t="n">
        <v>0</v>
      </c>
      <c r="AU132" s="8" t="n">
        <v>0</v>
      </c>
      <c r="AV132" s="8" t="n">
        <v>0</v>
      </c>
      <c r="AW132" s="8" t="n">
        <v>0</v>
      </c>
      <c r="AX132" s="8" t="n">
        <v>0</v>
      </c>
      <c r="AY132" s="8" t="n">
        <v>0</v>
      </c>
      <c r="AZ132" s="8" t="n">
        <v>0</v>
      </c>
      <c r="BA132" s="8" t="n">
        <v>0</v>
      </c>
      <c r="BB132" s="8" t="n">
        <v>0</v>
      </c>
      <c r="BC132" s="8" t="n">
        <v>54</v>
      </c>
      <c r="BD132" s="8" t="n">
        <v>0</v>
      </c>
      <c r="BE132" s="8" t="n">
        <v>1</v>
      </c>
      <c r="BF132" s="8" t="n">
        <v>0</v>
      </c>
      <c r="BG132" s="10" t="s">
        <v>1150</v>
      </c>
      <c r="BH132" s="9" t="s">
        <v>1235</v>
      </c>
    </row>
    <row r="133" customFormat="false" ht="15" hidden="false" customHeight="false" outlineLevel="0" collapsed="false">
      <c r="A133" s="8" t="s">
        <v>1236</v>
      </c>
      <c r="B133" s="8" t="s">
        <v>1237</v>
      </c>
      <c r="C133" s="8" t="n">
        <v>1</v>
      </c>
      <c r="D133" s="8" t="n">
        <v>1923</v>
      </c>
      <c r="E133" s="8" t="n">
        <v>1930</v>
      </c>
      <c r="F133" s="8" t="str">
        <f aca="false">IF(D133="","?",IF(D133&lt;1796,"pre-1796",IF(D133&lt;1912,"1796-1911",IF(D133&lt;1949,"1912-1948","1949+"))))</f>
        <v>1912-1948</v>
      </c>
      <c r="G133" s="8" t="str">
        <f aca="false">IF(D133="","?",IF(D133&lt;1912,"Qing",IF(D133&lt;1949,"Republic","PRC")))</f>
        <v>Republic</v>
      </c>
      <c r="H133" s="8" t="s">
        <v>1238</v>
      </c>
      <c r="I133" s="9" t="s">
        <v>466</v>
      </c>
      <c r="J133" s="9" t="s">
        <v>467</v>
      </c>
      <c r="K133" s="8" t="s">
        <v>84</v>
      </c>
      <c r="L133" s="9" t="s">
        <v>1239</v>
      </c>
      <c r="M133" s="8"/>
      <c r="N133" s="8"/>
      <c r="O133" s="8" t="s">
        <v>1240</v>
      </c>
      <c r="P133" s="8" t="s">
        <v>114</v>
      </c>
      <c r="Q133" s="8"/>
      <c r="R133" s="9" t="s">
        <v>1241</v>
      </c>
      <c r="S133" s="8"/>
      <c r="T133" s="8"/>
      <c r="U133" s="8"/>
      <c r="V133" s="8"/>
      <c r="W133" s="8"/>
      <c r="X133" s="8"/>
      <c r="Y133" s="8"/>
      <c r="Z133" s="8"/>
      <c r="AA133" s="8"/>
      <c r="AB133" s="8"/>
      <c r="AC133" s="8"/>
      <c r="AD133" s="8"/>
      <c r="AE133" s="9" t="s">
        <v>1242</v>
      </c>
      <c r="AF133" s="8"/>
      <c r="AG133" s="8"/>
      <c r="AH133" s="8"/>
      <c r="AI133" s="8" t="n">
        <v>0</v>
      </c>
      <c r="AJ133" s="8" t="n">
        <v>0</v>
      </c>
      <c r="AK133" s="8" t="n">
        <v>0</v>
      </c>
      <c r="AL133" s="8" t="n">
        <v>0</v>
      </c>
      <c r="AM133" s="8" t="n">
        <v>0</v>
      </c>
      <c r="AN133" s="8" t="n">
        <v>0</v>
      </c>
      <c r="AO133" s="8" t="n">
        <v>0</v>
      </c>
      <c r="AP133" s="8" t="n">
        <v>0</v>
      </c>
      <c r="AQ133" s="8" t="n">
        <v>0</v>
      </c>
      <c r="AR133" s="8" t="n">
        <v>0</v>
      </c>
      <c r="AS133" s="8" t="n">
        <v>0</v>
      </c>
      <c r="AT133" s="8" t="n">
        <v>0</v>
      </c>
      <c r="AU133" s="8" t="n">
        <v>0</v>
      </c>
      <c r="AV133" s="8" t="n">
        <v>0</v>
      </c>
      <c r="AW133" s="8" t="n">
        <v>1</v>
      </c>
      <c r="AX133" s="8" t="n">
        <v>0</v>
      </c>
      <c r="AY133" s="8" t="n">
        <v>0</v>
      </c>
      <c r="AZ133" s="8" t="n">
        <v>0</v>
      </c>
      <c r="BA133" s="8" t="n">
        <v>0</v>
      </c>
      <c r="BB133" s="8" t="n">
        <v>0</v>
      </c>
      <c r="BC133" s="8" t="n">
        <v>126</v>
      </c>
      <c r="BD133" s="8" t="n">
        <v>0</v>
      </c>
      <c r="BE133" s="8" t="n">
        <v>9</v>
      </c>
      <c r="BF133" s="8" t="n">
        <v>0</v>
      </c>
      <c r="BG133" s="10" t="s">
        <v>1243</v>
      </c>
      <c r="BH133" s="9" t="s">
        <v>1244</v>
      </c>
    </row>
    <row r="134" customFormat="false" ht="15" hidden="false" customHeight="false" outlineLevel="0" collapsed="false">
      <c r="A134" s="8" t="s">
        <v>1245</v>
      </c>
      <c r="B134" s="8" t="s">
        <v>1237</v>
      </c>
      <c r="C134" s="8" t="n">
        <v>2</v>
      </c>
      <c r="D134" s="8" t="n">
        <v>1923</v>
      </c>
      <c r="E134" s="8" t="n">
        <v>1930</v>
      </c>
      <c r="F134" s="8" t="str">
        <f aca="false">IF(D134="","?",IF(D134&lt;1796,"pre-1796",IF(D134&lt;1912,"1796-1911",IF(D134&lt;1949,"1912-1948","1949+"))))</f>
        <v>1912-1948</v>
      </c>
      <c r="G134" s="8" t="str">
        <f aca="false">IF(D134="","?",IF(D134&lt;1912,"Qing",IF(D134&lt;1949,"Republic","PRC")))</f>
        <v>Republic</v>
      </c>
      <c r="H134" s="8" t="s">
        <v>1238</v>
      </c>
      <c r="I134" s="9" t="s">
        <v>466</v>
      </c>
      <c r="J134" s="9" t="s">
        <v>467</v>
      </c>
      <c r="K134" s="8" t="s">
        <v>84</v>
      </c>
      <c r="L134" s="9" t="s">
        <v>1239</v>
      </c>
      <c r="M134" s="8"/>
      <c r="N134" s="8"/>
      <c r="O134" s="8" t="s">
        <v>1240</v>
      </c>
      <c r="P134" s="8" t="s">
        <v>114</v>
      </c>
      <c r="Q134" s="8"/>
      <c r="R134" s="9" t="s">
        <v>1241</v>
      </c>
      <c r="S134" s="8"/>
      <c r="T134" s="8"/>
      <c r="U134" s="8"/>
      <c r="V134" s="8"/>
      <c r="W134" s="8"/>
      <c r="X134" s="8"/>
      <c r="Y134" s="8"/>
      <c r="Z134" s="8"/>
      <c r="AA134" s="8"/>
      <c r="AB134" s="8"/>
      <c r="AC134" s="8"/>
      <c r="AD134" s="8"/>
      <c r="AE134" s="9" t="s">
        <v>1242</v>
      </c>
      <c r="AF134" s="8"/>
      <c r="AG134" s="8"/>
      <c r="AH134" s="8"/>
      <c r="AI134" s="8" t="n">
        <v>0</v>
      </c>
      <c r="AJ134" s="8" t="n">
        <v>0</v>
      </c>
      <c r="AK134" s="8" t="n">
        <v>0</v>
      </c>
      <c r="AL134" s="8" t="n">
        <v>0</v>
      </c>
      <c r="AM134" s="8" t="n">
        <v>0</v>
      </c>
      <c r="AN134" s="8" t="n">
        <v>0</v>
      </c>
      <c r="AO134" s="8" t="n">
        <v>0</v>
      </c>
      <c r="AP134" s="8" t="n">
        <v>0</v>
      </c>
      <c r="AQ134" s="8" t="n">
        <v>0</v>
      </c>
      <c r="AR134" s="8" t="n">
        <v>0</v>
      </c>
      <c r="AS134" s="8" t="n">
        <v>1</v>
      </c>
      <c r="AT134" s="8" t="n">
        <v>0</v>
      </c>
      <c r="AU134" s="8" t="n">
        <v>0</v>
      </c>
      <c r="AV134" s="8" t="n">
        <v>0</v>
      </c>
      <c r="AW134" s="8" t="n">
        <v>0</v>
      </c>
      <c r="AX134" s="8" t="n">
        <v>0</v>
      </c>
      <c r="AY134" s="8" t="n">
        <v>0</v>
      </c>
      <c r="AZ134" s="8" t="n">
        <v>0</v>
      </c>
      <c r="BA134" s="8" t="n">
        <v>0</v>
      </c>
      <c r="BB134" s="8" t="n">
        <v>0</v>
      </c>
      <c r="BC134" s="8" t="n">
        <v>77</v>
      </c>
      <c r="BD134" s="8" t="n">
        <v>0</v>
      </c>
      <c r="BE134" s="8" t="n">
        <v>5</v>
      </c>
      <c r="BF134" s="8" t="n">
        <v>0</v>
      </c>
      <c r="BG134" s="10" t="s">
        <v>1243</v>
      </c>
      <c r="BH134" s="9" t="s">
        <v>1246</v>
      </c>
    </row>
    <row r="135" customFormat="false" ht="15" hidden="false" customHeight="false" outlineLevel="0" collapsed="false">
      <c r="A135" s="8" t="s">
        <v>1247</v>
      </c>
      <c r="B135" s="8" t="s">
        <v>1237</v>
      </c>
      <c r="C135" s="8" t="n">
        <v>3</v>
      </c>
      <c r="D135" s="8" t="n">
        <v>1923</v>
      </c>
      <c r="E135" s="8" t="n">
        <v>1930</v>
      </c>
      <c r="F135" s="8" t="str">
        <f aca="false">IF(D135="","?",IF(D135&lt;1796,"pre-1796",IF(D135&lt;1912,"1796-1911",IF(D135&lt;1949,"1912-1948","1949+"))))</f>
        <v>1912-1948</v>
      </c>
      <c r="G135" s="8" t="str">
        <f aca="false">IF(D135="","?",IF(D135&lt;1912,"Qing",IF(D135&lt;1949,"Republic","PRC")))</f>
        <v>Republic</v>
      </c>
      <c r="H135" s="8" t="s">
        <v>1238</v>
      </c>
      <c r="I135" s="9" t="s">
        <v>466</v>
      </c>
      <c r="J135" s="9" t="s">
        <v>467</v>
      </c>
      <c r="K135" s="8" t="s">
        <v>84</v>
      </c>
      <c r="L135" s="9" t="s">
        <v>1239</v>
      </c>
      <c r="M135" s="8"/>
      <c r="N135" s="8"/>
      <c r="O135" s="8" t="s">
        <v>1240</v>
      </c>
      <c r="P135" s="8" t="s">
        <v>114</v>
      </c>
      <c r="Q135" s="8"/>
      <c r="R135" s="8"/>
      <c r="S135" s="8"/>
      <c r="T135" s="8"/>
      <c r="U135" s="8"/>
      <c r="V135" s="8"/>
      <c r="W135" s="8"/>
      <c r="X135" s="8"/>
      <c r="Y135" s="8"/>
      <c r="Z135" s="8"/>
      <c r="AA135" s="8"/>
      <c r="AB135" s="8"/>
      <c r="AC135" s="8"/>
      <c r="AD135" s="8"/>
      <c r="AE135" s="9" t="s">
        <v>1242</v>
      </c>
      <c r="AF135" s="8"/>
      <c r="AG135" s="8"/>
      <c r="AH135" s="8"/>
      <c r="AI135" s="8" t="n">
        <v>0</v>
      </c>
      <c r="AJ135" s="8" t="n">
        <v>0</v>
      </c>
      <c r="AK135" s="8" t="n">
        <v>0</v>
      </c>
      <c r="AL135" s="8" t="n">
        <v>0</v>
      </c>
      <c r="AM135" s="8" t="n">
        <v>0</v>
      </c>
      <c r="AN135" s="8" t="n">
        <v>0</v>
      </c>
      <c r="AO135" s="8" t="n">
        <v>0</v>
      </c>
      <c r="AP135" s="8" t="n">
        <v>0</v>
      </c>
      <c r="AQ135" s="8" t="n">
        <v>0</v>
      </c>
      <c r="AR135" s="8" t="n">
        <v>0</v>
      </c>
      <c r="AS135" s="8" t="n">
        <v>0</v>
      </c>
      <c r="AT135" s="8" t="n">
        <v>0</v>
      </c>
      <c r="AU135" s="8" t="n">
        <v>0</v>
      </c>
      <c r="AV135" s="8" t="n">
        <v>0</v>
      </c>
      <c r="AW135" s="8" t="n">
        <v>1</v>
      </c>
      <c r="AX135" s="8" t="n">
        <v>0</v>
      </c>
      <c r="AY135" s="8" t="n">
        <v>0</v>
      </c>
      <c r="AZ135" s="8" t="n">
        <v>0</v>
      </c>
      <c r="BA135" s="8" t="n">
        <v>0</v>
      </c>
      <c r="BB135" s="8" t="n">
        <v>0</v>
      </c>
      <c r="BC135" s="8" t="n">
        <v>198</v>
      </c>
      <c r="BD135" s="8" t="n">
        <v>0</v>
      </c>
      <c r="BE135" s="8" t="n">
        <v>0</v>
      </c>
      <c r="BF135" s="8" t="n">
        <v>0</v>
      </c>
      <c r="BG135" s="10" t="s">
        <v>1243</v>
      </c>
      <c r="BH135" s="9" t="s">
        <v>1248</v>
      </c>
    </row>
    <row r="136" customFormat="false" ht="15" hidden="false" customHeight="false" outlineLevel="0" collapsed="false">
      <c r="A136" s="8" t="s">
        <v>1249</v>
      </c>
      <c r="B136" s="8" t="s">
        <v>1237</v>
      </c>
      <c r="C136" s="8" t="n">
        <v>4</v>
      </c>
      <c r="D136" s="8" t="n">
        <v>1923</v>
      </c>
      <c r="E136" s="8" t="n">
        <v>1930</v>
      </c>
      <c r="F136" s="8" t="str">
        <f aca="false">IF(D136="","?",IF(D136&lt;1796,"pre-1796",IF(D136&lt;1912,"1796-1911",IF(D136&lt;1949,"1912-1948","1949+"))))</f>
        <v>1912-1948</v>
      </c>
      <c r="G136" s="8" t="str">
        <f aca="false">IF(D136="","?",IF(D136&lt;1912,"Qing",IF(D136&lt;1949,"Republic","PRC")))</f>
        <v>Republic</v>
      </c>
      <c r="H136" s="8" t="s">
        <v>1238</v>
      </c>
      <c r="I136" s="9" t="s">
        <v>466</v>
      </c>
      <c r="J136" s="9" t="s">
        <v>467</v>
      </c>
      <c r="K136" s="8" t="s">
        <v>84</v>
      </c>
      <c r="L136" s="9" t="s">
        <v>1239</v>
      </c>
      <c r="M136" s="8"/>
      <c r="N136" s="8"/>
      <c r="O136" s="8" t="s">
        <v>1240</v>
      </c>
      <c r="P136" s="8" t="s">
        <v>114</v>
      </c>
      <c r="Q136" s="8"/>
      <c r="R136" s="8"/>
      <c r="S136" s="8"/>
      <c r="T136" s="8"/>
      <c r="U136" s="8"/>
      <c r="V136" s="8"/>
      <c r="W136" s="8"/>
      <c r="X136" s="8"/>
      <c r="Y136" s="8"/>
      <c r="Z136" s="8"/>
      <c r="AA136" s="8"/>
      <c r="AB136" s="8"/>
      <c r="AC136" s="8"/>
      <c r="AD136" s="8"/>
      <c r="AE136" s="9" t="s">
        <v>1242</v>
      </c>
      <c r="AF136" s="8"/>
      <c r="AG136" s="8"/>
      <c r="AH136" s="8"/>
      <c r="AI136" s="8" t="n">
        <v>0</v>
      </c>
      <c r="AJ136" s="8" t="n">
        <v>0</v>
      </c>
      <c r="AK136" s="8" t="n">
        <v>0</v>
      </c>
      <c r="AL136" s="8" t="n">
        <v>0</v>
      </c>
      <c r="AM136" s="8" t="n">
        <v>0</v>
      </c>
      <c r="AN136" s="8" t="n">
        <v>0</v>
      </c>
      <c r="AO136" s="8" t="n">
        <v>0</v>
      </c>
      <c r="AP136" s="8" t="n">
        <v>0</v>
      </c>
      <c r="AQ136" s="8" t="n">
        <v>0</v>
      </c>
      <c r="AR136" s="8" t="n">
        <v>0</v>
      </c>
      <c r="AS136" s="8" t="n">
        <v>0</v>
      </c>
      <c r="AT136" s="8" t="n">
        <v>0</v>
      </c>
      <c r="AU136" s="8" t="n">
        <v>0</v>
      </c>
      <c r="AV136" s="8" t="n">
        <v>0</v>
      </c>
      <c r="AW136" s="8" t="n">
        <v>0</v>
      </c>
      <c r="AX136" s="8" t="n">
        <v>0</v>
      </c>
      <c r="AY136" s="8" t="n">
        <v>0</v>
      </c>
      <c r="AZ136" s="8" t="n">
        <v>0</v>
      </c>
      <c r="BA136" s="8" t="n">
        <v>0</v>
      </c>
      <c r="BB136" s="8" t="n">
        <v>0</v>
      </c>
      <c r="BC136" s="8" t="n">
        <v>17</v>
      </c>
      <c r="BD136" s="8" t="n">
        <v>0</v>
      </c>
      <c r="BE136" s="8" t="n">
        <v>0</v>
      </c>
      <c r="BF136" s="8" t="n">
        <v>0</v>
      </c>
      <c r="BG136" s="10" t="s">
        <v>1243</v>
      </c>
      <c r="BH136" s="9" t="s">
        <v>1250</v>
      </c>
    </row>
    <row r="137" customFormat="false" ht="15" hidden="false" customHeight="false" outlineLevel="0" collapsed="false">
      <c r="A137" s="8" t="s">
        <v>1251</v>
      </c>
      <c r="B137" s="8" t="s">
        <v>1237</v>
      </c>
      <c r="C137" s="8" t="n">
        <v>5</v>
      </c>
      <c r="D137" s="8" t="n">
        <v>1923</v>
      </c>
      <c r="E137" s="8" t="n">
        <v>1930</v>
      </c>
      <c r="F137" s="8" t="str">
        <f aca="false">IF(D137="","?",IF(D137&lt;1796,"pre-1796",IF(D137&lt;1912,"1796-1911",IF(D137&lt;1949,"1912-1948","1949+"))))</f>
        <v>1912-1948</v>
      </c>
      <c r="G137" s="8" t="str">
        <f aca="false">IF(D137="","?",IF(D137&lt;1912,"Qing",IF(D137&lt;1949,"Republic","PRC")))</f>
        <v>Republic</v>
      </c>
      <c r="H137" s="8" t="s">
        <v>1238</v>
      </c>
      <c r="I137" s="9" t="s">
        <v>466</v>
      </c>
      <c r="J137" s="9" t="s">
        <v>467</v>
      </c>
      <c r="K137" s="8" t="s">
        <v>84</v>
      </c>
      <c r="L137" s="9" t="s">
        <v>1239</v>
      </c>
      <c r="M137" s="8"/>
      <c r="N137" s="8"/>
      <c r="O137" s="8" t="s">
        <v>1240</v>
      </c>
      <c r="P137" s="8" t="s">
        <v>114</v>
      </c>
      <c r="Q137" s="8"/>
      <c r="R137" s="9" t="s">
        <v>1252</v>
      </c>
      <c r="S137" s="8"/>
      <c r="T137" s="8"/>
      <c r="U137" s="8"/>
      <c r="V137" s="8"/>
      <c r="W137" s="8"/>
      <c r="X137" s="8"/>
      <c r="Y137" s="8"/>
      <c r="Z137" s="8"/>
      <c r="AA137" s="8"/>
      <c r="AB137" s="8"/>
      <c r="AC137" s="8"/>
      <c r="AD137" s="8"/>
      <c r="AE137" s="9" t="s">
        <v>1253</v>
      </c>
      <c r="AF137" s="8"/>
      <c r="AG137" s="8"/>
      <c r="AH137" s="8"/>
      <c r="AI137" s="8" t="n">
        <v>0</v>
      </c>
      <c r="AJ137" s="8" t="n">
        <v>0</v>
      </c>
      <c r="AK137" s="8" t="n">
        <v>0</v>
      </c>
      <c r="AL137" s="8" t="n">
        <v>0</v>
      </c>
      <c r="AM137" s="8" t="n">
        <v>0</v>
      </c>
      <c r="AN137" s="8" t="n">
        <v>0</v>
      </c>
      <c r="AO137" s="8" t="n">
        <v>0</v>
      </c>
      <c r="AP137" s="8" t="n">
        <v>0</v>
      </c>
      <c r="AQ137" s="8" t="n">
        <v>0</v>
      </c>
      <c r="AR137" s="8" t="n">
        <v>0</v>
      </c>
      <c r="AS137" s="8" t="n">
        <v>0</v>
      </c>
      <c r="AT137" s="8" t="n">
        <v>0</v>
      </c>
      <c r="AU137" s="8" t="n">
        <v>0</v>
      </c>
      <c r="AV137" s="8" t="n">
        <v>0</v>
      </c>
      <c r="AW137" s="8" t="n">
        <v>1</v>
      </c>
      <c r="AX137" s="8" t="n">
        <v>0</v>
      </c>
      <c r="AY137" s="8" t="n">
        <v>0</v>
      </c>
      <c r="AZ137" s="8" t="n">
        <v>0</v>
      </c>
      <c r="BA137" s="8" t="n">
        <v>0</v>
      </c>
      <c r="BB137" s="8" t="n">
        <v>0</v>
      </c>
      <c r="BC137" s="8" t="n">
        <v>116</v>
      </c>
      <c r="BD137" s="8" t="n">
        <v>0</v>
      </c>
      <c r="BE137" s="8" t="n">
        <v>0</v>
      </c>
      <c r="BF137" s="8" t="n">
        <v>0</v>
      </c>
      <c r="BG137" s="10" t="s">
        <v>1243</v>
      </c>
      <c r="BH137" s="9" t="s">
        <v>1254</v>
      </c>
    </row>
    <row r="138" customFormat="false" ht="15" hidden="false" customHeight="false" outlineLevel="0" collapsed="false">
      <c r="A138" s="8" t="s">
        <v>1255</v>
      </c>
      <c r="B138" s="8" t="s">
        <v>1237</v>
      </c>
      <c r="C138" s="8" t="n">
        <v>6</v>
      </c>
      <c r="D138" s="8" t="n">
        <v>1923</v>
      </c>
      <c r="E138" s="8" t="n">
        <v>1930</v>
      </c>
      <c r="F138" s="8" t="str">
        <f aca="false">IF(D138="","?",IF(D138&lt;1796,"pre-1796",IF(D138&lt;1912,"1796-1911",IF(D138&lt;1949,"1912-1948","1949+"))))</f>
        <v>1912-1948</v>
      </c>
      <c r="G138" s="8" t="str">
        <f aca="false">IF(D138="","?",IF(D138&lt;1912,"Qing",IF(D138&lt;1949,"Republic","PRC")))</f>
        <v>Republic</v>
      </c>
      <c r="H138" s="8" t="s">
        <v>1238</v>
      </c>
      <c r="I138" s="9" t="s">
        <v>466</v>
      </c>
      <c r="J138" s="9" t="s">
        <v>467</v>
      </c>
      <c r="K138" s="8" t="s">
        <v>84</v>
      </c>
      <c r="L138" s="9" t="s">
        <v>1239</v>
      </c>
      <c r="M138" s="8"/>
      <c r="N138" s="8"/>
      <c r="O138" s="8" t="s">
        <v>1240</v>
      </c>
      <c r="P138" s="8" t="s">
        <v>87</v>
      </c>
      <c r="Q138" s="8"/>
      <c r="R138" s="8"/>
      <c r="S138" s="8"/>
      <c r="T138" s="8"/>
      <c r="U138" s="8"/>
      <c r="V138" s="8"/>
      <c r="W138" s="8"/>
      <c r="X138" s="8"/>
      <c r="Y138" s="8"/>
      <c r="Z138" s="8"/>
      <c r="AA138" s="8"/>
      <c r="AB138" s="8"/>
      <c r="AC138" s="8"/>
      <c r="AD138" s="8"/>
      <c r="AE138" s="9" t="s">
        <v>1256</v>
      </c>
      <c r="AF138" s="8"/>
      <c r="AG138" s="8"/>
      <c r="AH138" s="8"/>
      <c r="AI138" s="8" t="n">
        <v>0</v>
      </c>
      <c r="AJ138" s="8" t="n">
        <v>0</v>
      </c>
      <c r="AK138" s="8" t="n">
        <v>0</v>
      </c>
      <c r="AL138" s="8" t="n">
        <v>0</v>
      </c>
      <c r="AM138" s="8" t="n">
        <v>0</v>
      </c>
      <c r="AN138" s="8" t="n">
        <v>0</v>
      </c>
      <c r="AO138" s="8" t="n">
        <v>0</v>
      </c>
      <c r="AP138" s="8" t="n">
        <v>0</v>
      </c>
      <c r="AQ138" s="8" t="n">
        <v>0</v>
      </c>
      <c r="AR138" s="8" t="n">
        <v>0</v>
      </c>
      <c r="AS138" s="8" t="n">
        <v>0</v>
      </c>
      <c r="AT138" s="8" t="n">
        <v>0</v>
      </c>
      <c r="AU138" s="8" t="n">
        <v>0</v>
      </c>
      <c r="AV138" s="8" t="n">
        <v>0</v>
      </c>
      <c r="AW138" s="8" t="n">
        <v>0</v>
      </c>
      <c r="AX138" s="8" t="n">
        <v>0</v>
      </c>
      <c r="AY138" s="8" t="n">
        <v>0</v>
      </c>
      <c r="AZ138" s="8" t="n">
        <v>0</v>
      </c>
      <c r="BA138" s="8" t="n">
        <v>0</v>
      </c>
      <c r="BB138" s="8" t="n">
        <v>0</v>
      </c>
      <c r="BC138" s="8" t="n">
        <v>43</v>
      </c>
      <c r="BD138" s="8" t="n">
        <v>0</v>
      </c>
      <c r="BE138" s="8" t="n">
        <v>5</v>
      </c>
      <c r="BF138" s="8" t="n">
        <v>0</v>
      </c>
      <c r="BG138" s="10" t="s">
        <v>1243</v>
      </c>
      <c r="BH138" s="9" t="s">
        <v>1257</v>
      </c>
    </row>
    <row r="139" customFormat="false" ht="15" hidden="false" customHeight="false" outlineLevel="0" collapsed="false">
      <c r="A139" s="8" t="s">
        <v>1258</v>
      </c>
      <c r="B139" s="8" t="s">
        <v>1237</v>
      </c>
      <c r="C139" s="8" t="n">
        <v>7</v>
      </c>
      <c r="D139" s="8" t="n">
        <v>1923</v>
      </c>
      <c r="E139" s="8" t="n">
        <v>1930</v>
      </c>
      <c r="F139" s="8" t="str">
        <f aca="false">IF(D139="","?",IF(D139&lt;1796,"pre-1796",IF(D139&lt;1912,"1796-1911",IF(D139&lt;1949,"1912-1948","1949+"))))</f>
        <v>1912-1948</v>
      </c>
      <c r="G139" s="8" t="str">
        <f aca="false">IF(D139="","?",IF(D139&lt;1912,"Qing",IF(D139&lt;1949,"Republic","PRC")))</f>
        <v>Republic</v>
      </c>
      <c r="H139" s="8" t="s">
        <v>1238</v>
      </c>
      <c r="I139" s="9" t="s">
        <v>466</v>
      </c>
      <c r="J139" s="9" t="s">
        <v>467</v>
      </c>
      <c r="K139" s="8" t="s">
        <v>84</v>
      </c>
      <c r="L139" s="9" t="s">
        <v>1239</v>
      </c>
      <c r="M139" s="8"/>
      <c r="N139" s="8"/>
      <c r="O139" s="8" t="s">
        <v>1240</v>
      </c>
      <c r="P139" s="8" t="s">
        <v>114</v>
      </c>
      <c r="Q139" s="8"/>
      <c r="R139" s="8"/>
      <c r="S139" s="8"/>
      <c r="T139" s="8"/>
      <c r="U139" s="8"/>
      <c r="V139" s="8"/>
      <c r="W139" s="8"/>
      <c r="X139" s="8"/>
      <c r="Y139" s="8"/>
      <c r="Z139" s="8"/>
      <c r="AA139" s="8"/>
      <c r="AB139" s="8"/>
      <c r="AC139" s="8"/>
      <c r="AD139" s="8"/>
      <c r="AE139" s="9" t="s">
        <v>1242</v>
      </c>
      <c r="AF139" s="8"/>
      <c r="AG139" s="8"/>
      <c r="AH139" s="8"/>
      <c r="AI139" s="8" t="n">
        <v>0</v>
      </c>
      <c r="AJ139" s="8" t="n">
        <v>0</v>
      </c>
      <c r="AK139" s="8" t="n">
        <v>0</v>
      </c>
      <c r="AL139" s="8" t="n">
        <v>0</v>
      </c>
      <c r="AM139" s="8" t="n">
        <v>0</v>
      </c>
      <c r="AN139" s="8" t="n">
        <v>0</v>
      </c>
      <c r="AO139" s="8" t="n">
        <v>0</v>
      </c>
      <c r="AP139" s="8" t="n">
        <v>0</v>
      </c>
      <c r="AQ139" s="8" t="n">
        <v>0</v>
      </c>
      <c r="AR139" s="8" t="n">
        <v>0</v>
      </c>
      <c r="AS139" s="8" t="n">
        <v>0</v>
      </c>
      <c r="AT139" s="8" t="n">
        <v>0</v>
      </c>
      <c r="AU139" s="8" t="n">
        <v>0</v>
      </c>
      <c r="AV139" s="8" t="n">
        <v>0</v>
      </c>
      <c r="AW139" s="8" t="n">
        <v>0</v>
      </c>
      <c r="AX139" s="8" t="n">
        <v>0</v>
      </c>
      <c r="AY139" s="8" t="n">
        <v>0</v>
      </c>
      <c r="AZ139" s="8" t="n">
        <v>0</v>
      </c>
      <c r="BA139" s="8" t="n">
        <v>0</v>
      </c>
      <c r="BB139" s="8" t="n">
        <v>0</v>
      </c>
      <c r="BC139" s="8" t="n">
        <v>75</v>
      </c>
      <c r="BD139" s="8" t="n">
        <v>0</v>
      </c>
      <c r="BE139" s="8" t="n">
        <v>6</v>
      </c>
      <c r="BF139" s="8" t="n">
        <v>0</v>
      </c>
      <c r="BG139" s="10" t="s">
        <v>1243</v>
      </c>
      <c r="BH139" s="9" t="s">
        <v>1259</v>
      </c>
    </row>
    <row r="140" customFormat="false" ht="15" hidden="false" customHeight="false" outlineLevel="0" collapsed="false">
      <c r="A140" s="8" t="s">
        <v>1260</v>
      </c>
      <c r="B140" s="8" t="s">
        <v>1237</v>
      </c>
      <c r="C140" s="8" t="n">
        <v>8</v>
      </c>
      <c r="D140" s="8" t="n">
        <v>1923</v>
      </c>
      <c r="E140" s="8" t="n">
        <v>1930</v>
      </c>
      <c r="F140" s="8" t="str">
        <f aca="false">IF(D140="","?",IF(D140&lt;1796,"pre-1796",IF(D140&lt;1912,"1796-1911",IF(D140&lt;1949,"1912-1948","1949+"))))</f>
        <v>1912-1948</v>
      </c>
      <c r="G140" s="8" t="str">
        <f aca="false">IF(D140="","?",IF(D140&lt;1912,"Qing",IF(D140&lt;1949,"Republic","PRC")))</f>
        <v>Republic</v>
      </c>
      <c r="H140" s="8" t="s">
        <v>1238</v>
      </c>
      <c r="I140" s="9" t="s">
        <v>466</v>
      </c>
      <c r="J140" s="9" t="s">
        <v>467</v>
      </c>
      <c r="K140" s="8" t="s">
        <v>84</v>
      </c>
      <c r="L140" s="9" t="s">
        <v>1239</v>
      </c>
      <c r="M140" s="8"/>
      <c r="N140" s="8"/>
      <c r="O140" s="8" t="s">
        <v>1240</v>
      </c>
      <c r="P140" s="8" t="s">
        <v>114</v>
      </c>
      <c r="Q140" s="8"/>
      <c r="R140" s="8"/>
      <c r="S140" s="8"/>
      <c r="T140" s="8"/>
      <c r="U140" s="8"/>
      <c r="V140" s="8"/>
      <c r="W140" s="8"/>
      <c r="X140" s="8"/>
      <c r="Y140" s="8"/>
      <c r="Z140" s="8"/>
      <c r="AA140" s="8"/>
      <c r="AB140" s="8"/>
      <c r="AC140" s="8"/>
      <c r="AD140" s="8"/>
      <c r="AE140" s="9" t="s">
        <v>1160</v>
      </c>
      <c r="AF140" s="8"/>
      <c r="AG140" s="8"/>
      <c r="AH140" s="8"/>
      <c r="AI140" s="8" t="n">
        <v>0</v>
      </c>
      <c r="AJ140" s="8" t="n">
        <v>0</v>
      </c>
      <c r="AK140" s="8" t="n">
        <v>0</v>
      </c>
      <c r="AL140" s="8" t="n">
        <v>0</v>
      </c>
      <c r="AM140" s="8" t="n">
        <v>0</v>
      </c>
      <c r="AN140" s="8" t="n">
        <v>0</v>
      </c>
      <c r="AO140" s="8" t="n">
        <v>0</v>
      </c>
      <c r="AP140" s="8" t="n">
        <v>0</v>
      </c>
      <c r="AQ140" s="8" t="n">
        <v>0</v>
      </c>
      <c r="AR140" s="8" t="n">
        <v>0</v>
      </c>
      <c r="AS140" s="8" t="n">
        <v>0</v>
      </c>
      <c r="AT140" s="8" t="n">
        <v>0</v>
      </c>
      <c r="AU140" s="8" t="n">
        <v>0</v>
      </c>
      <c r="AV140" s="8" t="n">
        <v>0</v>
      </c>
      <c r="AW140" s="8" t="n">
        <v>0</v>
      </c>
      <c r="AX140" s="8" t="n">
        <v>0</v>
      </c>
      <c r="AY140" s="8" t="n">
        <v>0</v>
      </c>
      <c r="AZ140" s="8" t="n">
        <v>0</v>
      </c>
      <c r="BA140" s="8" t="n">
        <v>0</v>
      </c>
      <c r="BB140" s="8" t="n">
        <v>0</v>
      </c>
      <c r="BC140" s="8" t="n">
        <v>90</v>
      </c>
      <c r="BD140" s="8" t="n">
        <v>0</v>
      </c>
      <c r="BE140" s="8" t="n">
        <v>13</v>
      </c>
      <c r="BF140" s="8" t="n">
        <v>0</v>
      </c>
      <c r="BG140" s="10" t="s">
        <v>1243</v>
      </c>
      <c r="BH140" s="9" t="s">
        <v>1261</v>
      </c>
    </row>
    <row r="141" customFormat="false" ht="15" hidden="false" customHeight="false" outlineLevel="0" collapsed="false">
      <c r="A141" s="8" t="s">
        <v>1262</v>
      </c>
      <c r="B141" s="8" t="s">
        <v>1263</v>
      </c>
      <c r="C141" s="8" t="n">
        <v>1</v>
      </c>
      <c r="D141" s="8" t="n">
        <v>1926</v>
      </c>
      <c r="E141" s="8" t="n">
        <v>1927</v>
      </c>
      <c r="F141" s="8" t="str">
        <f aca="false">IF(D141="","?",IF(D141&lt;1796,"pre-1796",IF(D141&lt;1912,"1796-1911",IF(D141&lt;1949,"1912-1948","1949+"))))</f>
        <v>1912-1948</v>
      </c>
      <c r="G141" s="8" t="str">
        <f aca="false">IF(D141="","?",IF(D141&lt;1912,"Qing",IF(D141&lt;1949,"Republic","PRC")))</f>
        <v>Republic</v>
      </c>
      <c r="H141" s="8" t="s">
        <v>1264</v>
      </c>
      <c r="I141" s="9" t="s">
        <v>466</v>
      </c>
      <c r="J141" s="9" t="s">
        <v>467</v>
      </c>
      <c r="K141" s="8" t="s">
        <v>84</v>
      </c>
      <c r="L141" s="9" t="s">
        <v>1265</v>
      </c>
      <c r="M141" s="8"/>
      <c r="N141" s="8"/>
      <c r="O141" s="8" t="s">
        <v>1266</v>
      </c>
      <c r="P141" s="8" t="s">
        <v>114</v>
      </c>
      <c r="Q141" s="8"/>
      <c r="R141" s="9" t="s">
        <v>1267</v>
      </c>
      <c r="S141" s="8"/>
      <c r="T141" s="8"/>
      <c r="U141" s="8"/>
      <c r="V141" s="8"/>
      <c r="W141" s="8"/>
      <c r="X141" s="8"/>
      <c r="Y141" s="8"/>
      <c r="Z141" s="8"/>
      <c r="AA141" s="8"/>
      <c r="AB141" s="8"/>
      <c r="AC141" s="8"/>
      <c r="AD141" s="8"/>
      <c r="AE141" s="9" t="s">
        <v>1154</v>
      </c>
      <c r="AF141" s="9" t="s">
        <v>1268</v>
      </c>
      <c r="AG141" s="9" t="s">
        <v>1156</v>
      </c>
      <c r="AH141" s="8"/>
      <c r="AI141" s="8" t="n">
        <v>0</v>
      </c>
      <c r="AJ141" s="8" t="n">
        <v>0</v>
      </c>
      <c r="AK141" s="8" t="n">
        <v>0</v>
      </c>
      <c r="AL141" s="8" t="n">
        <v>0</v>
      </c>
      <c r="AM141" s="8" t="n">
        <v>0</v>
      </c>
      <c r="AN141" s="8" t="n">
        <v>0</v>
      </c>
      <c r="AO141" s="8" t="n">
        <v>0</v>
      </c>
      <c r="AP141" s="8" t="n">
        <v>0</v>
      </c>
      <c r="AQ141" s="8" t="n">
        <v>0</v>
      </c>
      <c r="AR141" s="8" t="n">
        <v>0</v>
      </c>
      <c r="AS141" s="8" t="n">
        <v>0</v>
      </c>
      <c r="AT141" s="8" t="n">
        <v>0</v>
      </c>
      <c r="AU141" s="8" t="n">
        <v>0</v>
      </c>
      <c r="AV141" s="8" t="n">
        <v>0</v>
      </c>
      <c r="AW141" s="8" t="n">
        <v>1</v>
      </c>
      <c r="AX141" s="8" t="n">
        <v>0</v>
      </c>
      <c r="AY141" s="8" t="n">
        <v>1</v>
      </c>
      <c r="AZ141" s="8" t="n">
        <v>0</v>
      </c>
      <c r="BA141" s="8" t="n">
        <v>0</v>
      </c>
      <c r="BB141" s="8" t="n">
        <v>0</v>
      </c>
      <c r="BC141" s="8" t="n">
        <v>85</v>
      </c>
      <c r="BD141" s="8" t="n">
        <v>0</v>
      </c>
      <c r="BE141" s="8" t="n">
        <v>0</v>
      </c>
      <c r="BF141" s="8" t="n">
        <v>0</v>
      </c>
      <c r="BG141" s="10" t="s">
        <v>1269</v>
      </c>
      <c r="BH141" s="9" t="s">
        <v>1270</v>
      </c>
    </row>
    <row r="142" customFormat="false" ht="15" hidden="false" customHeight="false" outlineLevel="0" collapsed="false">
      <c r="A142" s="8" t="s">
        <v>1271</v>
      </c>
      <c r="B142" s="8" t="s">
        <v>1263</v>
      </c>
      <c r="C142" s="8" t="n">
        <v>2</v>
      </c>
      <c r="D142" s="8" t="n">
        <v>1926</v>
      </c>
      <c r="E142" s="8" t="n">
        <v>1927</v>
      </c>
      <c r="F142" s="8" t="str">
        <f aca="false">IF(D142="","?",IF(D142&lt;1796,"pre-1796",IF(D142&lt;1912,"1796-1911",IF(D142&lt;1949,"1912-1948","1949+"))))</f>
        <v>1912-1948</v>
      </c>
      <c r="G142" s="8" t="str">
        <f aca="false">IF(D142="","?",IF(D142&lt;1912,"Qing",IF(D142&lt;1949,"Republic","PRC")))</f>
        <v>Republic</v>
      </c>
      <c r="H142" s="8" t="s">
        <v>1264</v>
      </c>
      <c r="I142" s="9" t="s">
        <v>466</v>
      </c>
      <c r="J142" s="9" t="s">
        <v>467</v>
      </c>
      <c r="K142" s="8" t="s">
        <v>84</v>
      </c>
      <c r="L142" s="9" t="s">
        <v>1265</v>
      </c>
      <c r="M142" s="8"/>
      <c r="N142" s="8"/>
      <c r="O142" s="8" t="s">
        <v>1266</v>
      </c>
      <c r="P142" s="8" t="s">
        <v>114</v>
      </c>
      <c r="Q142" s="8"/>
      <c r="R142" s="9" t="s">
        <v>1272</v>
      </c>
      <c r="S142" s="8"/>
      <c r="T142" s="8"/>
      <c r="U142" s="8"/>
      <c r="V142" s="8"/>
      <c r="W142" s="8"/>
      <c r="X142" s="8"/>
      <c r="Y142" s="8"/>
      <c r="Z142" s="8"/>
      <c r="AA142" s="8"/>
      <c r="AB142" s="8"/>
      <c r="AC142" s="8"/>
      <c r="AD142" s="8"/>
      <c r="AE142" s="9" t="s">
        <v>1154</v>
      </c>
      <c r="AF142" s="8"/>
      <c r="AG142" s="9" t="s">
        <v>1156</v>
      </c>
      <c r="AH142" s="8"/>
      <c r="AI142" s="8" t="n">
        <v>0</v>
      </c>
      <c r="AJ142" s="8" t="n">
        <v>0</v>
      </c>
      <c r="AK142" s="8" t="n">
        <v>0</v>
      </c>
      <c r="AL142" s="8" t="n">
        <v>0</v>
      </c>
      <c r="AM142" s="8" t="n">
        <v>0</v>
      </c>
      <c r="AN142" s="8" t="n">
        <v>0</v>
      </c>
      <c r="AO142" s="8" t="n">
        <v>0</v>
      </c>
      <c r="AP142" s="8" t="n">
        <v>0</v>
      </c>
      <c r="AQ142" s="8" t="n">
        <v>0</v>
      </c>
      <c r="AR142" s="8" t="n">
        <v>0</v>
      </c>
      <c r="AS142" s="8" t="n">
        <v>0</v>
      </c>
      <c r="AT142" s="8" t="n">
        <v>0</v>
      </c>
      <c r="AU142" s="8" t="n">
        <v>0</v>
      </c>
      <c r="AV142" s="8" t="n">
        <v>0</v>
      </c>
      <c r="AW142" s="8" t="n">
        <v>0</v>
      </c>
      <c r="AX142" s="8" t="n">
        <v>0</v>
      </c>
      <c r="AY142" s="8" t="n">
        <v>0</v>
      </c>
      <c r="AZ142" s="8" t="n">
        <v>0</v>
      </c>
      <c r="BA142" s="8" t="n">
        <v>0</v>
      </c>
      <c r="BB142" s="8" t="n">
        <v>0</v>
      </c>
      <c r="BC142" s="8" t="n">
        <v>57</v>
      </c>
      <c r="BD142" s="8" t="n">
        <v>0</v>
      </c>
      <c r="BE142" s="8" t="n">
        <v>0</v>
      </c>
      <c r="BF142" s="8" t="n">
        <v>0</v>
      </c>
      <c r="BG142" s="10" t="s">
        <v>1269</v>
      </c>
      <c r="BH142" s="9" t="s">
        <v>1273</v>
      </c>
    </row>
    <row r="143" customFormat="false" ht="15" hidden="false" customHeight="false" outlineLevel="0" collapsed="false">
      <c r="A143" s="8" t="s">
        <v>1274</v>
      </c>
      <c r="B143" s="8" t="s">
        <v>1263</v>
      </c>
      <c r="C143" s="8" t="n">
        <v>3</v>
      </c>
      <c r="D143" s="8" t="n">
        <v>1926</v>
      </c>
      <c r="E143" s="8" t="n">
        <v>1927</v>
      </c>
      <c r="F143" s="8" t="str">
        <f aca="false">IF(D143="","?",IF(D143&lt;1796,"pre-1796",IF(D143&lt;1912,"1796-1911",IF(D143&lt;1949,"1912-1948","1949+"))))</f>
        <v>1912-1948</v>
      </c>
      <c r="G143" s="8" t="str">
        <f aca="false">IF(D143="","?",IF(D143&lt;1912,"Qing",IF(D143&lt;1949,"Republic","PRC")))</f>
        <v>Republic</v>
      </c>
      <c r="H143" s="8" t="s">
        <v>1264</v>
      </c>
      <c r="I143" s="9" t="s">
        <v>466</v>
      </c>
      <c r="J143" s="9" t="s">
        <v>467</v>
      </c>
      <c r="K143" s="8" t="s">
        <v>84</v>
      </c>
      <c r="L143" s="9" t="s">
        <v>1265</v>
      </c>
      <c r="M143" s="8"/>
      <c r="N143" s="8"/>
      <c r="O143" s="8" t="s">
        <v>1266</v>
      </c>
      <c r="P143" s="8" t="s">
        <v>114</v>
      </c>
      <c r="Q143" s="8"/>
      <c r="R143" s="9" t="s">
        <v>1275</v>
      </c>
      <c r="S143" s="8"/>
      <c r="T143" s="8"/>
      <c r="U143" s="8"/>
      <c r="V143" s="8"/>
      <c r="W143" s="8"/>
      <c r="X143" s="8"/>
      <c r="Y143" s="8"/>
      <c r="Z143" s="8"/>
      <c r="AA143" s="8"/>
      <c r="AB143" s="8"/>
      <c r="AC143" s="8"/>
      <c r="AD143" s="8"/>
      <c r="AE143" s="8"/>
      <c r="AF143" s="8"/>
      <c r="AG143" s="9" t="s">
        <v>1156</v>
      </c>
      <c r="AH143" s="8"/>
      <c r="AI143" s="8" t="n">
        <v>0</v>
      </c>
      <c r="AJ143" s="8" t="n">
        <v>0</v>
      </c>
      <c r="AK143" s="8" t="n">
        <v>0</v>
      </c>
      <c r="AL143" s="8" t="n">
        <v>0</v>
      </c>
      <c r="AM143" s="8" t="n">
        <v>0</v>
      </c>
      <c r="AN143" s="8" t="n">
        <v>0</v>
      </c>
      <c r="AO143" s="8" t="n">
        <v>0</v>
      </c>
      <c r="AP143" s="8" t="n">
        <v>0</v>
      </c>
      <c r="AQ143" s="8" t="n">
        <v>0</v>
      </c>
      <c r="AR143" s="8" t="n">
        <v>0</v>
      </c>
      <c r="AS143" s="8" t="n">
        <v>0</v>
      </c>
      <c r="AT143" s="8" t="n">
        <v>0</v>
      </c>
      <c r="AU143" s="8" t="n">
        <v>0</v>
      </c>
      <c r="AV143" s="8" t="n">
        <v>0</v>
      </c>
      <c r="AW143" s="8" t="n">
        <v>0</v>
      </c>
      <c r="AX143" s="8" t="n">
        <v>0</v>
      </c>
      <c r="AY143" s="8" t="n">
        <v>0</v>
      </c>
      <c r="AZ143" s="8" t="n">
        <v>0</v>
      </c>
      <c r="BA143" s="8" t="n">
        <v>0</v>
      </c>
      <c r="BB143" s="8" t="n">
        <v>0</v>
      </c>
      <c r="BC143" s="8" t="n">
        <v>36</v>
      </c>
      <c r="BD143" s="8" t="n">
        <v>0</v>
      </c>
      <c r="BE143" s="8" t="n">
        <v>0</v>
      </c>
      <c r="BF143" s="8" t="n">
        <v>0</v>
      </c>
      <c r="BG143" s="10" t="s">
        <v>1269</v>
      </c>
      <c r="BH143" s="9" t="s">
        <v>1276</v>
      </c>
    </row>
    <row r="144" customFormat="false" ht="15" hidden="false" customHeight="false" outlineLevel="0" collapsed="false">
      <c r="A144" s="8" t="s">
        <v>1277</v>
      </c>
      <c r="B144" s="8" t="s">
        <v>1263</v>
      </c>
      <c r="C144" s="8" t="n">
        <v>4</v>
      </c>
      <c r="D144" s="8" t="n">
        <v>1926</v>
      </c>
      <c r="E144" s="8" t="n">
        <v>1927</v>
      </c>
      <c r="F144" s="8" t="str">
        <f aca="false">IF(D144="","?",IF(D144&lt;1796,"pre-1796",IF(D144&lt;1912,"1796-1911",IF(D144&lt;1949,"1912-1948","1949+"))))</f>
        <v>1912-1948</v>
      </c>
      <c r="G144" s="8" t="str">
        <f aca="false">IF(D144="","?",IF(D144&lt;1912,"Qing",IF(D144&lt;1949,"Republic","PRC")))</f>
        <v>Republic</v>
      </c>
      <c r="H144" s="8" t="s">
        <v>1264</v>
      </c>
      <c r="I144" s="9" t="s">
        <v>466</v>
      </c>
      <c r="J144" s="9" t="s">
        <v>467</v>
      </c>
      <c r="K144" s="8" t="s">
        <v>84</v>
      </c>
      <c r="L144" s="9" t="s">
        <v>1265</v>
      </c>
      <c r="M144" s="8"/>
      <c r="N144" s="8"/>
      <c r="O144" s="8" t="s">
        <v>1266</v>
      </c>
      <c r="P144" s="8" t="s">
        <v>114</v>
      </c>
      <c r="Q144" s="8"/>
      <c r="R144" s="9" t="s">
        <v>1278</v>
      </c>
      <c r="S144" s="8"/>
      <c r="T144" s="8"/>
      <c r="U144" s="8"/>
      <c r="V144" s="8"/>
      <c r="W144" s="8"/>
      <c r="X144" s="8"/>
      <c r="Y144" s="8"/>
      <c r="Z144" s="8"/>
      <c r="AA144" s="8"/>
      <c r="AB144" s="8"/>
      <c r="AC144" s="8"/>
      <c r="AD144" s="8"/>
      <c r="AE144" s="9" t="s">
        <v>1154</v>
      </c>
      <c r="AF144" s="8"/>
      <c r="AG144" s="9" t="s">
        <v>1156</v>
      </c>
      <c r="AH144" s="8"/>
      <c r="AI144" s="8" t="n">
        <v>0</v>
      </c>
      <c r="AJ144" s="8" t="n">
        <v>0</v>
      </c>
      <c r="AK144" s="8" t="n">
        <v>0</v>
      </c>
      <c r="AL144" s="8" t="n">
        <v>0</v>
      </c>
      <c r="AM144" s="8" t="n">
        <v>0</v>
      </c>
      <c r="AN144" s="8" t="n">
        <v>0</v>
      </c>
      <c r="AO144" s="8" t="n">
        <v>0</v>
      </c>
      <c r="AP144" s="8" t="n">
        <v>0</v>
      </c>
      <c r="AQ144" s="8" t="n">
        <v>0</v>
      </c>
      <c r="AR144" s="8" t="n">
        <v>0</v>
      </c>
      <c r="AS144" s="8" t="n">
        <v>0</v>
      </c>
      <c r="AT144" s="8" t="n">
        <v>0</v>
      </c>
      <c r="AU144" s="8" t="n">
        <v>0</v>
      </c>
      <c r="AV144" s="8" t="n">
        <v>0</v>
      </c>
      <c r="AW144" s="8" t="n">
        <v>1</v>
      </c>
      <c r="AX144" s="8" t="n">
        <v>0</v>
      </c>
      <c r="AY144" s="8" t="n">
        <v>0</v>
      </c>
      <c r="AZ144" s="8" t="n">
        <v>0</v>
      </c>
      <c r="BA144" s="8" t="n">
        <v>0</v>
      </c>
      <c r="BB144" s="8" t="n">
        <v>0</v>
      </c>
      <c r="BC144" s="8" t="n">
        <v>43</v>
      </c>
      <c r="BD144" s="8" t="n">
        <v>0</v>
      </c>
      <c r="BE144" s="8" t="n">
        <v>0</v>
      </c>
      <c r="BF144" s="8" t="n">
        <v>0</v>
      </c>
      <c r="BG144" s="10" t="s">
        <v>1269</v>
      </c>
      <c r="BH144" s="9" t="s">
        <v>1279</v>
      </c>
    </row>
    <row r="145" customFormat="false" ht="15" hidden="false" customHeight="false" outlineLevel="0" collapsed="false">
      <c r="A145" s="8" t="s">
        <v>1280</v>
      </c>
      <c r="B145" s="8" t="s">
        <v>1263</v>
      </c>
      <c r="C145" s="8" t="n">
        <v>5</v>
      </c>
      <c r="D145" s="8" t="n">
        <v>1926</v>
      </c>
      <c r="E145" s="8" t="n">
        <v>1927</v>
      </c>
      <c r="F145" s="8" t="str">
        <f aca="false">IF(D145="","?",IF(D145&lt;1796,"pre-1796",IF(D145&lt;1912,"1796-1911",IF(D145&lt;1949,"1912-1948","1949+"))))</f>
        <v>1912-1948</v>
      </c>
      <c r="G145" s="8" t="str">
        <f aca="false">IF(D145="","?",IF(D145&lt;1912,"Qing",IF(D145&lt;1949,"Republic","PRC")))</f>
        <v>Republic</v>
      </c>
      <c r="H145" s="8" t="s">
        <v>1264</v>
      </c>
      <c r="I145" s="9" t="s">
        <v>466</v>
      </c>
      <c r="J145" s="9" t="s">
        <v>467</v>
      </c>
      <c r="K145" s="8" t="s">
        <v>84</v>
      </c>
      <c r="L145" s="9" t="s">
        <v>1265</v>
      </c>
      <c r="M145" s="8"/>
      <c r="N145" s="8"/>
      <c r="O145" s="8" t="s">
        <v>1266</v>
      </c>
      <c r="P145" s="8" t="s">
        <v>114</v>
      </c>
      <c r="Q145" s="8"/>
      <c r="R145" s="9" t="s">
        <v>1281</v>
      </c>
      <c r="S145" s="8"/>
      <c r="T145" s="8"/>
      <c r="U145" s="8"/>
      <c r="V145" s="8"/>
      <c r="W145" s="8"/>
      <c r="X145" s="8"/>
      <c r="Y145" s="8"/>
      <c r="Z145" s="8"/>
      <c r="AA145" s="8"/>
      <c r="AB145" s="8"/>
      <c r="AC145" s="8"/>
      <c r="AD145" s="8"/>
      <c r="AE145" s="9" t="s">
        <v>1154</v>
      </c>
      <c r="AF145" s="9" t="s">
        <v>1155</v>
      </c>
      <c r="AG145" s="9" t="s">
        <v>1156</v>
      </c>
      <c r="AH145" s="8"/>
      <c r="AI145" s="8" t="n">
        <v>0</v>
      </c>
      <c r="AJ145" s="8" t="n">
        <v>0</v>
      </c>
      <c r="AK145" s="8" t="n">
        <v>0</v>
      </c>
      <c r="AL145" s="8" t="n">
        <v>0</v>
      </c>
      <c r="AM145" s="8" t="n">
        <v>0</v>
      </c>
      <c r="AN145" s="8" t="n">
        <v>0</v>
      </c>
      <c r="AO145" s="8" t="n">
        <v>0</v>
      </c>
      <c r="AP145" s="8" t="n">
        <v>0</v>
      </c>
      <c r="AQ145" s="8" t="n">
        <v>0</v>
      </c>
      <c r="AR145" s="8" t="n">
        <v>0</v>
      </c>
      <c r="AS145" s="8" t="n">
        <v>0</v>
      </c>
      <c r="AT145" s="8" t="n">
        <v>0</v>
      </c>
      <c r="AU145" s="8" t="n">
        <v>0</v>
      </c>
      <c r="AV145" s="8" t="n">
        <v>0</v>
      </c>
      <c r="AW145" s="8" t="n">
        <v>1</v>
      </c>
      <c r="AX145" s="8" t="n">
        <v>0</v>
      </c>
      <c r="AY145" s="8" t="n">
        <v>1</v>
      </c>
      <c r="AZ145" s="8" t="n">
        <v>0</v>
      </c>
      <c r="BA145" s="8" t="n">
        <v>0</v>
      </c>
      <c r="BB145" s="8" t="n">
        <v>0</v>
      </c>
      <c r="BC145" s="8" t="n">
        <v>79</v>
      </c>
      <c r="BD145" s="8" t="n">
        <v>0</v>
      </c>
      <c r="BE145" s="8" t="n">
        <v>0</v>
      </c>
      <c r="BF145" s="8" t="n">
        <v>0</v>
      </c>
      <c r="BG145" s="10" t="s">
        <v>1269</v>
      </c>
      <c r="BH145" s="9" t="s">
        <v>1282</v>
      </c>
    </row>
    <row r="146" customFormat="false" ht="15" hidden="false" customHeight="false" outlineLevel="0" collapsed="false">
      <c r="A146" s="8" t="s">
        <v>1283</v>
      </c>
      <c r="B146" s="8" t="s">
        <v>1263</v>
      </c>
      <c r="C146" s="8" t="n">
        <v>6</v>
      </c>
      <c r="D146" s="8" t="n">
        <v>1926</v>
      </c>
      <c r="E146" s="8" t="n">
        <v>1927</v>
      </c>
      <c r="F146" s="8" t="str">
        <f aca="false">IF(D146="","?",IF(D146&lt;1796,"pre-1796",IF(D146&lt;1912,"1796-1911",IF(D146&lt;1949,"1912-1948","1949+"))))</f>
        <v>1912-1948</v>
      </c>
      <c r="G146" s="8" t="str">
        <f aca="false">IF(D146="","?",IF(D146&lt;1912,"Qing",IF(D146&lt;1949,"Republic","PRC")))</f>
        <v>Republic</v>
      </c>
      <c r="H146" s="8" t="s">
        <v>1264</v>
      </c>
      <c r="I146" s="9" t="s">
        <v>466</v>
      </c>
      <c r="J146" s="9" t="s">
        <v>467</v>
      </c>
      <c r="K146" s="8" t="s">
        <v>84</v>
      </c>
      <c r="L146" s="9" t="s">
        <v>1265</v>
      </c>
      <c r="M146" s="8"/>
      <c r="N146" s="8"/>
      <c r="O146" s="8" t="s">
        <v>1266</v>
      </c>
      <c r="P146" s="8" t="s">
        <v>114</v>
      </c>
      <c r="Q146" s="8"/>
      <c r="R146" s="9" t="s">
        <v>1284</v>
      </c>
      <c r="S146" s="8"/>
      <c r="T146" s="8"/>
      <c r="U146" s="8"/>
      <c r="V146" s="8"/>
      <c r="W146" s="8"/>
      <c r="X146" s="8"/>
      <c r="Y146" s="8"/>
      <c r="Z146" s="8"/>
      <c r="AA146" s="8"/>
      <c r="AB146" s="8"/>
      <c r="AC146" s="8"/>
      <c r="AD146" s="8"/>
      <c r="AE146" s="9" t="s">
        <v>1154</v>
      </c>
      <c r="AF146" s="9" t="s">
        <v>1155</v>
      </c>
      <c r="AG146" s="9" t="s">
        <v>1212</v>
      </c>
      <c r="AH146" s="8"/>
      <c r="AI146" s="8" t="n">
        <v>0</v>
      </c>
      <c r="AJ146" s="8" t="n">
        <v>0</v>
      </c>
      <c r="AK146" s="8" t="n">
        <v>0</v>
      </c>
      <c r="AL146" s="8" t="n">
        <v>0</v>
      </c>
      <c r="AM146" s="8" t="n">
        <v>0</v>
      </c>
      <c r="AN146" s="8" t="n">
        <v>0</v>
      </c>
      <c r="AO146" s="8" t="n">
        <v>0</v>
      </c>
      <c r="AP146" s="8" t="n">
        <v>0</v>
      </c>
      <c r="AQ146" s="8" t="n">
        <v>0</v>
      </c>
      <c r="AR146" s="8" t="n">
        <v>0</v>
      </c>
      <c r="AS146" s="8" t="n">
        <v>0</v>
      </c>
      <c r="AT146" s="8" t="n">
        <v>0</v>
      </c>
      <c r="AU146" s="8" t="n">
        <v>0</v>
      </c>
      <c r="AV146" s="8" t="n">
        <v>0</v>
      </c>
      <c r="AW146" s="8" t="n">
        <v>1</v>
      </c>
      <c r="AX146" s="8" t="n">
        <v>0</v>
      </c>
      <c r="AY146" s="8" t="n">
        <v>1</v>
      </c>
      <c r="AZ146" s="8" t="n">
        <v>0</v>
      </c>
      <c r="BA146" s="8" t="n">
        <v>0</v>
      </c>
      <c r="BB146" s="8" t="n">
        <v>0</v>
      </c>
      <c r="BC146" s="8" t="n">
        <v>74</v>
      </c>
      <c r="BD146" s="8" t="n">
        <v>0</v>
      </c>
      <c r="BE146" s="8" t="n">
        <v>0</v>
      </c>
      <c r="BF146" s="8" t="n">
        <v>0</v>
      </c>
      <c r="BG146" s="10" t="s">
        <v>1269</v>
      </c>
      <c r="BH146" s="9" t="s">
        <v>1285</v>
      </c>
    </row>
    <row r="147" customFormat="false" ht="15" hidden="false" customHeight="false" outlineLevel="0" collapsed="false">
      <c r="A147" s="8" t="s">
        <v>1286</v>
      </c>
      <c r="B147" s="8" t="s">
        <v>1287</v>
      </c>
      <c r="C147" s="8" t="n">
        <v>1</v>
      </c>
      <c r="D147" s="8" t="n">
        <v>1920</v>
      </c>
      <c r="E147" s="8" t="n">
        <v>1926</v>
      </c>
      <c r="F147" s="8" t="str">
        <f aca="false">IF(D147="","?",IF(D147&lt;1796,"pre-1796",IF(D147&lt;1912,"1796-1911",IF(D147&lt;1949,"1912-1948","1949+"))))</f>
        <v>1912-1948</v>
      </c>
      <c r="G147" s="8" t="str">
        <f aca="false">IF(D147="","?",IF(D147&lt;1912,"Qing",IF(D147&lt;1949,"Republic","PRC")))</f>
        <v>Republic</v>
      </c>
      <c r="H147" s="8" t="s">
        <v>1288</v>
      </c>
      <c r="I147" s="9" t="s">
        <v>466</v>
      </c>
      <c r="J147" s="9" t="s">
        <v>467</v>
      </c>
      <c r="K147" s="8" t="s">
        <v>84</v>
      </c>
      <c r="L147" s="9" t="s">
        <v>1289</v>
      </c>
      <c r="M147" s="8"/>
      <c r="N147" s="8"/>
      <c r="O147" s="8" t="s">
        <v>1290</v>
      </c>
      <c r="P147" s="8" t="s">
        <v>114</v>
      </c>
      <c r="Q147" s="8"/>
      <c r="R147" s="9" t="s">
        <v>1291</v>
      </c>
      <c r="S147" s="8"/>
      <c r="T147" s="8"/>
      <c r="U147" s="8"/>
      <c r="V147" s="8"/>
      <c r="W147" s="8"/>
      <c r="X147" s="8"/>
      <c r="Y147" s="8"/>
      <c r="Z147" s="8"/>
      <c r="AA147" s="8"/>
      <c r="AB147" s="8"/>
      <c r="AC147" s="8"/>
      <c r="AD147" s="8"/>
      <c r="AE147" s="9" t="s">
        <v>1154</v>
      </c>
      <c r="AF147" s="8"/>
      <c r="AG147" s="9" t="s">
        <v>1156</v>
      </c>
      <c r="AH147" s="8"/>
      <c r="AI147" s="8" t="n">
        <v>0</v>
      </c>
      <c r="AJ147" s="8" t="n">
        <v>0</v>
      </c>
      <c r="AK147" s="8" t="n">
        <v>0</v>
      </c>
      <c r="AL147" s="8" t="n">
        <v>0</v>
      </c>
      <c r="AM147" s="8" t="n">
        <v>0</v>
      </c>
      <c r="AN147" s="8" t="n">
        <v>0</v>
      </c>
      <c r="AO147" s="8" t="n">
        <v>0</v>
      </c>
      <c r="AP147" s="8" t="n">
        <v>0</v>
      </c>
      <c r="AQ147" s="8" t="n">
        <v>0</v>
      </c>
      <c r="AR147" s="8" t="n">
        <v>0</v>
      </c>
      <c r="AS147" s="8" t="n">
        <v>0</v>
      </c>
      <c r="AT147" s="8" t="n">
        <v>0</v>
      </c>
      <c r="AU147" s="8" t="n">
        <v>0</v>
      </c>
      <c r="AV147" s="8" t="n">
        <v>0</v>
      </c>
      <c r="AW147" s="8" t="n">
        <v>0</v>
      </c>
      <c r="AX147" s="8" t="n">
        <v>0</v>
      </c>
      <c r="AY147" s="8" t="n">
        <v>0</v>
      </c>
      <c r="AZ147" s="8" t="n">
        <v>0</v>
      </c>
      <c r="BA147" s="8" t="n">
        <v>0</v>
      </c>
      <c r="BB147" s="8" t="n">
        <v>0</v>
      </c>
      <c r="BC147" s="8" t="n">
        <v>38</v>
      </c>
      <c r="BD147" s="8" t="n">
        <v>0</v>
      </c>
      <c r="BE147" s="8" t="n">
        <v>0</v>
      </c>
      <c r="BF147" s="8" t="n">
        <v>1</v>
      </c>
      <c r="BG147" s="10" t="s">
        <v>1292</v>
      </c>
      <c r="BH147" s="9" t="s">
        <v>1293</v>
      </c>
    </row>
    <row r="148" customFormat="false" ht="15" hidden="false" customHeight="false" outlineLevel="0" collapsed="false">
      <c r="A148" s="8" t="s">
        <v>1294</v>
      </c>
      <c r="B148" s="8" t="s">
        <v>1287</v>
      </c>
      <c r="C148" s="8" t="n">
        <v>2</v>
      </c>
      <c r="D148" s="8" t="n">
        <v>1920</v>
      </c>
      <c r="E148" s="8" t="n">
        <v>1926</v>
      </c>
      <c r="F148" s="8" t="str">
        <f aca="false">IF(D148="","?",IF(D148&lt;1796,"pre-1796",IF(D148&lt;1912,"1796-1911",IF(D148&lt;1949,"1912-1948","1949+"))))</f>
        <v>1912-1948</v>
      </c>
      <c r="G148" s="8" t="str">
        <f aca="false">IF(D148="","?",IF(D148&lt;1912,"Qing",IF(D148&lt;1949,"Republic","PRC")))</f>
        <v>Republic</v>
      </c>
      <c r="H148" s="8" t="s">
        <v>1288</v>
      </c>
      <c r="I148" s="9" t="s">
        <v>466</v>
      </c>
      <c r="J148" s="9" t="s">
        <v>467</v>
      </c>
      <c r="K148" s="8" t="s">
        <v>84</v>
      </c>
      <c r="L148" s="9" t="s">
        <v>1289</v>
      </c>
      <c r="M148" s="8"/>
      <c r="N148" s="8"/>
      <c r="O148" s="8" t="s">
        <v>1290</v>
      </c>
      <c r="P148" s="8" t="s">
        <v>114</v>
      </c>
      <c r="Q148" s="8"/>
      <c r="R148" s="8"/>
      <c r="S148" s="8"/>
      <c r="T148" s="8"/>
      <c r="U148" s="8"/>
      <c r="V148" s="8"/>
      <c r="W148" s="8"/>
      <c r="X148" s="8"/>
      <c r="Y148" s="8"/>
      <c r="Z148" s="8"/>
      <c r="AA148" s="8"/>
      <c r="AB148" s="8"/>
      <c r="AC148" s="8"/>
      <c r="AD148" s="8"/>
      <c r="AE148" s="8"/>
      <c r="AF148" s="8"/>
      <c r="AG148" s="8"/>
      <c r="AH148" s="8"/>
      <c r="AI148" s="8" t="n">
        <v>0</v>
      </c>
      <c r="AJ148" s="8" t="n">
        <v>0</v>
      </c>
      <c r="AK148" s="8" t="n">
        <v>0</v>
      </c>
      <c r="AL148" s="8" t="n">
        <v>0</v>
      </c>
      <c r="AM148" s="8" t="n">
        <v>0</v>
      </c>
      <c r="AN148" s="8" t="n">
        <v>0</v>
      </c>
      <c r="AO148" s="8" t="n">
        <v>0</v>
      </c>
      <c r="AP148" s="8" t="n">
        <v>0</v>
      </c>
      <c r="AQ148" s="8" t="n">
        <v>0</v>
      </c>
      <c r="AR148" s="8" t="n">
        <v>0</v>
      </c>
      <c r="AS148" s="8" t="n">
        <v>0</v>
      </c>
      <c r="AT148" s="8" t="n">
        <v>0</v>
      </c>
      <c r="AU148" s="8" t="n">
        <v>0</v>
      </c>
      <c r="AV148" s="8" t="n">
        <v>0</v>
      </c>
      <c r="AW148" s="8" t="n">
        <v>0</v>
      </c>
      <c r="AX148" s="8" t="n">
        <v>0</v>
      </c>
      <c r="AY148" s="8" t="n">
        <v>0</v>
      </c>
      <c r="AZ148" s="8" t="n">
        <v>0</v>
      </c>
      <c r="BA148" s="8" t="n">
        <v>0</v>
      </c>
      <c r="BB148" s="8" t="n">
        <v>0</v>
      </c>
      <c r="BC148" s="8" t="n">
        <v>62</v>
      </c>
      <c r="BD148" s="8" t="n">
        <v>0</v>
      </c>
      <c r="BE148" s="8" t="n">
        <v>6</v>
      </c>
      <c r="BF148" s="8" t="n">
        <v>0</v>
      </c>
      <c r="BG148" s="10" t="s">
        <v>1292</v>
      </c>
      <c r="BH148" s="9" t="s">
        <v>1295</v>
      </c>
    </row>
    <row r="149" customFormat="false" ht="15" hidden="false" customHeight="false" outlineLevel="0" collapsed="false">
      <c r="A149" s="8" t="s">
        <v>1296</v>
      </c>
      <c r="B149" s="8" t="s">
        <v>1287</v>
      </c>
      <c r="C149" s="8" t="n">
        <v>3</v>
      </c>
      <c r="D149" s="8" t="n">
        <v>1920</v>
      </c>
      <c r="E149" s="8" t="n">
        <v>1926</v>
      </c>
      <c r="F149" s="8" t="str">
        <f aca="false">IF(D149="","?",IF(D149&lt;1796,"pre-1796",IF(D149&lt;1912,"1796-1911",IF(D149&lt;1949,"1912-1948","1949+"))))</f>
        <v>1912-1948</v>
      </c>
      <c r="G149" s="8" t="str">
        <f aca="false">IF(D149="","?",IF(D149&lt;1912,"Qing",IF(D149&lt;1949,"Republic","PRC")))</f>
        <v>Republic</v>
      </c>
      <c r="H149" s="8" t="s">
        <v>1288</v>
      </c>
      <c r="I149" s="9" t="s">
        <v>466</v>
      </c>
      <c r="J149" s="9" t="s">
        <v>467</v>
      </c>
      <c r="K149" s="8" t="s">
        <v>84</v>
      </c>
      <c r="L149" s="9" t="s">
        <v>1289</v>
      </c>
      <c r="M149" s="8"/>
      <c r="N149" s="8"/>
      <c r="O149" s="8" t="s">
        <v>1290</v>
      </c>
      <c r="P149" s="8" t="s">
        <v>114</v>
      </c>
      <c r="Q149" s="8"/>
      <c r="R149" s="9" t="s">
        <v>1284</v>
      </c>
      <c r="S149" s="8"/>
      <c r="T149" s="8"/>
      <c r="U149" s="8"/>
      <c r="V149" s="8"/>
      <c r="W149" s="8"/>
      <c r="X149" s="8"/>
      <c r="Y149" s="8"/>
      <c r="Z149" s="8"/>
      <c r="AA149" s="8"/>
      <c r="AB149" s="8"/>
      <c r="AC149" s="8"/>
      <c r="AD149" s="8"/>
      <c r="AE149" s="9" t="s">
        <v>1154</v>
      </c>
      <c r="AF149" s="9" t="s">
        <v>1155</v>
      </c>
      <c r="AG149" s="9" t="s">
        <v>1212</v>
      </c>
      <c r="AH149" s="8"/>
      <c r="AI149" s="8" t="n">
        <v>0</v>
      </c>
      <c r="AJ149" s="8" t="n">
        <v>0</v>
      </c>
      <c r="AK149" s="8" t="n">
        <v>0</v>
      </c>
      <c r="AL149" s="8" t="n">
        <v>0</v>
      </c>
      <c r="AM149" s="8" t="n">
        <v>0</v>
      </c>
      <c r="AN149" s="8" t="n">
        <v>0</v>
      </c>
      <c r="AO149" s="8" t="n">
        <v>0</v>
      </c>
      <c r="AP149" s="8" t="n">
        <v>0</v>
      </c>
      <c r="AQ149" s="8" t="n">
        <v>0</v>
      </c>
      <c r="AR149" s="8" t="n">
        <v>0</v>
      </c>
      <c r="AS149" s="8" t="n">
        <v>0</v>
      </c>
      <c r="AT149" s="8" t="n">
        <v>0</v>
      </c>
      <c r="AU149" s="8" t="n">
        <v>0</v>
      </c>
      <c r="AV149" s="8" t="n">
        <v>0</v>
      </c>
      <c r="AW149" s="8" t="n">
        <v>1</v>
      </c>
      <c r="AX149" s="8" t="n">
        <v>0</v>
      </c>
      <c r="AY149" s="8" t="n">
        <v>1</v>
      </c>
      <c r="AZ149" s="8" t="n">
        <v>0</v>
      </c>
      <c r="BA149" s="8" t="n">
        <v>0</v>
      </c>
      <c r="BB149" s="8" t="n">
        <v>0</v>
      </c>
      <c r="BC149" s="8" t="n">
        <v>82</v>
      </c>
      <c r="BD149" s="8" t="n">
        <v>0</v>
      </c>
      <c r="BE149" s="8" t="n">
        <v>0</v>
      </c>
      <c r="BF149" s="8" t="n">
        <v>0</v>
      </c>
      <c r="BG149" s="10" t="s">
        <v>1292</v>
      </c>
      <c r="BH149" s="9" t="s">
        <v>1297</v>
      </c>
    </row>
    <row r="150" customFormat="false" ht="15" hidden="false" customHeight="false" outlineLevel="0" collapsed="false">
      <c r="A150" s="8" t="s">
        <v>1298</v>
      </c>
      <c r="B150" s="8" t="s">
        <v>1287</v>
      </c>
      <c r="C150" s="8" t="n">
        <v>4</v>
      </c>
      <c r="D150" s="8" t="n">
        <v>1920</v>
      </c>
      <c r="E150" s="8" t="n">
        <v>1926</v>
      </c>
      <c r="F150" s="8" t="str">
        <f aca="false">IF(D150="","?",IF(D150&lt;1796,"pre-1796",IF(D150&lt;1912,"1796-1911",IF(D150&lt;1949,"1912-1948","1949+"))))</f>
        <v>1912-1948</v>
      </c>
      <c r="G150" s="8" t="str">
        <f aca="false">IF(D150="","?",IF(D150&lt;1912,"Qing",IF(D150&lt;1949,"Republic","PRC")))</f>
        <v>Republic</v>
      </c>
      <c r="H150" s="8" t="s">
        <v>1288</v>
      </c>
      <c r="I150" s="9" t="s">
        <v>466</v>
      </c>
      <c r="J150" s="9" t="s">
        <v>467</v>
      </c>
      <c r="K150" s="8" t="s">
        <v>84</v>
      </c>
      <c r="L150" s="9" t="s">
        <v>1289</v>
      </c>
      <c r="M150" s="8"/>
      <c r="N150" s="8"/>
      <c r="O150" s="8" t="s">
        <v>1290</v>
      </c>
      <c r="P150" s="8" t="s">
        <v>114</v>
      </c>
      <c r="Q150" s="8"/>
      <c r="R150" s="9" t="s">
        <v>1299</v>
      </c>
      <c r="S150" s="8"/>
      <c r="T150" s="8"/>
      <c r="U150" s="8"/>
      <c r="V150" s="8"/>
      <c r="W150" s="8"/>
      <c r="X150" s="8"/>
      <c r="Y150" s="8"/>
      <c r="Z150" s="8"/>
      <c r="AA150" s="8"/>
      <c r="AB150" s="8"/>
      <c r="AC150" s="8"/>
      <c r="AD150" s="8"/>
      <c r="AE150" s="9" t="s">
        <v>1300</v>
      </c>
      <c r="AF150" s="9" t="s">
        <v>1301</v>
      </c>
      <c r="AG150" s="8"/>
      <c r="AH150" s="8"/>
      <c r="AI150" s="8" t="n">
        <v>0</v>
      </c>
      <c r="AJ150" s="8" t="n">
        <v>0</v>
      </c>
      <c r="AK150" s="8" t="n">
        <v>0</v>
      </c>
      <c r="AL150" s="8" t="n">
        <v>0</v>
      </c>
      <c r="AM150" s="8" t="n">
        <v>0</v>
      </c>
      <c r="AN150" s="8" t="n">
        <v>0</v>
      </c>
      <c r="AO150" s="8" t="n">
        <v>0</v>
      </c>
      <c r="AP150" s="8" t="n">
        <v>0</v>
      </c>
      <c r="AQ150" s="8" t="n">
        <v>0</v>
      </c>
      <c r="AR150" s="8" t="n">
        <v>0</v>
      </c>
      <c r="AS150" s="8" t="n">
        <v>0</v>
      </c>
      <c r="AT150" s="8" t="n">
        <v>0</v>
      </c>
      <c r="AU150" s="8" t="n">
        <v>0</v>
      </c>
      <c r="AV150" s="8" t="n">
        <v>0</v>
      </c>
      <c r="AW150" s="8" t="n">
        <v>1</v>
      </c>
      <c r="AX150" s="8" t="n">
        <v>0</v>
      </c>
      <c r="AY150" s="8" t="n">
        <v>0</v>
      </c>
      <c r="AZ150" s="8" t="n">
        <v>0</v>
      </c>
      <c r="BA150" s="8" t="n">
        <v>0</v>
      </c>
      <c r="BB150" s="8" t="n">
        <v>0</v>
      </c>
      <c r="BC150" s="8" t="n">
        <v>46</v>
      </c>
      <c r="BD150" s="8" t="n">
        <v>0</v>
      </c>
      <c r="BE150" s="8" t="n">
        <v>0</v>
      </c>
      <c r="BF150" s="8" t="n">
        <v>0</v>
      </c>
      <c r="BG150" s="10" t="s">
        <v>1292</v>
      </c>
      <c r="BH150" s="9" t="s">
        <v>1302</v>
      </c>
    </row>
    <row r="151" customFormat="false" ht="15" hidden="false" customHeight="false" outlineLevel="0" collapsed="false">
      <c r="A151" s="8" t="s">
        <v>1303</v>
      </c>
      <c r="B151" s="8" t="s">
        <v>1304</v>
      </c>
      <c r="C151" s="8" t="n">
        <v>1</v>
      </c>
      <c r="D151" s="8" t="n">
        <v>1920</v>
      </c>
      <c r="E151" s="8" t="n">
        <v>1926</v>
      </c>
      <c r="F151" s="8" t="str">
        <f aca="false">IF(D151="","?",IF(D151&lt;1796,"pre-1796",IF(D151&lt;1912,"1796-1911",IF(D151&lt;1949,"1912-1948","1949+"))))</f>
        <v>1912-1948</v>
      </c>
      <c r="G151" s="8" t="str">
        <f aca="false">IF(D151="","?",IF(D151&lt;1912,"Qing",IF(D151&lt;1949,"Republic","PRC")))</f>
        <v>Republic</v>
      </c>
      <c r="H151" s="8" t="s">
        <v>1288</v>
      </c>
      <c r="I151" s="9" t="s">
        <v>466</v>
      </c>
      <c r="J151" s="9" t="s">
        <v>467</v>
      </c>
      <c r="K151" s="8" t="s">
        <v>84</v>
      </c>
      <c r="L151" s="9" t="s">
        <v>1305</v>
      </c>
      <c r="M151" s="8"/>
      <c r="N151" s="8"/>
      <c r="O151" s="8" t="s">
        <v>1306</v>
      </c>
      <c r="P151" s="8" t="s">
        <v>114</v>
      </c>
      <c r="Q151" s="8"/>
      <c r="R151" s="9" t="s">
        <v>1307</v>
      </c>
      <c r="S151" s="8"/>
      <c r="T151" s="8"/>
      <c r="U151" s="8"/>
      <c r="V151" s="8"/>
      <c r="W151" s="8"/>
      <c r="X151" s="8"/>
      <c r="Y151" s="8"/>
      <c r="Z151" s="8"/>
      <c r="AA151" s="8"/>
      <c r="AB151" s="8"/>
      <c r="AC151" s="8"/>
      <c r="AD151" s="8"/>
      <c r="AE151" s="9" t="s">
        <v>1154</v>
      </c>
      <c r="AF151" s="8"/>
      <c r="AG151" s="9" t="s">
        <v>1212</v>
      </c>
      <c r="AH151" s="8"/>
      <c r="AI151" s="8" t="n">
        <v>0</v>
      </c>
      <c r="AJ151" s="8" t="n">
        <v>0</v>
      </c>
      <c r="AK151" s="8" t="n">
        <v>0</v>
      </c>
      <c r="AL151" s="8" t="n">
        <v>0</v>
      </c>
      <c r="AM151" s="8" t="n">
        <v>0</v>
      </c>
      <c r="AN151" s="8" t="n">
        <v>0</v>
      </c>
      <c r="AO151" s="8" t="n">
        <v>0</v>
      </c>
      <c r="AP151" s="8" t="n">
        <v>0</v>
      </c>
      <c r="AQ151" s="8" t="n">
        <v>0</v>
      </c>
      <c r="AR151" s="8" t="n">
        <v>0</v>
      </c>
      <c r="AS151" s="8" t="n">
        <v>0</v>
      </c>
      <c r="AT151" s="8" t="n">
        <v>0</v>
      </c>
      <c r="AU151" s="8" t="n">
        <v>0</v>
      </c>
      <c r="AV151" s="8" t="n">
        <v>0</v>
      </c>
      <c r="AW151" s="8" t="n">
        <v>1</v>
      </c>
      <c r="AX151" s="8" t="n">
        <v>0</v>
      </c>
      <c r="AY151" s="8" t="n">
        <v>1</v>
      </c>
      <c r="AZ151" s="8" t="n">
        <v>0</v>
      </c>
      <c r="BA151" s="8" t="n">
        <v>0</v>
      </c>
      <c r="BB151" s="8" t="n">
        <v>0</v>
      </c>
      <c r="BC151" s="8" t="n">
        <v>66</v>
      </c>
      <c r="BD151" s="8" t="n">
        <v>0</v>
      </c>
      <c r="BE151" s="8" t="n">
        <v>0</v>
      </c>
      <c r="BF151" s="8" t="n">
        <v>0</v>
      </c>
      <c r="BG151" s="10" t="s">
        <v>1308</v>
      </c>
      <c r="BH151" s="9" t="s">
        <v>1309</v>
      </c>
    </row>
    <row r="152" customFormat="false" ht="15" hidden="false" customHeight="false" outlineLevel="0" collapsed="false">
      <c r="A152" s="8" t="s">
        <v>1310</v>
      </c>
      <c r="B152" s="8" t="s">
        <v>1304</v>
      </c>
      <c r="C152" s="8" t="n">
        <v>2</v>
      </c>
      <c r="D152" s="8" t="n">
        <v>1920</v>
      </c>
      <c r="E152" s="8" t="n">
        <v>1926</v>
      </c>
      <c r="F152" s="8" t="str">
        <f aca="false">IF(D152="","?",IF(D152&lt;1796,"pre-1796",IF(D152&lt;1912,"1796-1911",IF(D152&lt;1949,"1912-1948","1949+"))))</f>
        <v>1912-1948</v>
      </c>
      <c r="G152" s="8" t="str">
        <f aca="false">IF(D152="","?",IF(D152&lt;1912,"Qing",IF(D152&lt;1949,"Republic","PRC")))</f>
        <v>Republic</v>
      </c>
      <c r="H152" s="8" t="s">
        <v>1288</v>
      </c>
      <c r="I152" s="9" t="s">
        <v>466</v>
      </c>
      <c r="J152" s="9" t="s">
        <v>467</v>
      </c>
      <c r="K152" s="8" t="s">
        <v>84</v>
      </c>
      <c r="L152" s="9" t="s">
        <v>1305</v>
      </c>
      <c r="M152" s="8"/>
      <c r="N152" s="8"/>
      <c r="O152" s="8" t="s">
        <v>1306</v>
      </c>
      <c r="P152" s="8" t="s">
        <v>114</v>
      </c>
      <c r="Q152" s="8"/>
      <c r="R152" s="9" t="s">
        <v>1311</v>
      </c>
      <c r="S152" s="8"/>
      <c r="T152" s="8"/>
      <c r="U152" s="8"/>
      <c r="V152" s="8"/>
      <c r="W152" s="8"/>
      <c r="X152" s="8"/>
      <c r="Y152" s="8"/>
      <c r="Z152" s="8"/>
      <c r="AA152" s="8"/>
      <c r="AB152" s="8"/>
      <c r="AC152" s="8"/>
      <c r="AD152" s="8"/>
      <c r="AE152" s="9" t="s">
        <v>1160</v>
      </c>
      <c r="AF152" s="8"/>
      <c r="AG152" s="8"/>
      <c r="AH152" s="8"/>
      <c r="AI152" s="8" t="n">
        <v>0</v>
      </c>
      <c r="AJ152" s="8" t="n">
        <v>0</v>
      </c>
      <c r="AK152" s="8" t="n">
        <v>0</v>
      </c>
      <c r="AL152" s="8" t="n">
        <v>0</v>
      </c>
      <c r="AM152" s="8" t="n">
        <v>0</v>
      </c>
      <c r="AN152" s="8" t="n">
        <v>0</v>
      </c>
      <c r="AO152" s="8" t="n">
        <v>0</v>
      </c>
      <c r="AP152" s="8" t="n">
        <v>0</v>
      </c>
      <c r="AQ152" s="8" t="n">
        <v>0</v>
      </c>
      <c r="AR152" s="8" t="n">
        <v>0</v>
      </c>
      <c r="AS152" s="8" t="n">
        <v>0</v>
      </c>
      <c r="AT152" s="8" t="n">
        <v>0</v>
      </c>
      <c r="AU152" s="8" t="n">
        <v>0</v>
      </c>
      <c r="AV152" s="8" t="n">
        <v>0</v>
      </c>
      <c r="AW152" s="8" t="n">
        <v>0</v>
      </c>
      <c r="AX152" s="8" t="n">
        <v>0</v>
      </c>
      <c r="AY152" s="8" t="n">
        <v>0</v>
      </c>
      <c r="AZ152" s="8" t="n">
        <v>0</v>
      </c>
      <c r="BA152" s="8" t="n">
        <v>0</v>
      </c>
      <c r="BB152" s="8" t="n">
        <v>0</v>
      </c>
      <c r="BC152" s="8" t="n">
        <v>35</v>
      </c>
      <c r="BD152" s="8" t="n">
        <v>0</v>
      </c>
      <c r="BE152" s="8" t="n">
        <v>0</v>
      </c>
      <c r="BF152" s="8" t="n">
        <v>0</v>
      </c>
      <c r="BG152" s="10" t="s">
        <v>1308</v>
      </c>
      <c r="BH152" s="9" t="s">
        <v>1312</v>
      </c>
    </row>
    <row r="153" customFormat="false" ht="15" hidden="false" customHeight="false" outlineLevel="0" collapsed="false">
      <c r="A153" s="8" t="s">
        <v>1313</v>
      </c>
      <c r="B153" s="8" t="s">
        <v>1304</v>
      </c>
      <c r="C153" s="8" t="n">
        <v>3</v>
      </c>
      <c r="D153" s="8" t="n">
        <v>1920</v>
      </c>
      <c r="E153" s="8" t="n">
        <v>1926</v>
      </c>
      <c r="F153" s="8" t="str">
        <f aca="false">IF(D153="","?",IF(D153&lt;1796,"pre-1796",IF(D153&lt;1912,"1796-1911",IF(D153&lt;1949,"1912-1948","1949+"))))</f>
        <v>1912-1948</v>
      </c>
      <c r="G153" s="8" t="str">
        <f aca="false">IF(D153="","?",IF(D153&lt;1912,"Qing",IF(D153&lt;1949,"Republic","PRC")))</f>
        <v>Republic</v>
      </c>
      <c r="H153" s="8" t="s">
        <v>1288</v>
      </c>
      <c r="I153" s="9" t="s">
        <v>466</v>
      </c>
      <c r="J153" s="9" t="s">
        <v>467</v>
      </c>
      <c r="K153" s="8" t="s">
        <v>84</v>
      </c>
      <c r="L153" s="9" t="s">
        <v>1305</v>
      </c>
      <c r="M153" s="8"/>
      <c r="N153" s="8"/>
      <c r="O153" s="8" t="s">
        <v>1306</v>
      </c>
      <c r="P153" s="8" t="s">
        <v>114</v>
      </c>
      <c r="Q153" s="8"/>
      <c r="R153" s="9" t="s">
        <v>1314</v>
      </c>
      <c r="S153" s="8"/>
      <c r="T153" s="8"/>
      <c r="U153" s="8"/>
      <c r="V153" s="8"/>
      <c r="W153" s="8"/>
      <c r="X153" s="8"/>
      <c r="Y153" s="8"/>
      <c r="Z153" s="8"/>
      <c r="AA153" s="8"/>
      <c r="AB153" s="8"/>
      <c r="AC153" s="8"/>
      <c r="AD153" s="8"/>
      <c r="AE153" s="9" t="s">
        <v>1154</v>
      </c>
      <c r="AF153" s="8"/>
      <c r="AG153" s="9" t="s">
        <v>1156</v>
      </c>
      <c r="AH153" s="8"/>
      <c r="AI153" s="8" t="n">
        <v>0</v>
      </c>
      <c r="AJ153" s="8" t="n">
        <v>0</v>
      </c>
      <c r="AK153" s="8" t="n">
        <v>0</v>
      </c>
      <c r="AL153" s="8" t="n">
        <v>0</v>
      </c>
      <c r="AM153" s="8" t="n">
        <v>0</v>
      </c>
      <c r="AN153" s="8" t="n">
        <v>0</v>
      </c>
      <c r="AO153" s="8" t="n">
        <v>0</v>
      </c>
      <c r="AP153" s="8" t="n">
        <v>0</v>
      </c>
      <c r="AQ153" s="8" t="n">
        <v>0</v>
      </c>
      <c r="AR153" s="8" t="n">
        <v>0</v>
      </c>
      <c r="AS153" s="8" t="n">
        <v>0</v>
      </c>
      <c r="AT153" s="8" t="n">
        <v>0</v>
      </c>
      <c r="AU153" s="8" t="n">
        <v>0</v>
      </c>
      <c r="AV153" s="8" t="n">
        <v>0</v>
      </c>
      <c r="AW153" s="8" t="n">
        <v>0</v>
      </c>
      <c r="AX153" s="8" t="n">
        <v>0</v>
      </c>
      <c r="AY153" s="8" t="n">
        <v>0</v>
      </c>
      <c r="AZ153" s="8" t="n">
        <v>0</v>
      </c>
      <c r="BA153" s="8" t="n">
        <v>0</v>
      </c>
      <c r="BB153" s="8" t="n">
        <v>0</v>
      </c>
      <c r="BC153" s="8" t="n">
        <v>40</v>
      </c>
      <c r="BD153" s="8" t="n">
        <v>0</v>
      </c>
      <c r="BE153" s="8" t="n">
        <v>0</v>
      </c>
      <c r="BF153" s="8" t="n">
        <v>0</v>
      </c>
      <c r="BG153" s="10" t="s">
        <v>1308</v>
      </c>
      <c r="BH153" s="9" t="s">
        <v>1315</v>
      </c>
    </row>
    <row r="154" customFormat="false" ht="15" hidden="false" customHeight="false" outlineLevel="0" collapsed="false">
      <c r="A154" s="8" t="s">
        <v>1316</v>
      </c>
      <c r="B154" s="8" t="s">
        <v>1304</v>
      </c>
      <c r="C154" s="8" t="n">
        <v>4</v>
      </c>
      <c r="D154" s="8" t="n">
        <v>1920</v>
      </c>
      <c r="E154" s="8" t="n">
        <v>1926</v>
      </c>
      <c r="F154" s="8" t="str">
        <f aca="false">IF(D154="","?",IF(D154&lt;1796,"pre-1796",IF(D154&lt;1912,"1796-1911",IF(D154&lt;1949,"1912-1948","1949+"))))</f>
        <v>1912-1948</v>
      </c>
      <c r="G154" s="8" t="str">
        <f aca="false">IF(D154="","?",IF(D154&lt;1912,"Qing",IF(D154&lt;1949,"Republic","PRC")))</f>
        <v>Republic</v>
      </c>
      <c r="H154" s="8" t="s">
        <v>1288</v>
      </c>
      <c r="I154" s="9" t="s">
        <v>466</v>
      </c>
      <c r="J154" s="9" t="s">
        <v>467</v>
      </c>
      <c r="K154" s="8" t="s">
        <v>84</v>
      </c>
      <c r="L154" s="9" t="s">
        <v>1305</v>
      </c>
      <c r="M154" s="8"/>
      <c r="N154" s="8"/>
      <c r="O154" s="8" t="s">
        <v>1306</v>
      </c>
      <c r="P154" s="8" t="s">
        <v>114</v>
      </c>
      <c r="Q154" s="8"/>
      <c r="R154" s="9" t="s">
        <v>1317</v>
      </c>
      <c r="S154" s="8"/>
      <c r="T154" s="8"/>
      <c r="U154" s="8"/>
      <c r="V154" s="8"/>
      <c r="W154" s="8"/>
      <c r="X154" s="8"/>
      <c r="Y154" s="8"/>
      <c r="Z154" s="8"/>
      <c r="AA154" s="8"/>
      <c r="AB154" s="8"/>
      <c r="AC154" s="8"/>
      <c r="AD154" s="8"/>
      <c r="AE154" s="9" t="s">
        <v>1154</v>
      </c>
      <c r="AF154" s="9" t="s">
        <v>1155</v>
      </c>
      <c r="AG154" s="9" t="s">
        <v>1212</v>
      </c>
      <c r="AH154" s="8"/>
      <c r="AI154" s="8" t="n">
        <v>0</v>
      </c>
      <c r="AJ154" s="8" t="n">
        <v>0</v>
      </c>
      <c r="AK154" s="8" t="n">
        <v>0</v>
      </c>
      <c r="AL154" s="8" t="n">
        <v>0</v>
      </c>
      <c r="AM154" s="8" t="n">
        <v>0</v>
      </c>
      <c r="AN154" s="8" t="n">
        <v>0</v>
      </c>
      <c r="AO154" s="8" t="n">
        <v>0</v>
      </c>
      <c r="AP154" s="8" t="n">
        <v>0</v>
      </c>
      <c r="AQ154" s="8" t="n">
        <v>0</v>
      </c>
      <c r="AR154" s="8" t="n">
        <v>0</v>
      </c>
      <c r="AS154" s="8" t="n">
        <v>0</v>
      </c>
      <c r="AT154" s="8" t="n">
        <v>0</v>
      </c>
      <c r="AU154" s="8" t="n">
        <v>0</v>
      </c>
      <c r="AV154" s="8" t="n">
        <v>0</v>
      </c>
      <c r="AW154" s="8" t="n">
        <v>1</v>
      </c>
      <c r="AX154" s="8" t="n">
        <v>0</v>
      </c>
      <c r="AY154" s="8" t="n">
        <v>1</v>
      </c>
      <c r="AZ154" s="8" t="n">
        <v>0</v>
      </c>
      <c r="BA154" s="8" t="n">
        <v>0</v>
      </c>
      <c r="BB154" s="8" t="n">
        <v>0</v>
      </c>
      <c r="BC154" s="8" t="n">
        <v>79</v>
      </c>
      <c r="BD154" s="8" t="n">
        <v>0</v>
      </c>
      <c r="BE154" s="8" t="n">
        <v>0</v>
      </c>
      <c r="BF154" s="8" t="n">
        <v>0</v>
      </c>
      <c r="BG154" s="10" t="s">
        <v>1308</v>
      </c>
      <c r="BH154" s="9" t="s">
        <v>1318</v>
      </c>
    </row>
    <row r="155" customFormat="false" ht="15" hidden="false" customHeight="false" outlineLevel="0" collapsed="false">
      <c r="A155" s="8" t="s">
        <v>1319</v>
      </c>
      <c r="B155" s="8" t="s">
        <v>1304</v>
      </c>
      <c r="C155" s="8" t="n">
        <v>5</v>
      </c>
      <c r="D155" s="8" t="n">
        <v>1920</v>
      </c>
      <c r="E155" s="8" t="n">
        <v>1926</v>
      </c>
      <c r="F155" s="8" t="str">
        <f aca="false">IF(D155="","?",IF(D155&lt;1796,"pre-1796",IF(D155&lt;1912,"1796-1911",IF(D155&lt;1949,"1912-1948","1949+"))))</f>
        <v>1912-1948</v>
      </c>
      <c r="G155" s="8" t="str">
        <f aca="false">IF(D155="","?",IF(D155&lt;1912,"Qing",IF(D155&lt;1949,"Republic","PRC")))</f>
        <v>Republic</v>
      </c>
      <c r="H155" s="8" t="s">
        <v>1288</v>
      </c>
      <c r="I155" s="9" t="s">
        <v>466</v>
      </c>
      <c r="J155" s="9" t="s">
        <v>467</v>
      </c>
      <c r="K155" s="8" t="s">
        <v>84</v>
      </c>
      <c r="L155" s="9" t="s">
        <v>1305</v>
      </c>
      <c r="M155" s="8"/>
      <c r="N155" s="8"/>
      <c r="O155" s="8" t="s">
        <v>1306</v>
      </c>
      <c r="P155" s="8" t="s">
        <v>114</v>
      </c>
      <c r="Q155" s="8"/>
      <c r="R155" s="8"/>
      <c r="S155" s="8"/>
      <c r="T155" s="8"/>
      <c r="U155" s="8"/>
      <c r="V155" s="8"/>
      <c r="W155" s="8"/>
      <c r="X155" s="8"/>
      <c r="Y155" s="8"/>
      <c r="Z155" s="8"/>
      <c r="AA155" s="8"/>
      <c r="AB155" s="8"/>
      <c r="AC155" s="8"/>
      <c r="AD155" s="8"/>
      <c r="AE155" s="9" t="s">
        <v>1154</v>
      </c>
      <c r="AF155" s="8"/>
      <c r="AG155" s="9" t="s">
        <v>1320</v>
      </c>
      <c r="AH155" s="8"/>
      <c r="AI155" s="8" t="n">
        <v>0</v>
      </c>
      <c r="AJ155" s="8" t="n">
        <v>0</v>
      </c>
      <c r="AK155" s="8" t="n">
        <v>0</v>
      </c>
      <c r="AL155" s="8" t="n">
        <v>0</v>
      </c>
      <c r="AM155" s="8" t="n">
        <v>0</v>
      </c>
      <c r="AN155" s="8" t="n">
        <v>0</v>
      </c>
      <c r="AO155" s="8" t="n">
        <v>0</v>
      </c>
      <c r="AP155" s="8" t="n">
        <v>0</v>
      </c>
      <c r="AQ155" s="8" t="n">
        <v>0</v>
      </c>
      <c r="AR155" s="8" t="n">
        <v>0</v>
      </c>
      <c r="AS155" s="8" t="n">
        <v>0</v>
      </c>
      <c r="AT155" s="8" t="n">
        <v>0</v>
      </c>
      <c r="AU155" s="8" t="n">
        <v>0</v>
      </c>
      <c r="AV155" s="8" t="n">
        <v>0</v>
      </c>
      <c r="AW155" s="8" t="n">
        <v>1</v>
      </c>
      <c r="AX155" s="8" t="n">
        <v>0</v>
      </c>
      <c r="AY155" s="8" t="n">
        <v>0</v>
      </c>
      <c r="AZ155" s="8" t="n">
        <v>0</v>
      </c>
      <c r="BA155" s="8" t="n">
        <v>0</v>
      </c>
      <c r="BB155" s="8" t="n">
        <v>0</v>
      </c>
      <c r="BC155" s="8" t="n">
        <v>71</v>
      </c>
      <c r="BD155" s="8" t="n">
        <v>1</v>
      </c>
      <c r="BE155" s="8" t="n">
        <v>0</v>
      </c>
      <c r="BF155" s="8" t="n">
        <v>0</v>
      </c>
      <c r="BG155" s="10" t="s">
        <v>1308</v>
      </c>
      <c r="BH155" s="9" t="s">
        <v>1321</v>
      </c>
    </row>
    <row r="156" customFormat="false" ht="15" hidden="false" customHeight="false" outlineLevel="0" collapsed="false">
      <c r="A156" s="8" t="s">
        <v>1322</v>
      </c>
      <c r="B156" s="8" t="s">
        <v>1323</v>
      </c>
      <c r="C156" s="8" t="n">
        <v>1</v>
      </c>
      <c r="D156" s="8" t="n">
        <v>1920</v>
      </c>
      <c r="E156" s="8" t="n">
        <v>1925</v>
      </c>
      <c r="F156" s="8" t="str">
        <f aca="false">IF(D156="","?",IF(D156&lt;1796,"pre-1796",IF(D156&lt;1912,"1796-1911",IF(D156&lt;1949,"1912-1948","1949+"))))</f>
        <v>1912-1948</v>
      </c>
      <c r="G156" s="8" t="str">
        <f aca="false">IF(D156="","?",IF(D156&lt;1912,"Qing",IF(D156&lt;1949,"Republic","PRC")))</f>
        <v>Republic</v>
      </c>
      <c r="H156" s="8" t="s">
        <v>1324</v>
      </c>
      <c r="I156" s="9" t="s">
        <v>466</v>
      </c>
      <c r="J156" s="9" t="s">
        <v>467</v>
      </c>
      <c r="K156" s="8" t="s">
        <v>84</v>
      </c>
      <c r="L156" s="9" t="s">
        <v>1325</v>
      </c>
      <c r="M156" s="8"/>
      <c r="N156" s="8"/>
      <c r="O156" s="8" t="s">
        <v>1326</v>
      </c>
      <c r="P156" s="8" t="s">
        <v>114</v>
      </c>
      <c r="Q156" s="8"/>
      <c r="R156" s="9" t="s">
        <v>1327</v>
      </c>
      <c r="S156" s="8"/>
      <c r="T156" s="8"/>
      <c r="U156" s="8"/>
      <c r="V156" s="9" t="s">
        <v>327</v>
      </c>
      <c r="W156" s="8"/>
      <c r="X156" s="8"/>
      <c r="Y156" s="8"/>
      <c r="Z156" s="8"/>
      <c r="AA156" s="8"/>
      <c r="AB156" s="8"/>
      <c r="AC156" s="8"/>
      <c r="AD156" s="8"/>
      <c r="AE156" s="9" t="s">
        <v>1160</v>
      </c>
      <c r="AF156" s="8"/>
      <c r="AG156" s="8"/>
      <c r="AH156" s="8"/>
      <c r="AI156" s="8" t="n">
        <v>0</v>
      </c>
      <c r="AJ156" s="8" t="n">
        <v>0</v>
      </c>
      <c r="AK156" s="8" t="n">
        <v>0</v>
      </c>
      <c r="AL156" s="8" t="n">
        <v>0</v>
      </c>
      <c r="AM156" s="8" t="n">
        <v>0</v>
      </c>
      <c r="AN156" s="8" t="n">
        <v>0</v>
      </c>
      <c r="AO156" s="8" t="n">
        <v>0</v>
      </c>
      <c r="AP156" s="8" t="n">
        <v>0</v>
      </c>
      <c r="AQ156" s="8" t="n">
        <v>0</v>
      </c>
      <c r="AR156" s="8" t="n">
        <v>0</v>
      </c>
      <c r="AS156" s="8" t="n">
        <v>0</v>
      </c>
      <c r="AT156" s="8" t="n">
        <v>0</v>
      </c>
      <c r="AU156" s="8" t="n">
        <v>0</v>
      </c>
      <c r="AV156" s="8" t="n">
        <v>0</v>
      </c>
      <c r="AW156" s="8" t="n">
        <v>0</v>
      </c>
      <c r="AX156" s="8" t="n">
        <v>0</v>
      </c>
      <c r="AY156" s="8" t="n">
        <v>0</v>
      </c>
      <c r="AZ156" s="8" t="n">
        <v>0</v>
      </c>
      <c r="BA156" s="8" t="n">
        <v>0</v>
      </c>
      <c r="BB156" s="8" t="n">
        <v>0</v>
      </c>
      <c r="BC156" s="8" t="n">
        <v>22</v>
      </c>
      <c r="BD156" s="8" t="n">
        <v>0</v>
      </c>
      <c r="BE156" s="8" t="n">
        <v>0</v>
      </c>
      <c r="BF156" s="8" t="n">
        <v>0</v>
      </c>
      <c r="BG156" s="10" t="s">
        <v>1328</v>
      </c>
      <c r="BH156" s="9" t="s">
        <v>1329</v>
      </c>
    </row>
    <row r="157" customFormat="false" ht="15" hidden="false" customHeight="false" outlineLevel="0" collapsed="false">
      <c r="A157" s="8" t="s">
        <v>1330</v>
      </c>
      <c r="B157" s="8" t="s">
        <v>1323</v>
      </c>
      <c r="C157" s="8" t="n">
        <v>2</v>
      </c>
      <c r="D157" s="8" t="n">
        <v>1920</v>
      </c>
      <c r="E157" s="8" t="n">
        <v>1925</v>
      </c>
      <c r="F157" s="8" t="str">
        <f aca="false">IF(D157="","?",IF(D157&lt;1796,"pre-1796",IF(D157&lt;1912,"1796-1911",IF(D157&lt;1949,"1912-1948","1949+"))))</f>
        <v>1912-1948</v>
      </c>
      <c r="G157" s="8" t="str">
        <f aca="false">IF(D157="","?",IF(D157&lt;1912,"Qing",IF(D157&lt;1949,"Republic","PRC")))</f>
        <v>Republic</v>
      </c>
      <c r="H157" s="8" t="s">
        <v>1324</v>
      </c>
      <c r="I157" s="9" t="s">
        <v>466</v>
      </c>
      <c r="J157" s="9" t="s">
        <v>467</v>
      </c>
      <c r="K157" s="8" t="s">
        <v>84</v>
      </c>
      <c r="L157" s="9" t="s">
        <v>1325</v>
      </c>
      <c r="M157" s="8"/>
      <c r="N157" s="8"/>
      <c r="O157" s="8" t="s">
        <v>1326</v>
      </c>
      <c r="P157" s="8" t="s">
        <v>114</v>
      </c>
      <c r="Q157" s="8"/>
      <c r="R157" s="8"/>
      <c r="S157" s="8"/>
      <c r="T157" s="8"/>
      <c r="U157" s="8"/>
      <c r="V157" s="8"/>
      <c r="W157" s="8"/>
      <c r="X157" s="8"/>
      <c r="Y157" s="8"/>
      <c r="Z157" s="8"/>
      <c r="AA157" s="8"/>
      <c r="AB157" s="8"/>
      <c r="AC157" s="8"/>
      <c r="AD157" s="8"/>
      <c r="AE157" s="9" t="s">
        <v>1331</v>
      </c>
      <c r="AF157" s="8"/>
      <c r="AG157" s="8"/>
      <c r="AH157" s="8"/>
      <c r="AI157" s="8" t="n">
        <v>0</v>
      </c>
      <c r="AJ157" s="8" t="n">
        <v>0</v>
      </c>
      <c r="AK157" s="8" t="n">
        <v>0</v>
      </c>
      <c r="AL157" s="8" t="n">
        <v>0</v>
      </c>
      <c r="AM157" s="8" t="n">
        <v>0</v>
      </c>
      <c r="AN157" s="8" t="n">
        <v>0</v>
      </c>
      <c r="AO157" s="8" t="n">
        <v>0</v>
      </c>
      <c r="AP157" s="8" t="n">
        <v>0</v>
      </c>
      <c r="AQ157" s="8" t="n">
        <v>0</v>
      </c>
      <c r="AR157" s="8" t="n">
        <v>0</v>
      </c>
      <c r="AS157" s="8" t="n">
        <v>0</v>
      </c>
      <c r="AT157" s="8" t="n">
        <v>0</v>
      </c>
      <c r="AU157" s="8" t="n">
        <v>0</v>
      </c>
      <c r="AV157" s="8" t="n">
        <v>0</v>
      </c>
      <c r="AW157" s="8" t="n">
        <v>0</v>
      </c>
      <c r="AX157" s="8" t="n">
        <v>0</v>
      </c>
      <c r="AY157" s="8" t="n">
        <v>0</v>
      </c>
      <c r="AZ157" s="8" t="n">
        <v>0</v>
      </c>
      <c r="BA157" s="8" t="n">
        <v>0</v>
      </c>
      <c r="BB157" s="8" t="n">
        <v>0</v>
      </c>
      <c r="BC157" s="8" t="n">
        <v>164</v>
      </c>
      <c r="BD157" s="8" t="n">
        <v>0</v>
      </c>
      <c r="BE157" s="8" t="n">
        <v>0</v>
      </c>
      <c r="BF157" s="8" t="n">
        <v>1</v>
      </c>
      <c r="BG157" s="10" t="s">
        <v>1328</v>
      </c>
      <c r="BH157" s="9" t="s">
        <v>1332</v>
      </c>
    </row>
    <row r="158" customFormat="false" ht="15" hidden="false" customHeight="false" outlineLevel="0" collapsed="false">
      <c r="A158" s="8" t="s">
        <v>1333</v>
      </c>
      <c r="B158" s="8" t="s">
        <v>1323</v>
      </c>
      <c r="C158" s="8" t="n">
        <v>3</v>
      </c>
      <c r="D158" s="8" t="n">
        <v>1920</v>
      </c>
      <c r="E158" s="8" t="n">
        <v>1925</v>
      </c>
      <c r="F158" s="8" t="str">
        <f aca="false">IF(D158="","?",IF(D158&lt;1796,"pre-1796",IF(D158&lt;1912,"1796-1911",IF(D158&lt;1949,"1912-1948","1949+"))))</f>
        <v>1912-1948</v>
      </c>
      <c r="G158" s="8" t="str">
        <f aca="false">IF(D158="","?",IF(D158&lt;1912,"Qing",IF(D158&lt;1949,"Republic","PRC")))</f>
        <v>Republic</v>
      </c>
      <c r="H158" s="8" t="s">
        <v>1324</v>
      </c>
      <c r="I158" s="9" t="s">
        <v>466</v>
      </c>
      <c r="J158" s="9" t="s">
        <v>467</v>
      </c>
      <c r="K158" s="8" t="s">
        <v>84</v>
      </c>
      <c r="L158" s="9" t="s">
        <v>1325</v>
      </c>
      <c r="M158" s="8"/>
      <c r="N158" s="8"/>
      <c r="O158" s="8" t="s">
        <v>1326</v>
      </c>
      <c r="P158" s="8" t="s">
        <v>114</v>
      </c>
      <c r="Q158" s="8"/>
      <c r="R158" s="9" t="s">
        <v>1334</v>
      </c>
      <c r="S158" s="8"/>
      <c r="T158" s="8"/>
      <c r="U158" s="8"/>
      <c r="V158" s="8"/>
      <c r="W158" s="8"/>
      <c r="X158" s="8"/>
      <c r="Y158" s="8"/>
      <c r="Z158" s="8"/>
      <c r="AA158" s="8"/>
      <c r="AB158" s="8"/>
      <c r="AC158" s="8"/>
      <c r="AD158" s="8"/>
      <c r="AE158" s="9" t="s">
        <v>1230</v>
      </c>
      <c r="AF158" s="8"/>
      <c r="AG158" s="8"/>
      <c r="AH158" s="8"/>
      <c r="AI158" s="8" t="n">
        <v>0</v>
      </c>
      <c r="AJ158" s="8" t="n">
        <v>0</v>
      </c>
      <c r="AK158" s="8" t="n">
        <v>0</v>
      </c>
      <c r="AL158" s="8" t="n">
        <v>0</v>
      </c>
      <c r="AM158" s="8" t="n">
        <v>0</v>
      </c>
      <c r="AN158" s="8" t="n">
        <v>0</v>
      </c>
      <c r="AO158" s="8" t="n">
        <v>0</v>
      </c>
      <c r="AP158" s="8" t="n">
        <v>0</v>
      </c>
      <c r="AQ158" s="8" t="n">
        <v>0</v>
      </c>
      <c r="AR158" s="8" t="n">
        <v>0</v>
      </c>
      <c r="AS158" s="8" t="n">
        <v>0</v>
      </c>
      <c r="AT158" s="8" t="n">
        <v>0</v>
      </c>
      <c r="AU158" s="8" t="n">
        <v>0</v>
      </c>
      <c r="AV158" s="8" t="n">
        <v>0</v>
      </c>
      <c r="AW158" s="8" t="n">
        <v>0</v>
      </c>
      <c r="AX158" s="8" t="n">
        <v>0</v>
      </c>
      <c r="AY158" s="8" t="n">
        <v>0</v>
      </c>
      <c r="AZ158" s="8" t="n">
        <v>0</v>
      </c>
      <c r="BA158" s="8" t="n">
        <v>0</v>
      </c>
      <c r="BB158" s="8" t="n">
        <v>0</v>
      </c>
      <c r="BC158" s="8" t="n">
        <v>42</v>
      </c>
      <c r="BD158" s="8" t="n">
        <v>0</v>
      </c>
      <c r="BE158" s="8" t="n">
        <v>4</v>
      </c>
      <c r="BF158" s="8" t="n">
        <v>0</v>
      </c>
      <c r="BG158" s="10" t="s">
        <v>1328</v>
      </c>
      <c r="BH158" s="9" t="s">
        <v>1335</v>
      </c>
    </row>
    <row r="159" customFormat="false" ht="15" hidden="false" customHeight="false" outlineLevel="0" collapsed="false">
      <c r="A159" s="8" t="s">
        <v>1336</v>
      </c>
      <c r="B159" s="8" t="s">
        <v>1323</v>
      </c>
      <c r="C159" s="8" t="n">
        <v>4</v>
      </c>
      <c r="D159" s="8" t="n">
        <v>1920</v>
      </c>
      <c r="E159" s="8" t="n">
        <v>1925</v>
      </c>
      <c r="F159" s="8" t="str">
        <f aca="false">IF(D159="","?",IF(D159&lt;1796,"pre-1796",IF(D159&lt;1912,"1796-1911",IF(D159&lt;1949,"1912-1948","1949+"))))</f>
        <v>1912-1948</v>
      </c>
      <c r="G159" s="8" t="str">
        <f aca="false">IF(D159="","?",IF(D159&lt;1912,"Qing",IF(D159&lt;1949,"Republic","PRC")))</f>
        <v>Republic</v>
      </c>
      <c r="H159" s="8" t="s">
        <v>1324</v>
      </c>
      <c r="I159" s="9" t="s">
        <v>466</v>
      </c>
      <c r="J159" s="9" t="s">
        <v>467</v>
      </c>
      <c r="K159" s="8" t="s">
        <v>84</v>
      </c>
      <c r="L159" s="9" t="s">
        <v>1325</v>
      </c>
      <c r="M159" s="8"/>
      <c r="N159" s="8"/>
      <c r="O159" s="8" t="s">
        <v>1326</v>
      </c>
      <c r="P159" s="8" t="s">
        <v>87</v>
      </c>
      <c r="Q159" s="8"/>
      <c r="R159" s="8"/>
      <c r="S159" s="8"/>
      <c r="T159" s="8"/>
      <c r="U159" s="8"/>
      <c r="V159" s="8"/>
      <c r="W159" s="8"/>
      <c r="X159" s="8"/>
      <c r="Y159" s="8"/>
      <c r="Z159" s="8"/>
      <c r="AA159" s="8"/>
      <c r="AB159" s="8"/>
      <c r="AC159" s="8"/>
      <c r="AD159" s="8"/>
      <c r="AE159" s="8"/>
      <c r="AF159" s="8"/>
      <c r="AG159" s="8"/>
      <c r="AH159" s="8"/>
      <c r="AI159" s="8" t="n">
        <v>0</v>
      </c>
      <c r="AJ159" s="8" t="n">
        <v>0</v>
      </c>
      <c r="AK159" s="8" t="n">
        <v>0</v>
      </c>
      <c r="AL159" s="8" t="n">
        <v>0</v>
      </c>
      <c r="AM159" s="8" t="n">
        <v>0</v>
      </c>
      <c r="AN159" s="8" t="n">
        <v>0</v>
      </c>
      <c r="AO159" s="8" t="n">
        <v>0</v>
      </c>
      <c r="AP159" s="8" t="n">
        <v>0</v>
      </c>
      <c r="AQ159" s="8" t="n">
        <v>0</v>
      </c>
      <c r="AR159" s="8" t="n">
        <v>0</v>
      </c>
      <c r="AS159" s="8" t="n">
        <v>0</v>
      </c>
      <c r="AT159" s="8" t="n">
        <v>0</v>
      </c>
      <c r="AU159" s="8" t="n">
        <v>0</v>
      </c>
      <c r="AV159" s="8" t="n">
        <v>0</v>
      </c>
      <c r="AW159" s="8" t="n">
        <v>0</v>
      </c>
      <c r="AX159" s="8" t="n">
        <v>0</v>
      </c>
      <c r="AY159" s="8" t="n">
        <v>0</v>
      </c>
      <c r="AZ159" s="8" t="n">
        <v>0</v>
      </c>
      <c r="BA159" s="8" t="n">
        <v>0</v>
      </c>
      <c r="BB159" s="8" t="n">
        <v>0</v>
      </c>
      <c r="BC159" s="8" t="n">
        <v>4</v>
      </c>
      <c r="BD159" s="8" t="n">
        <v>0</v>
      </c>
      <c r="BE159" s="8" t="n">
        <v>0</v>
      </c>
      <c r="BF159" s="8" t="n">
        <v>0</v>
      </c>
      <c r="BG159" s="10" t="s">
        <v>1328</v>
      </c>
      <c r="BH159" s="9" t="s">
        <v>1337</v>
      </c>
    </row>
    <row r="160" customFormat="false" ht="15" hidden="false" customHeight="false" outlineLevel="0" collapsed="false">
      <c r="A160" s="8" t="s">
        <v>1338</v>
      </c>
      <c r="B160" s="8" t="s">
        <v>1323</v>
      </c>
      <c r="C160" s="8" t="n">
        <v>5</v>
      </c>
      <c r="D160" s="8" t="n">
        <v>1920</v>
      </c>
      <c r="E160" s="8" t="n">
        <v>1925</v>
      </c>
      <c r="F160" s="8" t="str">
        <f aca="false">IF(D160="","?",IF(D160&lt;1796,"pre-1796",IF(D160&lt;1912,"1796-1911",IF(D160&lt;1949,"1912-1948","1949+"))))</f>
        <v>1912-1948</v>
      </c>
      <c r="G160" s="8" t="str">
        <f aca="false">IF(D160="","?",IF(D160&lt;1912,"Qing",IF(D160&lt;1949,"Republic","PRC")))</f>
        <v>Republic</v>
      </c>
      <c r="H160" s="8" t="s">
        <v>1324</v>
      </c>
      <c r="I160" s="9" t="s">
        <v>466</v>
      </c>
      <c r="J160" s="9" t="s">
        <v>467</v>
      </c>
      <c r="K160" s="8" t="s">
        <v>84</v>
      </c>
      <c r="L160" s="9" t="s">
        <v>1325</v>
      </c>
      <c r="M160" s="8"/>
      <c r="N160" s="8"/>
      <c r="O160" s="8" t="s">
        <v>1326</v>
      </c>
      <c r="P160" s="8" t="s">
        <v>114</v>
      </c>
      <c r="Q160" s="8"/>
      <c r="R160" s="8"/>
      <c r="S160" s="8"/>
      <c r="T160" s="8"/>
      <c r="U160" s="8"/>
      <c r="V160" s="8"/>
      <c r="W160" s="8"/>
      <c r="X160" s="8"/>
      <c r="Y160" s="8"/>
      <c r="Z160" s="8"/>
      <c r="AA160" s="8"/>
      <c r="AB160" s="8"/>
      <c r="AC160" s="8"/>
      <c r="AD160" s="8"/>
      <c r="AE160" s="9" t="s">
        <v>1154</v>
      </c>
      <c r="AF160" s="8"/>
      <c r="AG160" s="9" t="s">
        <v>1156</v>
      </c>
      <c r="AH160" s="8"/>
      <c r="AI160" s="8" t="n">
        <v>0</v>
      </c>
      <c r="AJ160" s="8" t="n">
        <v>0</v>
      </c>
      <c r="AK160" s="8" t="n">
        <v>0</v>
      </c>
      <c r="AL160" s="8" t="n">
        <v>0</v>
      </c>
      <c r="AM160" s="8" t="n">
        <v>0</v>
      </c>
      <c r="AN160" s="8" t="n">
        <v>0</v>
      </c>
      <c r="AO160" s="8" t="n">
        <v>0</v>
      </c>
      <c r="AP160" s="8" t="n">
        <v>0</v>
      </c>
      <c r="AQ160" s="8" t="n">
        <v>0</v>
      </c>
      <c r="AR160" s="8" t="n">
        <v>0</v>
      </c>
      <c r="AS160" s="8" t="n">
        <v>0</v>
      </c>
      <c r="AT160" s="8" t="n">
        <v>0</v>
      </c>
      <c r="AU160" s="8" t="n">
        <v>0</v>
      </c>
      <c r="AV160" s="8" t="n">
        <v>0</v>
      </c>
      <c r="AW160" s="8" t="n">
        <v>0</v>
      </c>
      <c r="AX160" s="8" t="n">
        <v>0</v>
      </c>
      <c r="AY160" s="8" t="n">
        <v>0</v>
      </c>
      <c r="AZ160" s="8" t="n">
        <v>0</v>
      </c>
      <c r="BA160" s="8" t="n">
        <v>0</v>
      </c>
      <c r="BB160" s="8" t="n">
        <v>0</v>
      </c>
      <c r="BC160" s="8" t="n">
        <v>89</v>
      </c>
      <c r="BD160" s="8" t="n">
        <v>0</v>
      </c>
      <c r="BE160" s="8" t="n">
        <v>0</v>
      </c>
      <c r="BF160" s="8" t="n">
        <v>0</v>
      </c>
      <c r="BG160" s="10" t="s">
        <v>1328</v>
      </c>
      <c r="BH160" s="9" t="s">
        <v>1339</v>
      </c>
    </row>
    <row r="161" customFormat="false" ht="15" hidden="false" customHeight="false" outlineLevel="0" collapsed="false">
      <c r="A161" s="8" t="s">
        <v>1340</v>
      </c>
      <c r="B161" s="8" t="s">
        <v>1323</v>
      </c>
      <c r="C161" s="8" t="n">
        <v>6</v>
      </c>
      <c r="D161" s="8" t="n">
        <v>1920</v>
      </c>
      <c r="E161" s="8" t="n">
        <v>1925</v>
      </c>
      <c r="F161" s="8" t="str">
        <f aca="false">IF(D161="","?",IF(D161&lt;1796,"pre-1796",IF(D161&lt;1912,"1796-1911",IF(D161&lt;1949,"1912-1948","1949+"))))</f>
        <v>1912-1948</v>
      </c>
      <c r="G161" s="8" t="str">
        <f aca="false">IF(D161="","?",IF(D161&lt;1912,"Qing",IF(D161&lt;1949,"Republic","PRC")))</f>
        <v>Republic</v>
      </c>
      <c r="H161" s="8" t="s">
        <v>1324</v>
      </c>
      <c r="I161" s="9" t="s">
        <v>466</v>
      </c>
      <c r="J161" s="9" t="s">
        <v>467</v>
      </c>
      <c r="K161" s="8" t="s">
        <v>84</v>
      </c>
      <c r="L161" s="9" t="s">
        <v>1325</v>
      </c>
      <c r="M161" s="8"/>
      <c r="N161" s="8"/>
      <c r="O161" s="8" t="s">
        <v>1326</v>
      </c>
      <c r="P161" s="8" t="s">
        <v>114</v>
      </c>
      <c r="Q161" s="8"/>
      <c r="R161" s="9" t="s">
        <v>1341</v>
      </c>
      <c r="S161" s="8"/>
      <c r="T161" s="8"/>
      <c r="U161" s="8"/>
      <c r="V161" s="8"/>
      <c r="W161" s="8"/>
      <c r="X161" s="8"/>
      <c r="Y161" s="8"/>
      <c r="Z161" s="8"/>
      <c r="AA161" s="8"/>
      <c r="AB161" s="8"/>
      <c r="AC161" s="8"/>
      <c r="AD161" s="8"/>
      <c r="AE161" s="9" t="s">
        <v>1154</v>
      </c>
      <c r="AF161" s="8"/>
      <c r="AG161" s="9" t="s">
        <v>1156</v>
      </c>
      <c r="AH161" s="9" t="s">
        <v>1342</v>
      </c>
      <c r="AI161" s="8" t="n">
        <v>0</v>
      </c>
      <c r="AJ161" s="8" t="n">
        <v>0</v>
      </c>
      <c r="AK161" s="8" t="n">
        <v>0</v>
      </c>
      <c r="AL161" s="8" t="n">
        <v>0</v>
      </c>
      <c r="AM161" s="8" t="n">
        <v>0</v>
      </c>
      <c r="AN161" s="8" t="n">
        <v>0</v>
      </c>
      <c r="AO161" s="8" t="n">
        <v>0</v>
      </c>
      <c r="AP161" s="8" t="n">
        <v>0</v>
      </c>
      <c r="AQ161" s="8" t="n">
        <v>0</v>
      </c>
      <c r="AR161" s="8" t="n">
        <v>0</v>
      </c>
      <c r="AS161" s="8" t="n">
        <v>0</v>
      </c>
      <c r="AT161" s="8" t="n">
        <v>0</v>
      </c>
      <c r="AU161" s="8" t="n">
        <v>0</v>
      </c>
      <c r="AV161" s="8" t="n">
        <v>0</v>
      </c>
      <c r="AW161" s="8" t="n">
        <v>0</v>
      </c>
      <c r="AX161" s="8" t="n">
        <v>0</v>
      </c>
      <c r="AY161" s="8" t="n">
        <v>0</v>
      </c>
      <c r="AZ161" s="8" t="n">
        <v>0</v>
      </c>
      <c r="BA161" s="8" t="n">
        <v>0</v>
      </c>
      <c r="BB161" s="8" t="n">
        <v>0</v>
      </c>
      <c r="BC161" s="8" t="n">
        <v>78</v>
      </c>
      <c r="BD161" s="8" t="n">
        <v>0</v>
      </c>
      <c r="BE161" s="8" t="n">
        <v>0</v>
      </c>
      <c r="BF161" s="8" t="n">
        <v>0</v>
      </c>
      <c r="BG161" s="10" t="s">
        <v>1328</v>
      </c>
      <c r="BH161" s="9" t="s">
        <v>1343</v>
      </c>
    </row>
    <row r="162" customFormat="false" ht="15" hidden="false" customHeight="false" outlineLevel="0" collapsed="false">
      <c r="A162" s="8" t="s">
        <v>1344</v>
      </c>
      <c r="B162" s="8" t="s">
        <v>1323</v>
      </c>
      <c r="C162" s="8" t="n">
        <v>7</v>
      </c>
      <c r="D162" s="8" t="n">
        <v>1920</v>
      </c>
      <c r="E162" s="8" t="n">
        <v>1925</v>
      </c>
      <c r="F162" s="8" t="str">
        <f aca="false">IF(D162="","?",IF(D162&lt;1796,"pre-1796",IF(D162&lt;1912,"1796-1911",IF(D162&lt;1949,"1912-1948","1949+"))))</f>
        <v>1912-1948</v>
      </c>
      <c r="G162" s="8" t="str">
        <f aca="false">IF(D162="","?",IF(D162&lt;1912,"Qing",IF(D162&lt;1949,"Republic","PRC")))</f>
        <v>Republic</v>
      </c>
      <c r="H162" s="8" t="s">
        <v>1324</v>
      </c>
      <c r="I162" s="9" t="s">
        <v>466</v>
      </c>
      <c r="J162" s="9" t="s">
        <v>467</v>
      </c>
      <c r="K162" s="8" t="s">
        <v>84</v>
      </c>
      <c r="L162" s="9" t="s">
        <v>1325</v>
      </c>
      <c r="M162" s="8"/>
      <c r="N162" s="8"/>
      <c r="O162" s="8" t="s">
        <v>1326</v>
      </c>
      <c r="P162" s="8" t="s">
        <v>114</v>
      </c>
      <c r="Q162" s="8"/>
      <c r="R162" s="9" t="s">
        <v>1345</v>
      </c>
      <c r="S162" s="8"/>
      <c r="T162" s="8"/>
      <c r="U162" s="8"/>
      <c r="V162" s="8"/>
      <c r="W162" s="8"/>
      <c r="X162" s="8"/>
      <c r="Y162" s="8"/>
      <c r="Z162" s="8"/>
      <c r="AA162" s="8"/>
      <c r="AB162" s="8"/>
      <c r="AC162" s="8"/>
      <c r="AD162" s="8"/>
      <c r="AE162" s="9" t="s">
        <v>1346</v>
      </c>
      <c r="AF162" s="8"/>
      <c r="AG162" s="8"/>
      <c r="AH162" s="8"/>
      <c r="AI162" s="8" t="n">
        <v>0</v>
      </c>
      <c r="AJ162" s="8" t="n">
        <v>0</v>
      </c>
      <c r="AK162" s="8" t="n">
        <v>0</v>
      </c>
      <c r="AL162" s="8" t="n">
        <v>0</v>
      </c>
      <c r="AM162" s="8" t="n">
        <v>0</v>
      </c>
      <c r="AN162" s="8" t="n">
        <v>0</v>
      </c>
      <c r="AO162" s="8" t="n">
        <v>0</v>
      </c>
      <c r="AP162" s="8" t="n">
        <v>0</v>
      </c>
      <c r="AQ162" s="8" t="n">
        <v>0</v>
      </c>
      <c r="AR162" s="8" t="n">
        <v>0</v>
      </c>
      <c r="AS162" s="8" t="n">
        <v>0</v>
      </c>
      <c r="AT162" s="8" t="n">
        <v>0</v>
      </c>
      <c r="AU162" s="8" t="n">
        <v>0</v>
      </c>
      <c r="AV162" s="8" t="n">
        <v>0</v>
      </c>
      <c r="AW162" s="8" t="n">
        <v>0</v>
      </c>
      <c r="AX162" s="8" t="n">
        <v>0</v>
      </c>
      <c r="AY162" s="8" t="n">
        <v>1</v>
      </c>
      <c r="AZ162" s="8" t="n">
        <v>0</v>
      </c>
      <c r="BA162" s="8" t="n">
        <v>1</v>
      </c>
      <c r="BB162" s="8" t="n">
        <v>0</v>
      </c>
      <c r="BC162" s="8" t="n">
        <v>104</v>
      </c>
      <c r="BD162" s="8" t="n">
        <v>0</v>
      </c>
      <c r="BE162" s="8" t="n">
        <v>0</v>
      </c>
      <c r="BF162" s="8" t="n">
        <v>0</v>
      </c>
      <c r="BG162" s="10" t="s">
        <v>1328</v>
      </c>
      <c r="BH162" s="9" t="s">
        <v>1347</v>
      </c>
    </row>
    <row r="163" customFormat="false" ht="15" hidden="false" customHeight="false" outlineLevel="0" collapsed="false">
      <c r="A163" s="8" t="s">
        <v>1348</v>
      </c>
      <c r="B163" s="8" t="s">
        <v>1349</v>
      </c>
      <c r="C163" s="8" t="n">
        <v>1</v>
      </c>
      <c r="D163" s="8" t="n">
        <v>1920</v>
      </c>
      <c r="E163" s="8" t="n">
        <v>1932</v>
      </c>
      <c r="F163" s="8" t="str">
        <f aca="false">IF(D163="","?",IF(D163&lt;1796,"pre-1796",IF(D163&lt;1912,"1796-1911",IF(D163&lt;1949,"1912-1948","1949+"))))</f>
        <v>1912-1948</v>
      </c>
      <c r="G163" s="8" t="str">
        <f aca="false">IF(D163="","?",IF(D163&lt;1912,"Qing",IF(D163&lt;1949,"Republic","PRC")))</f>
        <v>Republic</v>
      </c>
      <c r="H163" s="8" t="s">
        <v>1350</v>
      </c>
      <c r="I163" s="9" t="s">
        <v>128</v>
      </c>
      <c r="J163" s="9" t="s">
        <v>175</v>
      </c>
      <c r="K163" s="8" t="s">
        <v>84</v>
      </c>
      <c r="L163" s="9" t="s">
        <v>1351</v>
      </c>
      <c r="M163" s="8"/>
      <c r="N163" s="8"/>
      <c r="O163" s="8" t="s">
        <v>1352</v>
      </c>
      <c r="P163" s="8" t="s">
        <v>87</v>
      </c>
      <c r="Q163" s="8"/>
      <c r="R163" s="9" t="s">
        <v>1353</v>
      </c>
      <c r="S163" s="8"/>
      <c r="T163" s="8"/>
      <c r="U163" s="9" t="s">
        <v>1354</v>
      </c>
      <c r="V163" s="8"/>
      <c r="W163" s="8"/>
      <c r="X163" s="8"/>
      <c r="Y163" s="8"/>
      <c r="Z163" s="8"/>
      <c r="AA163" s="8"/>
      <c r="AB163" s="8"/>
      <c r="AC163" s="8"/>
      <c r="AD163" s="8"/>
      <c r="AE163" s="8"/>
      <c r="AF163" s="8"/>
      <c r="AG163" s="8"/>
      <c r="AH163" s="8"/>
      <c r="AI163" s="8" t="n">
        <v>0</v>
      </c>
      <c r="AJ163" s="8" t="n">
        <v>0</v>
      </c>
      <c r="AK163" s="8" t="n">
        <v>0</v>
      </c>
      <c r="AL163" s="8" t="n">
        <v>0</v>
      </c>
      <c r="AM163" s="8" t="n">
        <v>0</v>
      </c>
      <c r="AN163" s="8" t="n">
        <v>0</v>
      </c>
      <c r="AO163" s="8" t="n">
        <v>0</v>
      </c>
      <c r="AP163" s="8" t="n">
        <v>0</v>
      </c>
      <c r="AQ163" s="8" t="n">
        <v>0</v>
      </c>
      <c r="AR163" s="8" t="n">
        <v>0</v>
      </c>
      <c r="AS163" s="8" t="n">
        <v>0</v>
      </c>
      <c r="AT163" s="8" t="n">
        <v>0</v>
      </c>
      <c r="AU163" s="8" t="n">
        <v>0</v>
      </c>
      <c r="AV163" s="8" t="n">
        <v>0</v>
      </c>
      <c r="AW163" s="8" t="n">
        <v>1</v>
      </c>
      <c r="AX163" s="8" t="n">
        <v>0</v>
      </c>
      <c r="AY163" s="8" t="n">
        <v>0</v>
      </c>
      <c r="AZ163" s="8" t="n">
        <v>0</v>
      </c>
      <c r="BA163" s="8" t="n">
        <v>0</v>
      </c>
      <c r="BB163" s="8" t="n">
        <v>0</v>
      </c>
      <c r="BC163" s="8" t="n">
        <v>85</v>
      </c>
      <c r="BD163" s="8" t="n">
        <v>0</v>
      </c>
      <c r="BE163" s="8" t="n">
        <v>0</v>
      </c>
      <c r="BF163" s="8" t="n">
        <v>0</v>
      </c>
      <c r="BG163" s="10" t="s">
        <v>1355</v>
      </c>
      <c r="BH163" s="9" t="s">
        <v>1356</v>
      </c>
    </row>
    <row r="164" customFormat="false" ht="15" hidden="false" customHeight="false" outlineLevel="0" collapsed="false">
      <c r="A164" s="8" t="s">
        <v>1357</v>
      </c>
      <c r="B164" s="8" t="s">
        <v>1349</v>
      </c>
      <c r="C164" s="8" t="n">
        <v>2</v>
      </c>
      <c r="D164" s="8" t="n">
        <v>1920</v>
      </c>
      <c r="E164" s="8" t="n">
        <v>1932</v>
      </c>
      <c r="F164" s="8" t="str">
        <f aca="false">IF(D164="","?",IF(D164&lt;1796,"pre-1796",IF(D164&lt;1912,"1796-1911",IF(D164&lt;1949,"1912-1948","1949+"))))</f>
        <v>1912-1948</v>
      </c>
      <c r="G164" s="8" t="str">
        <f aca="false">IF(D164="","?",IF(D164&lt;1912,"Qing",IF(D164&lt;1949,"Republic","PRC")))</f>
        <v>Republic</v>
      </c>
      <c r="H164" s="8" t="s">
        <v>1350</v>
      </c>
      <c r="I164" s="9" t="s">
        <v>128</v>
      </c>
      <c r="J164" s="9" t="s">
        <v>175</v>
      </c>
      <c r="K164" s="8" t="s">
        <v>84</v>
      </c>
      <c r="L164" s="9" t="s">
        <v>1351</v>
      </c>
      <c r="M164" s="8"/>
      <c r="N164" s="8"/>
      <c r="O164" s="8" t="s">
        <v>1352</v>
      </c>
      <c r="P164" s="8" t="s">
        <v>114</v>
      </c>
      <c r="Q164" s="8"/>
      <c r="R164" s="9" t="s">
        <v>1358</v>
      </c>
      <c r="S164" s="8"/>
      <c r="T164" s="8"/>
      <c r="U164" s="8"/>
      <c r="V164" s="8"/>
      <c r="W164" s="8"/>
      <c r="X164" s="8"/>
      <c r="Y164" s="8"/>
      <c r="Z164" s="8"/>
      <c r="AA164" s="8"/>
      <c r="AB164" s="8"/>
      <c r="AC164" s="8"/>
      <c r="AD164" s="8"/>
      <c r="AE164" s="8"/>
      <c r="AF164" s="8"/>
      <c r="AG164" s="8"/>
      <c r="AH164" s="8"/>
      <c r="AI164" s="8" t="n">
        <v>0</v>
      </c>
      <c r="AJ164" s="8" t="n">
        <v>0</v>
      </c>
      <c r="AK164" s="8" t="n">
        <v>0</v>
      </c>
      <c r="AL164" s="8" t="n">
        <v>0</v>
      </c>
      <c r="AM164" s="8" t="n">
        <v>0</v>
      </c>
      <c r="AN164" s="8" t="n">
        <v>0</v>
      </c>
      <c r="AO164" s="8" t="n">
        <v>0</v>
      </c>
      <c r="AP164" s="8" t="n">
        <v>0</v>
      </c>
      <c r="AQ164" s="8" t="n">
        <v>0</v>
      </c>
      <c r="AR164" s="8" t="n">
        <v>0</v>
      </c>
      <c r="AS164" s="8" t="n">
        <v>0</v>
      </c>
      <c r="AT164" s="8" t="n">
        <v>0</v>
      </c>
      <c r="AU164" s="8" t="n">
        <v>0</v>
      </c>
      <c r="AV164" s="8" t="n">
        <v>0</v>
      </c>
      <c r="AW164" s="8" t="n">
        <v>0</v>
      </c>
      <c r="AX164" s="8" t="n">
        <v>0</v>
      </c>
      <c r="AY164" s="8" t="n">
        <v>0</v>
      </c>
      <c r="AZ164" s="8" t="n">
        <v>0</v>
      </c>
      <c r="BA164" s="8" t="n">
        <v>0</v>
      </c>
      <c r="BB164" s="8" t="n">
        <v>0</v>
      </c>
      <c r="BC164" s="8" t="n">
        <v>113</v>
      </c>
      <c r="BD164" s="8" t="n">
        <v>0</v>
      </c>
      <c r="BE164" s="8" t="n">
        <v>2</v>
      </c>
      <c r="BF164" s="8" t="n">
        <v>0</v>
      </c>
      <c r="BG164" s="10" t="s">
        <v>1355</v>
      </c>
      <c r="BH164" s="9" t="s">
        <v>1359</v>
      </c>
    </row>
    <row r="165" customFormat="false" ht="15" hidden="false" customHeight="false" outlineLevel="0" collapsed="false">
      <c r="A165" s="8" t="s">
        <v>1360</v>
      </c>
      <c r="B165" s="8" t="s">
        <v>1349</v>
      </c>
      <c r="C165" s="8" t="n">
        <v>3</v>
      </c>
      <c r="D165" s="8" t="n">
        <v>1920</v>
      </c>
      <c r="E165" s="8" t="n">
        <v>1932</v>
      </c>
      <c r="F165" s="8" t="str">
        <f aca="false">IF(D165="","?",IF(D165&lt;1796,"pre-1796",IF(D165&lt;1912,"1796-1911",IF(D165&lt;1949,"1912-1948","1949+"))))</f>
        <v>1912-1948</v>
      </c>
      <c r="G165" s="8" t="str">
        <f aca="false">IF(D165="","?",IF(D165&lt;1912,"Qing",IF(D165&lt;1949,"Republic","PRC")))</f>
        <v>Republic</v>
      </c>
      <c r="H165" s="8" t="s">
        <v>1350</v>
      </c>
      <c r="I165" s="9" t="s">
        <v>128</v>
      </c>
      <c r="J165" s="9" t="s">
        <v>175</v>
      </c>
      <c r="K165" s="8" t="s">
        <v>84</v>
      </c>
      <c r="L165" s="9" t="s">
        <v>1351</v>
      </c>
      <c r="M165" s="8"/>
      <c r="N165" s="8"/>
      <c r="O165" s="8" t="s">
        <v>1352</v>
      </c>
      <c r="P165" s="8" t="s">
        <v>87</v>
      </c>
      <c r="Q165" s="8"/>
      <c r="R165" s="9" t="s">
        <v>1358</v>
      </c>
      <c r="S165" s="8"/>
      <c r="T165" s="8"/>
      <c r="U165" s="8"/>
      <c r="V165" s="8"/>
      <c r="W165" s="8"/>
      <c r="X165" s="8"/>
      <c r="Y165" s="8"/>
      <c r="Z165" s="8"/>
      <c r="AA165" s="8"/>
      <c r="AB165" s="8"/>
      <c r="AC165" s="8"/>
      <c r="AD165" s="8"/>
      <c r="AE165" s="9" t="s">
        <v>1361</v>
      </c>
      <c r="AF165" s="8"/>
      <c r="AG165" s="8"/>
      <c r="AH165" s="8"/>
      <c r="AI165" s="8" t="n">
        <v>0</v>
      </c>
      <c r="AJ165" s="8" t="n">
        <v>0</v>
      </c>
      <c r="AK165" s="8" t="n">
        <v>0</v>
      </c>
      <c r="AL165" s="8" t="n">
        <v>0</v>
      </c>
      <c r="AM165" s="8" t="n">
        <v>0</v>
      </c>
      <c r="AN165" s="8" t="n">
        <v>0</v>
      </c>
      <c r="AO165" s="8" t="n">
        <v>0</v>
      </c>
      <c r="AP165" s="8" t="n">
        <v>0</v>
      </c>
      <c r="AQ165" s="8" t="n">
        <v>0</v>
      </c>
      <c r="AR165" s="8" t="n">
        <v>0</v>
      </c>
      <c r="AS165" s="8" t="n">
        <v>0</v>
      </c>
      <c r="AT165" s="8" t="n">
        <v>0</v>
      </c>
      <c r="AU165" s="8" t="n">
        <v>0</v>
      </c>
      <c r="AV165" s="8" t="n">
        <v>0</v>
      </c>
      <c r="AW165" s="8" t="n">
        <v>1</v>
      </c>
      <c r="AX165" s="8" t="n">
        <v>0</v>
      </c>
      <c r="AY165" s="8" t="n">
        <v>0</v>
      </c>
      <c r="AZ165" s="8" t="n">
        <v>0</v>
      </c>
      <c r="BA165" s="8" t="n">
        <v>0</v>
      </c>
      <c r="BB165" s="8" t="n">
        <v>0</v>
      </c>
      <c r="BC165" s="8" t="n">
        <v>111</v>
      </c>
      <c r="BD165" s="8" t="n">
        <v>0</v>
      </c>
      <c r="BE165" s="8" t="n">
        <v>0</v>
      </c>
      <c r="BF165" s="8" t="n">
        <v>0</v>
      </c>
      <c r="BG165" s="10" t="s">
        <v>1355</v>
      </c>
      <c r="BH165" s="9" t="s">
        <v>1362</v>
      </c>
    </row>
    <row r="166" customFormat="false" ht="15" hidden="false" customHeight="false" outlineLevel="0" collapsed="false">
      <c r="A166" s="8" t="s">
        <v>1363</v>
      </c>
      <c r="B166" s="8" t="s">
        <v>1349</v>
      </c>
      <c r="C166" s="8" t="n">
        <v>4</v>
      </c>
      <c r="D166" s="8" t="n">
        <v>1920</v>
      </c>
      <c r="E166" s="8" t="n">
        <v>1932</v>
      </c>
      <c r="F166" s="8" t="str">
        <f aca="false">IF(D166="","?",IF(D166&lt;1796,"pre-1796",IF(D166&lt;1912,"1796-1911",IF(D166&lt;1949,"1912-1948","1949+"))))</f>
        <v>1912-1948</v>
      </c>
      <c r="G166" s="8" t="str">
        <f aca="false">IF(D166="","?",IF(D166&lt;1912,"Qing",IF(D166&lt;1949,"Republic","PRC")))</f>
        <v>Republic</v>
      </c>
      <c r="H166" s="8" t="s">
        <v>1350</v>
      </c>
      <c r="I166" s="9" t="s">
        <v>128</v>
      </c>
      <c r="J166" s="9" t="s">
        <v>175</v>
      </c>
      <c r="K166" s="8" t="s">
        <v>84</v>
      </c>
      <c r="L166" s="9" t="s">
        <v>1351</v>
      </c>
      <c r="M166" s="8"/>
      <c r="N166" s="8"/>
      <c r="O166" s="8" t="s">
        <v>1352</v>
      </c>
      <c r="P166" s="8" t="s">
        <v>87</v>
      </c>
      <c r="Q166" s="8"/>
      <c r="R166" s="8"/>
      <c r="S166" s="8"/>
      <c r="T166" s="8"/>
      <c r="U166" s="8"/>
      <c r="V166" s="8"/>
      <c r="W166" s="8"/>
      <c r="X166" s="8"/>
      <c r="Y166" s="8"/>
      <c r="Z166" s="8"/>
      <c r="AA166" s="8"/>
      <c r="AB166" s="8"/>
      <c r="AC166" s="8"/>
      <c r="AD166" s="8"/>
      <c r="AE166" s="8"/>
      <c r="AF166" s="8"/>
      <c r="AG166" s="8"/>
      <c r="AH166" s="8"/>
      <c r="AI166" s="8" t="n">
        <v>0</v>
      </c>
      <c r="AJ166" s="8" t="n">
        <v>0</v>
      </c>
      <c r="AK166" s="8" t="n">
        <v>0</v>
      </c>
      <c r="AL166" s="8" t="n">
        <v>0</v>
      </c>
      <c r="AM166" s="8" t="n">
        <v>0</v>
      </c>
      <c r="AN166" s="8" t="n">
        <v>0</v>
      </c>
      <c r="AO166" s="8" t="n">
        <v>0</v>
      </c>
      <c r="AP166" s="8" t="n">
        <v>0</v>
      </c>
      <c r="AQ166" s="8" t="n">
        <v>0</v>
      </c>
      <c r="AR166" s="8" t="n">
        <v>0</v>
      </c>
      <c r="AS166" s="8" t="n">
        <v>0</v>
      </c>
      <c r="AT166" s="8" t="n">
        <v>0</v>
      </c>
      <c r="AU166" s="8" t="n">
        <v>0</v>
      </c>
      <c r="AV166" s="8" t="n">
        <v>0</v>
      </c>
      <c r="AW166" s="8" t="n">
        <v>0</v>
      </c>
      <c r="AX166" s="8" t="n">
        <v>0</v>
      </c>
      <c r="AY166" s="8" t="n">
        <v>0</v>
      </c>
      <c r="AZ166" s="8" t="n">
        <v>0</v>
      </c>
      <c r="BA166" s="8" t="n">
        <v>0</v>
      </c>
      <c r="BB166" s="8" t="n">
        <v>0</v>
      </c>
      <c r="BC166" s="8" t="n">
        <v>42</v>
      </c>
      <c r="BD166" s="8" t="n">
        <v>0</v>
      </c>
      <c r="BE166" s="8" t="n">
        <v>0</v>
      </c>
      <c r="BF166" s="8" t="n">
        <v>0</v>
      </c>
      <c r="BG166" s="10" t="s">
        <v>1355</v>
      </c>
      <c r="BH166" s="9" t="s">
        <v>1364</v>
      </c>
    </row>
    <row r="167" customFormat="false" ht="15" hidden="false" customHeight="false" outlineLevel="0" collapsed="false">
      <c r="A167" s="8" t="s">
        <v>1365</v>
      </c>
      <c r="B167" s="8" t="s">
        <v>1366</v>
      </c>
      <c r="C167" s="8" t="n">
        <v>1</v>
      </c>
      <c r="D167" s="8" t="n">
        <v>1890</v>
      </c>
      <c r="E167" s="8" t="n">
        <v>1892</v>
      </c>
      <c r="F167" s="8" t="str">
        <f aca="false">IF(D167="","?",IF(D167&lt;1796,"pre-1796",IF(D167&lt;1912,"1796-1911",IF(D167&lt;1949,"1912-1948","1949+"))))</f>
        <v>1796-1911</v>
      </c>
      <c r="G167" s="8" t="str">
        <f aca="false">IF(D167="","?",IF(D167&lt;1912,"Qing",IF(D167&lt;1949,"Republic","PRC")))</f>
        <v>Qing</v>
      </c>
      <c r="H167" s="8" t="s">
        <v>1367</v>
      </c>
      <c r="I167" s="9" t="s">
        <v>128</v>
      </c>
      <c r="J167" s="9" t="s">
        <v>175</v>
      </c>
      <c r="K167" s="8" t="s">
        <v>84</v>
      </c>
      <c r="L167" s="9" t="s">
        <v>1368</v>
      </c>
      <c r="M167" s="8"/>
      <c r="N167" s="8"/>
      <c r="O167" s="8" t="s">
        <v>1369</v>
      </c>
      <c r="P167" s="8" t="s">
        <v>114</v>
      </c>
      <c r="Q167" s="8"/>
      <c r="R167" s="9" t="s">
        <v>1370</v>
      </c>
      <c r="S167" s="8"/>
      <c r="T167" s="8"/>
      <c r="U167" s="8"/>
      <c r="V167" s="8"/>
      <c r="W167" s="8"/>
      <c r="X167" s="8"/>
      <c r="Y167" s="8"/>
      <c r="Z167" s="8"/>
      <c r="AA167" s="8"/>
      <c r="AB167" s="8"/>
      <c r="AC167" s="8"/>
      <c r="AD167" s="8"/>
      <c r="AE167" s="9" t="s">
        <v>1371</v>
      </c>
      <c r="AF167" s="8"/>
      <c r="AG167" s="8"/>
      <c r="AH167" s="8"/>
      <c r="AI167" s="8" t="n">
        <v>0</v>
      </c>
      <c r="AJ167" s="8" t="n">
        <v>0</v>
      </c>
      <c r="AK167" s="8" t="n">
        <v>0</v>
      </c>
      <c r="AL167" s="8" t="n">
        <v>0</v>
      </c>
      <c r="AM167" s="8" t="n">
        <v>0</v>
      </c>
      <c r="AN167" s="8" t="n">
        <v>0</v>
      </c>
      <c r="AO167" s="8" t="n">
        <v>0</v>
      </c>
      <c r="AP167" s="8" t="n">
        <v>0</v>
      </c>
      <c r="AQ167" s="8" t="n">
        <v>0</v>
      </c>
      <c r="AR167" s="8" t="n">
        <v>0</v>
      </c>
      <c r="AS167" s="8" t="n">
        <v>0</v>
      </c>
      <c r="AT167" s="8" t="n">
        <v>0</v>
      </c>
      <c r="AU167" s="8" t="n">
        <v>0</v>
      </c>
      <c r="AV167" s="8" t="n">
        <v>0</v>
      </c>
      <c r="AW167" s="8" t="n">
        <v>1</v>
      </c>
      <c r="AX167" s="8" t="n">
        <v>0</v>
      </c>
      <c r="AY167" s="8" t="n">
        <v>0</v>
      </c>
      <c r="AZ167" s="8" t="n">
        <v>0</v>
      </c>
      <c r="BA167" s="8" t="n">
        <v>0</v>
      </c>
      <c r="BB167" s="8" t="n">
        <v>0</v>
      </c>
      <c r="BC167" s="8" t="n">
        <v>112</v>
      </c>
      <c r="BD167" s="8" t="n">
        <v>0</v>
      </c>
      <c r="BE167" s="8" t="n">
        <v>0</v>
      </c>
      <c r="BF167" s="8" t="n">
        <v>0</v>
      </c>
      <c r="BG167" s="10" t="s">
        <v>1372</v>
      </c>
      <c r="BH167" s="9" t="s">
        <v>1373</v>
      </c>
    </row>
    <row r="168" customFormat="false" ht="15" hidden="false" customHeight="false" outlineLevel="0" collapsed="false">
      <c r="A168" s="8" t="s">
        <v>1374</v>
      </c>
      <c r="B168" s="8" t="s">
        <v>1366</v>
      </c>
      <c r="C168" s="8" t="n">
        <v>2</v>
      </c>
      <c r="D168" s="8" t="n">
        <v>1890</v>
      </c>
      <c r="E168" s="8" t="n">
        <v>1892</v>
      </c>
      <c r="F168" s="8" t="str">
        <f aca="false">IF(D168="","?",IF(D168&lt;1796,"pre-1796",IF(D168&lt;1912,"1796-1911",IF(D168&lt;1949,"1912-1948","1949+"))))</f>
        <v>1796-1911</v>
      </c>
      <c r="G168" s="8" t="str">
        <f aca="false">IF(D168="","?",IF(D168&lt;1912,"Qing",IF(D168&lt;1949,"Republic","PRC")))</f>
        <v>Qing</v>
      </c>
      <c r="H168" s="8" t="s">
        <v>1367</v>
      </c>
      <c r="I168" s="9" t="s">
        <v>128</v>
      </c>
      <c r="J168" s="9" t="s">
        <v>175</v>
      </c>
      <c r="K168" s="8" t="s">
        <v>84</v>
      </c>
      <c r="L168" s="9" t="s">
        <v>1368</v>
      </c>
      <c r="M168" s="8"/>
      <c r="N168" s="8"/>
      <c r="O168" s="8" t="s">
        <v>1369</v>
      </c>
      <c r="P168" s="8" t="s">
        <v>114</v>
      </c>
      <c r="Q168" s="8"/>
      <c r="R168" s="9" t="s">
        <v>1370</v>
      </c>
      <c r="S168" s="8"/>
      <c r="T168" s="8"/>
      <c r="U168" s="8"/>
      <c r="V168" s="8"/>
      <c r="W168" s="8"/>
      <c r="X168" s="8"/>
      <c r="Y168" s="8"/>
      <c r="Z168" s="8"/>
      <c r="AA168" s="8"/>
      <c r="AB168" s="8"/>
      <c r="AC168" s="8"/>
      <c r="AD168" s="8"/>
      <c r="AE168" s="9" t="s">
        <v>1375</v>
      </c>
      <c r="AF168" s="8"/>
      <c r="AG168" s="9" t="s">
        <v>1376</v>
      </c>
      <c r="AH168" s="8"/>
      <c r="AI168" s="8" t="n">
        <v>0</v>
      </c>
      <c r="AJ168" s="8" t="n">
        <v>0</v>
      </c>
      <c r="AK168" s="8" t="n">
        <v>0</v>
      </c>
      <c r="AL168" s="8" t="n">
        <v>0</v>
      </c>
      <c r="AM168" s="8" t="n">
        <v>0</v>
      </c>
      <c r="AN168" s="8" t="n">
        <v>0</v>
      </c>
      <c r="AO168" s="8" t="n">
        <v>0</v>
      </c>
      <c r="AP168" s="8" t="n">
        <v>0</v>
      </c>
      <c r="AQ168" s="8" t="n">
        <v>0</v>
      </c>
      <c r="AR168" s="8" t="n">
        <v>0</v>
      </c>
      <c r="AS168" s="8" t="n">
        <v>0</v>
      </c>
      <c r="AT168" s="8" t="n">
        <v>0</v>
      </c>
      <c r="AU168" s="8" t="n">
        <v>0</v>
      </c>
      <c r="AV168" s="8" t="n">
        <v>0</v>
      </c>
      <c r="AW168" s="8" t="n">
        <v>1</v>
      </c>
      <c r="AX168" s="8" t="n">
        <v>0</v>
      </c>
      <c r="AY168" s="8" t="n">
        <v>0</v>
      </c>
      <c r="AZ168" s="8" t="n">
        <v>0</v>
      </c>
      <c r="BA168" s="8" t="n">
        <v>0</v>
      </c>
      <c r="BB168" s="8" t="n">
        <v>0</v>
      </c>
      <c r="BC168" s="8" t="n">
        <v>84</v>
      </c>
      <c r="BD168" s="8" t="n">
        <v>0</v>
      </c>
      <c r="BE168" s="8" t="n">
        <v>0</v>
      </c>
      <c r="BF168" s="8" t="n">
        <v>0</v>
      </c>
      <c r="BG168" s="10" t="s">
        <v>1372</v>
      </c>
      <c r="BH168" s="9" t="s">
        <v>1377</v>
      </c>
    </row>
    <row r="169" customFormat="false" ht="15" hidden="false" customHeight="false" outlineLevel="0" collapsed="false">
      <c r="A169" s="8" t="s">
        <v>1378</v>
      </c>
      <c r="B169" s="8" t="s">
        <v>1366</v>
      </c>
      <c r="C169" s="8" t="n">
        <v>3</v>
      </c>
      <c r="D169" s="8" t="n">
        <v>1890</v>
      </c>
      <c r="E169" s="8" t="n">
        <v>1892</v>
      </c>
      <c r="F169" s="8" t="str">
        <f aca="false">IF(D169="","?",IF(D169&lt;1796,"pre-1796",IF(D169&lt;1912,"1796-1911",IF(D169&lt;1949,"1912-1948","1949+"))))</f>
        <v>1796-1911</v>
      </c>
      <c r="G169" s="8" t="str">
        <f aca="false">IF(D169="","?",IF(D169&lt;1912,"Qing",IF(D169&lt;1949,"Republic","PRC")))</f>
        <v>Qing</v>
      </c>
      <c r="H169" s="8" t="s">
        <v>1367</v>
      </c>
      <c r="I169" s="9" t="s">
        <v>128</v>
      </c>
      <c r="J169" s="9" t="s">
        <v>175</v>
      </c>
      <c r="K169" s="8" t="s">
        <v>84</v>
      </c>
      <c r="L169" s="9" t="s">
        <v>1368</v>
      </c>
      <c r="M169" s="8"/>
      <c r="N169" s="8"/>
      <c r="O169" s="8" t="s">
        <v>1369</v>
      </c>
      <c r="P169" s="8" t="s">
        <v>114</v>
      </c>
      <c r="Q169" s="8"/>
      <c r="R169" s="9" t="s">
        <v>1370</v>
      </c>
      <c r="S169" s="8"/>
      <c r="T169" s="8"/>
      <c r="U169" s="8"/>
      <c r="V169" s="8"/>
      <c r="W169" s="8"/>
      <c r="X169" s="8"/>
      <c r="Y169" s="8"/>
      <c r="Z169" s="8"/>
      <c r="AA169" s="8"/>
      <c r="AB169" s="8"/>
      <c r="AC169" s="8"/>
      <c r="AD169" s="8"/>
      <c r="AE169" s="9" t="s">
        <v>1379</v>
      </c>
      <c r="AF169" s="8"/>
      <c r="AG169" s="9" t="s">
        <v>1380</v>
      </c>
      <c r="AH169" s="9" t="s">
        <v>1381</v>
      </c>
      <c r="AI169" s="8" t="n">
        <v>0</v>
      </c>
      <c r="AJ169" s="8" t="n">
        <v>0</v>
      </c>
      <c r="AK169" s="8" t="n">
        <v>0</v>
      </c>
      <c r="AL169" s="8" t="n">
        <v>0</v>
      </c>
      <c r="AM169" s="8" t="n">
        <v>0</v>
      </c>
      <c r="AN169" s="8" t="n">
        <v>0</v>
      </c>
      <c r="AO169" s="8" t="n">
        <v>0</v>
      </c>
      <c r="AP169" s="8" t="n">
        <v>0</v>
      </c>
      <c r="AQ169" s="8" t="n">
        <v>0</v>
      </c>
      <c r="AR169" s="8" t="n">
        <v>0</v>
      </c>
      <c r="AS169" s="8" t="n">
        <v>0</v>
      </c>
      <c r="AT169" s="8" t="n">
        <v>0</v>
      </c>
      <c r="AU169" s="8" t="n">
        <v>0</v>
      </c>
      <c r="AV169" s="8" t="n">
        <v>0</v>
      </c>
      <c r="AW169" s="8" t="n">
        <v>1</v>
      </c>
      <c r="AX169" s="8" t="n">
        <v>0</v>
      </c>
      <c r="AY169" s="8" t="n">
        <v>0</v>
      </c>
      <c r="AZ169" s="8" t="n">
        <v>0</v>
      </c>
      <c r="BA169" s="8" t="n">
        <v>0</v>
      </c>
      <c r="BB169" s="8" t="n">
        <v>0</v>
      </c>
      <c r="BC169" s="8" t="n">
        <v>88</v>
      </c>
      <c r="BD169" s="8" t="n">
        <v>0</v>
      </c>
      <c r="BE169" s="8" t="n">
        <v>0</v>
      </c>
      <c r="BF169" s="8" t="n">
        <v>0</v>
      </c>
      <c r="BG169" s="10" t="s">
        <v>1372</v>
      </c>
      <c r="BH169" s="9" t="s">
        <v>1382</v>
      </c>
    </row>
    <row r="170" customFormat="false" ht="15" hidden="false" customHeight="false" outlineLevel="0" collapsed="false">
      <c r="A170" s="8" t="s">
        <v>1383</v>
      </c>
      <c r="B170" s="8" t="s">
        <v>1366</v>
      </c>
      <c r="C170" s="8" t="n">
        <v>4</v>
      </c>
      <c r="D170" s="8" t="n">
        <v>1890</v>
      </c>
      <c r="E170" s="8" t="n">
        <v>1892</v>
      </c>
      <c r="F170" s="8" t="str">
        <f aca="false">IF(D170="","?",IF(D170&lt;1796,"pre-1796",IF(D170&lt;1912,"1796-1911",IF(D170&lt;1949,"1912-1948","1949+"))))</f>
        <v>1796-1911</v>
      </c>
      <c r="G170" s="8" t="str">
        <f aca="false">IF(D170="","?",IF(D170&lt;1912,"Qing",IF(D170&lt;1949,"Republic","PRC")))</f>
        <v>Qing</v>
      </c>
      <c r="H170" s="8" t="s">
        <v>1367</v>
      </c>
      <c r="I170" s="9" t="s">
        <v>128</v>
      </c>
      <c r="J170" s="9" t="s">
        <v>175</v>
      </c>
      <c r="K170" s="8" t="s">
        <v>84</v>
      </c>
      <c r="L170" s="9" t="s">
        <v>1368</v>
      </c>
      <c r="M170" s="8"/>
      <c r="N170" s="8"/>
      <c r="O170" s="8" t="s">
        <v>1369</v>
      </c>
      <c r="P170" s="8" t="s">
        <v>114</v>
      </c>
      <c r="Q170" s="8"/>
      <c r="R170" s="9" t="s">
        <v>1370</v>
      </c>
      <c r="S170" s="8"/>
      <c r="T170" s="8"/>
      <c r="U170" s="8"/>
      <c r="V170" s="8"/>
      <c r="W170" s="8"/>
      <c r="X170" s="8"/>
      <c r="Y170" s="8"/>
      <c r="Z170" s="8"/>
      <c r="AA170" s="8"/>
      <c r="AB170" s="8"/>
      <c r="AC170" s="8"/>
      <c r="AD170" s="8"/>
      <c r="AE170" s="9" t="s">
        <v>1384</v>
      </c>
      <c r="AF170" s="8"/>
      <c r="AG170" s="8"/>
      <c r="AH170" s="8"/>
      <c r="AI170" s="8" t="n">
        <v>0</v>
      </c>
      <c r="AJ170" s="8" t="n">
        <v>0</v>
      </c>
      <c r="AK170" s="8" t="n">
        <v>0</v>
      </c>
      <c r="AL170" s="8" t="n">
        <v>0</v>
      </c>
      <c r="AM170" s="8" t="n">
        <v>0</v>
      </c>
      <c r="AN170" s="8" t="n">
        <v>0</v>
      </c>
      <c r="AO170" s="8" t="n">
        <v>0</v>
      </c>
      <c r="AP170" s="8" t="n">
        <v>0</v>
      </c>
      <c r="AQ170" s="8" t="n">
        <v>0</v>
      </c>
      <c r="AR170" s="8" t="n">
        <v>0</v>
      </c>
      <c r="AS170" s="8" t="n">
        <v>0</v>
      </c>
      <c r="AT170" s="8" t="n">
        <v>0</v>
      </c>
      <c r="AU170" s="8" t="n">
        <v>0</v>
      </c>
      <c r="AV170" s="8" t="n">
        <v>0</v>
      </c>
      <c r="AW170" s="8" t="n">
        <v>1</v>
      </c>
      <c r="AX170" s="8" t="n">
        <v>0</v>
      </c>
      <c r="AY170" s="8" t="n">
        <v>1</v>
      </c>
      <c r="AZ170" s="8" t="n">
        <v>0</v>
      </c>
      <c r="BA170" s="8" t="n">
        <v>0</v>
      </c>
      <c r="BB170" s="8" t="n">
        <v>0</v>
      </c>
      <c r="BC170" s="8" t="n">
        <v>107</v>
      </c>
      <c r="BD170" s="8" t="n">
        <v>0</v>
      </c>
      <c r="BE170" s="8" t="n">
        <v>0</v>
      </c>
      <c r="BF170" s="8" t="n">
        <v>0</v>
      </c>
      <c r="BG170" s="10" t="s">
        <v>1372</v>
      </c>
      <c r="BH170" s="9" t="s">
        <v>1385</v>
      </c>
    </row>
    <row r="171" customFormat="false" ht="15" hidden="false" customHeight="false" outlineLevel="0" collapsed="false">
      <c r="A171" s="8" t="s">
        <v>1386</v>
      </c>
      <c r="B171" s="8" t="s">
        <v>1366</v>
      </c>
      <c r="C171" s="8" t="n">
        <v>5</v>
      </c>
      <c r="D171" s="8" t="n">
        <v>1890</v>
      </c>
      <c r="E171" s="8" t="n">
        <v>1892</v>
      </c>
      <c r="F171" s="8" t="str">
        <f aca="false">IF(D171="","?",IF(D171&lt;1796,"pre-1796",IF(D171&lt;1912,"1796-1911",IF(D171&lt;1949,"1912-1948","1949+"))))</f>
        <v>1796-1911</v>
      </c>
      <c r="G171" s="8" t="str">
        <f aca="false">IF(D171="","?",IF(D171&lt;1912,"Qing",IF(D171&lt;1949,"Republic","PRC")))</f>
        <v>Qing</v>
      </c>
      <c r="H171" s="8" t="s">
        <v>1367</v>
      </c>
      <c r="I171" s="9" t="s">
        <v>128</v>
      </c>
      <c r="J171" s="9" t="s">
        <v>175</v>
      </c>
      <c r="K171" s="8" t="s">
        <v>84</v>
      </c>
      <c r="L171" s="9" t="s">
        <v>1368</v>
      </c>
      <c r="M171" s="8"/>
      <c r="N171" s="8"/>
      <c r="O171" s="8" t="s">
        <v>1369</v>
      </c>
      <c r="P171" s="8" t="s">
        <v>114</v>
      </c>
      <c r="Q171" s="8"/>
      <c r="R171" s="9" t="s">
        <v>1370</v>
      </c>
      <c r="S171" s="8"/>
      <c r="T171" s="8"/>
      <c r="U171" s="8"/>
      <c r="V171" s="8"/>
      <c r="W171" s="8"/>
      <c r="X171" s="8"/>
      <c r="Y171" s="8"/>
      <c r="Z171" s="8"/>
      <c r="AA171" s="8"/>
      <c r="AB171" s="8"/>
      <c r="AC171" s="8"/>
      <c r="AD171" s="8"/>
      <c r="AE171" s="9" t="s">
        <v>1384</v>
      </c>
      <c r="AF171" s="8"/>
      <c r="AG171" s="8"/>
      <c r="AH171" s="8"/>
      <c r="AI171" s="8" t="n">
        <v>0</v>
      </c>
      <c r="AJ171" s="8" t="n">
        <v>0</v>
      </c>
      <c r="AK171" s="8" t="n">
        <v>0</v>
      </c>
      <c r="AL171" s="8" t="n">
        <v>0</v>
      </c>
      <c r="AM171" s="8" t="n">
        <v>0</v>
      </c>
      <c r="AN171" s="8" t="n">
        <v>0</v>
      </c>
      <c r="AO171" s="8" t="n">
        <v>0</v>
      </c>
      <c r="AP171" s="8" t="n">
        <v>0</v>
      </c>
      <c r="AQ171" s="8" t="n">
        <v>0</v>
      </c>
      <c r="AR171" s="8" t="n">
        <v>0</v>
      </c>
      <c r="AS171" s="8" t="n">
        <v>0</v>
      </c>
      <c r="AT171" s="8" t="n">
        <v>0</v>
      </c>
      <c r="AU171" s="8" t="n">
        <v>0</v>
      </c>
      <c r="AV171" s="8" t="n">
        <v>0</v>
      </c>
      <c r="AW171" s="8" t="n">
        <v>1</v>
      </c>
      <c r="AX171" s="8" t="n">
        <v>0</v>
      </c>
      <c r="AY171" s="8" t="n">
        <v>1</v>
      </c>
      <c r="AZ171" s="8" t="n">
        <v>0</v>
      </c>
      <c r="BA171" s="8" t="n">
        <v>0</v>
      </c>
      <c r="BB171" s="8" t="n">
        <v>0</v>
      </c>
      <c r="BC171" s="8" t="n">
        <v>104</v>
      </c>
      <c r="BD171" s="8" t="n">
        <v>0</v>
      </c>
      <c r="BE171" s="8" t="n">
        <v>0</v>
      </c>
      <c r="BF171" s="8" t="n">
        <v>0</v>
      </c>
      <c r="BG171" s="10" t="s">
        <v>1372</v>
      </c>
      <c r="BH171" s="9" t="s">
        <v>1387</v>
      </c>
    </row>
    <row r="172" customFormat="false" ht="15" hidden="false" customHeight="false" outlineLevel="0" collapsed="false">
      <c r="A172" s="8" t="s">
        <v>1388</v>
      </c>
      <c r="B172" s="8" t="s">
        <v>1366</v>
      </c>
      <c r="C172" s="8" t="n">
        <v>6</v>
      </c>
      <c r="D172" s="8" t="n">
        <v>1890</v>
      </c>
      <c r="E172" s="8" t="n">
        <v>1892</v>
      </c>
      <c r="F172" s="8" t="str">
        <f aca="false">IF(D172="","?",IF(D172&lt;1796,"pre-1796",IF(D172&lt;1912,"1796-1911",IF(D172&lt;1949,"1912-1948","1949+"))))</f>
        <v>1796-1911</v>
      </c>
      <c r="G172" s="8" t="str">
        <f aca="false">IF(D172="","?",IF(D172&lt;1912,"Qing",IF(D172&lt;1949,"Republic","PRC")))</f>
        <v>Qing</v>
      </c>
      <c r="H172" s="8" t="s">
        <v>1367</v>
      </c>
      <c r="I172" s="9" t="s">
        <v>128</v>
      </c>
      <c r="J172" s="9" t="s">
        <v>175</v>
      </c>
      <c r="K172" s="8" t="s">
        <v>84</v>
      </c>
      <c r="L172" s="9" t="s">
        <v>1368</v>
      </c>
      <c r="M172" s="8"/>
      <c r="N172" s="8"/>
      <c r="O172" s="8" t="s">
        <v>1369</v>
      </c>
      <c r="P172" s="8" t="s">
        <v>114</v>
      </c>
      <c r="Q172" s="8"/>
      <c r="R172" s="9" t="s">
        <v>1389</v>
      </c>
      <c r="S172" s="8"/>
      <c r="T172" s="8"/>
      <c r="U172" s="8"/>
      <c r="V172" s="8"/>
      <c r="W172" s="8"/>
      <c r="X172" s="8"/>
      <c r="Y172" s="8"/>
      <c r="Z172" s="8"/>
      <c r="AA172" s="8"/>
      <c r="AB172" s="8"/>
      <c r="AC172" s="8"/>
      <c r="AD172" s="8"/>
      <c r="AE172" s="9" t="s">
        <v>1384</v>
      </c>
      <c r="AF172" s="8"/>
      <c r="AG172" s="8"/>
      <c r="AH172" s="8"/>
      <c r="AI172" s="8" t="n">
        <v>0</v>
      </c>
      <c r="AJ172" s="8" t="n">
        <v>0</v>
      </c>
      <c r="AK172" s="8" t="n">
        <v>0</v>
      </c>
      <c r="AL172" s="8" t="n">
        <v>0</v>
      </c>
      <c r="AM172" s="8" t="n">
        <v>0</v>
      </c>
      <c r="AN172" s="8" t="n">
        <v>0</v>
      </c>
      <c r="AO172" s="8" t="n">
        <v>0</v>
      </c>
      <c r="AP172" s="8" t="n">
        <v>0</v>
      </c>
      <c r="AQ172" s="8" t="n">
        <v>0</v>
      </c>
      <c r="AR172" s="8" t="n">
        <v>0</v>
      </c>
      <c r="AS172" s="8" t="n">
        <v>0</v>
      </c>
      <c r="AT172" s="8" t="n">
        <v>0</v>
      </c>
      <c r="AU172" s="8" t="n">
        <v>0</v>
      </c>
      <c r="AV172" s="8" t="n">
        <v>0</v>
      </c>
      <c r="AW172" s="8" t="n">
        <v>0</v>
      </c>
      <c r="AX172" s="8" t="n">
        <v>0</v>
      </c>
      <c r="AY172" s="8" t="n">
        <v>0</v>
      </c>
      <c r="AZ172" s="8" t="n">
        <v>0</v>
      </c>
      <c r="BA172" s="8" t="n">
        <v>0</v>
      </c>
      <c r="BB172" s="8" t="n">
        <v>0</v>
      </c>
      <c r="BC172" s="8" t="n">
        <v>67</v>
      </c>
      <c r="BD172" s="8" t="n">
        <v>0</v>
      </c>
      <c r="BE172" s="8" t="n">
        <v>0</v>
      </c>
      <c r="BF172" s="8" t="n">
        <v>0</v>
      </c>
      <c r="BG172" s="10" t="s">
        <v>1372</v>
      </c>
      <c r="BH172" s="9" t="s">
        <v>1390</v>
      </c>
    </row>
    <row r="173" customFormat="false" ht="15" hidden="false" customHeight="false" outlineLevel="0" collapsed="false">
      <c r="A173" s="8" t="s">
        <v>1391</v>
      </c>
      <c r="B173" s="8" t="s">
        <v>1366</v>
      </c>
      <c r="C173" s="8" t="n">
        <v>7</v>
      </c>
      <c r="D173" s="8" t="n">
        <v>1890</v>
      </c>
      <c r="E173" s="8" t="n">
        <v>1892</v>
      </c>
      <c r="F173" s="8" t="str">
        <f aca="false">IF(D173="","?",IF(D173&lt;1796,"pre-1796",IF(D173&lt;1912,"1796-1911",IF(D173&lt;1949,"1912-1948","1949+"))))</f>
        <v>1796-1911</v>
      </c>
      <c r="G173" s="8" t="str">
        <f aca="false">IF(D173="","?",IF(D173&lt;1912,"Qing",IF(D173&lt;1949,"Republic","PRC")))</f>
        <v>Qing</v>
      </c>
      <c r="H173" s="8" t="s">
        <v>1367</v>
      </c>
      <c r="I173" s="9" t="s">
        <v>128</v>
      </c>
      <c r="J173" s="9" t="s">
        <v>175</v>
      </c>
      <c r="K173" s="8" t="s">
        <v>84</v>
      </c>
      <c r="L173" s="9" t="s">
        <v>1368</v>
      </c>
      <c r="M173" s="8"/>
      <c r="N173" s="8"/>
      <c r="O173" s="8" t="s">
        <v>1369</v>
      </c>
      <c r="P173" s="8" t="s">
        <v>114</v>
      </c>
      <c r="Q173" s="8"/>
      <c r="R173" s="9" t="s">
        <v>1392</v>
      </c>
      <c r="S173" s="8"/>
      <c r="T173" s="8"/>
      <c r="U173" s="8"/>
      <c r="V173" s="8"/>
      <c r="W173" s="8"/>
      <c r="X173" s="8"/>
      <c r="Y173" s="8"/>
      <c r="Z173" s="8"/>
      <c r="AA173" s="8"/>
      <c r="AB173" s="8"/>
      <c r="AC173" s="8"/>
      <c r="AD173" s="8"/>
      <c r="AE173" s="9" t="s">
        <v>1384</v>
      </c>
      <c r="AF173" s="8"/>
      <c r="AG173" s="8"/>
      <c r="AH173" s="8"/>
      <c r="AI173" s="8" t="n">
        <v>0</v>
      </c>
      <c r="AJ173" s="8" t="n">
        <v>0</v>
      </c>
      <c r="AK173" s="8" t="n">
        <v>0</v>
      </c>
      <c r="AL173" s="8" t="n">
        <v>0</v>
      </c>
      <c r="AM173" s="8" t="n">
        <v>0</v>
      </c>
      <c r="AN173" s="8" t="n">
        <v>0</v>
      </c>
      <c r="AO173" s="8" t="n">
        <v>0</v>
      </c>
      <c r="AP173" s="8" t="n">
        <v>0</v>
      </c>
      <c r="AQ173" s="8" t="n">
        <v>0</v>
      </c>
      <c r="AR173" s="8" t="n">
        <v>0</v>
      </c>
      <c r="AS173" s="8" t="n">
        <v>0</v>
      </c>
      <c r="AT173" s="8" t="n">
        <v>0</v>
      </c>
      <c r="AU173" s="8" t="n">
        <v>0</v>
      </c>
      <c r="AV173" s="8" t="n">
        <v>0</v>
      </c>
      <c r="AW173" s="8" t="n">
        <v>0</v>
      </c>
      <c r="AX173" s="8" t="n">
        <v>0</v>
      </c>
      <c r="AY173" s="8" t="n">
        <v>0</v>
      </c>
      <c r="AZ173" s="8" t="n">
        <v>0</v>
      </c>
      <c r="BA173" s="8" t="n">
        <v>0</v>
      </c>
      <c r="BB173" s="8" t="n">
        <v>0</v>
      </c>
      <c r="BC173" s="8" t="n">
        <v>63</v>
      </c>
      <c r="BD173" s="8" t="n">
        <v>0</v>
      </c>
      <c r="BE173" s="8" t="n">
        <v>0</v>
      </c>
      <c r="BF173" s="8" t="n">
        <v>0</v>
      </c>
      <c r="BG173" s="10" t="s">
        <v>1372</v>
      </c>
      <c r="BH173" s="9" t="s">
        <v>1393</v>
      </c>
    </row>
    <row r="174" customFormat="false" ht="15" hidden="false" customHeight="false" outlineLevel="0" collapsed="false">
      <c r="A174" s="8" t="s">
        <v>1394</v>
      </c>
      <c r="B174" s="8" t="s">
        <v>1366</v>
      </c>
      <c r="C174" s="8" t="n">
        <v>8</v>
      </c>
      <c r="D174" s="8" t="n">
        <v>1890</v>
      </c>
      <c r="E174" s="8" t="n">
        <v>1892</v>
      </c>
      <c r="F174" s="8" t="str">
        <f aca="false">IF(D174="","?",IF(D174&lt;1796,"pre-1796",IF(D174&lt;1912,"1796-1911",IF(D174&lt;1949,"1912-1948","1949+"))))</f>
        <v>1796-1911</v>
      </c>
      <c r="G174" s="8" t="str">
        <f aca="false">IF(D174="","?",IF(D174&lt;1912,"Qing",IF(D174&lt;1949,"Republic","PRC")))</f>
        <v>Qing</v>
      </c>
      <c r="H174" s="8" t="s">
        <v>1367</v>
      </c>
      <c r="I174" s="9" t="s">
        <v>128</v>
      </c>
      <c r="J174" s="9" t="s">
        <v>175</v>
      </c>
      <c r="K174" s="8" t="s">
        <v>84</v>
      </c>
      <c r="L174" s="9" t="s">
        <v>1368</v>
      </c>
      <c r="M174" s="8"/>
      <c r="N174" s="8"/>
      <c r="O174" s="8" t="s">
        <v>1369</v>
      </c>
      <c r="P174" s="8" t="s">
        <v>114</v>
      </c>
      <c r="Q174" s="8"/>
      <c r="R174" s="9" t="s">
        <v>1389</v>
      </c>
      <c r="S174" s="8"/>
      <c r="T174" s="8"/>
      <c r="U174" s="8"/>
      <c r="V174" s="8"/>
      <c r="W174" s="8"/>
      <c r="X174" s="8"/>
      <c r="Y174" s="8"/>
      <c r="Z174" s="8"/>
      <c r="AA174" s="8"/>
      <c r="AB174" s="8"/>
      <c r="AC174" s="8"/>
      <c r="AD174" s="8"/>
      <c r="AE174" s="9" t="s">
        <v>1395</v>
      </c>
      <c r="AF174" s="8"/>
      <c r="AG174" s="8"/>
      <c r="AH174" s="8"/>
      <c r="AI174" s="8" t="n">
        <v>0</v>
      </c>
      <c r="AJ174" s="8" t="n">
        <v>0</v>
      </c>
      <c r="AK174" s="8" t="n">
        <v>0</v>
      </c>
      <c r="AL174" s="8" t="n">
        <v>0</v>
      </c>
      <c r="AM174" s="8" t="n">
        <v>0</v>
      </c>
      <c r="AN174" s="8" t="n">
        <v>0</v>
      </c>
      <c r="AO174" s="8" t="n">
        <v>0</v>
      </c>
      <c r="AP174" s="8" t="n">
        <v>0</v>
      </c>
      <c r="AQ174" s="8" t="n">
        <v>0</v>
      </c>
      <c r="AR174" s="8" t="n">
        <v>0</v>
      </c>
      <c r="AS174" s="8" t="n">
        <v>0</v>
      </c>
      <c r="AT174" s="8" t="n">
        <v>0</v>
      </c>
      <c r="AU174" s="8" t="n">
        <v>0</v>
      </c>
      <c r="AV174" s="8" t="n">
        <v>0</v>
      </c>
      <c r="AW174" s="8" t="n">
        <v>0</v>
      </c>
      <c r="AX174" s="8" t="n">
        <v>0</v>
      </c>
      <c r="AY174" s="8" t="n">
        <v>0</v>
      </c>
      <c r="AZ174" s="8" t="n">
        <v>0</v>
      </c>
      <c r="BA174" s="8" t="n">
        <v>0</v>
      </c>
      <c r="BB174" s="8" t="n">
        <v>0</v>
      </c>
      <c r="BC174" s="8" t="n">
        <v>49</v>
      </c>
      <c r="BD174" s="8" t="n">
        <v>0</v>
      </c>
      <c r="BE174" s="8" t="n">
        <v>0</v>
      </c>
      <c r="BF174" s="8" t="n">
        <v>0</v>
      </c>
      <c r="BG174" s="10" t="s">
        <v>1372</v>
      </c>
      <c r="BH174" s="9" t="s">
        <v>1396</v>
      </c>
    </row>
    <row r="175" customFormat="false" ht="15" hidden="false" customHeight="false" outlineLevel="0" collapsed="false">
      <c r="A175" s="8" t="s">
        <v>1397</v>
      </c>
      <c r="B175" s="8" t="s">
        <v>1398</v>
      </c>
      <c r="C175" s="8" t="n">
        <v>1</v>
      </c>
      <c r="D175" s="8" t="n">
        <v>1924</v>
      </c>
      <c r="E175" s="8" t="n">
        <v>1926</v>
      </c>
      <c r="F175" s="8" t="str">
        <f aca="false">IF(D175="","?",IF(D175&lt;1796,"pre-1796",IF(D175&lt;1912,"1796-1911",IF(D175&lt;1949,"1912-1948","1949+"))))</f>
        <v>1912-1948</v>
      </c>
      <c r="G175" s="8" t="str">
        <f aca="false">IF(D175="","?",IF(D175&lt;1912,"Qing",IF(D175&lt;1949,"Republic","PRC")))</f>
        <v>Republic</v>
      </c>
      <c r="H175" s="8" t="s">
        <v>1399</v>
      </c>
      <c r="I175" s="9" t="s">
        <v>466</v>
      </c>
      <c r="J175" s="9" t="s">
        <v>467</v>
      </c>
      <c r="K175" s="8" t="s">
        <v>84</v>
      </c>
      <c r="L175" s="9" t="s">
        <v>1400</v>
      </c>
      <c r="M175" s="8"/>
      <c r="N175" s="8"/>
      <c r="O175" s="8" t="s">
        <v>1401</v>
      </c>
      <c r="P175" s="8" t="s">
        <v>87</v>
      </c>
      <c r="Q175" s="8"/>
      <c r="R175" s="9" t="s">
        <v>252</v>
      </c>
      <c r="S175" s="8"/>
      <c r="T175" s="8"/>
      <c r="U175" s="8"/>
      <c r="V175" s="8"/>
      <c r="W175" s="8"/>
      <c r="X175" s="8"/>
      <c r="Y175" s="8"/>
      <c r="Z175" s="8"/>
      <c r="AA175" s="8"/>
      <c r="AB175" s="8"/>
      <c r="AC175" s="8"/>
      <c r="AD175" s="8"/>
      <c r="AE175" s="8"/>
      <c r="AF175" s="8"/>
      <c r="AG175" s="8"/>
      <c r="AH175" s="8"/>
      <c r="AI175" s="8" t="n">
        <v>0</v>
      </c>
      <c r="AJ175" s="8" t="n">
        <v>0</v>
      </c>
      <c r="AK175" s="8" t="n">
        <v>0</v>
      </c>
      <c r="AL175" s="8" t="n">
        <v>0</v>
      </c>
      <c r="AM175" s="8" t="n">
        <v>0</v>
      </c>
      <c r="AN175" s="8" t="n">
        <v>0</v>
      </c>
      <c r="AO175" s="8" t="n">
        <v>0</v>
      </c>
      <c r="AP175" s="8" t="n">
        <v>0</v>
      </c>
      <c r="AQ175" s="8" t="n">
        <v>0</v>
      </c>
      <c r="AR175" s="8" t="n">
        <v>0</v>
      </c>
      <c r="AS175" s="8" t="n">
        <v>0</v>
      </c>
      <c r="AT175" s="8" t="n">
        <v>0</v>
      </c>
      <c r="AU175" s="8" t="n">
        <v>0</v>
      </c>
      <c r="AV175" s="8" t="n">
        <v>0</v>
      </c>
      <c r="AW175" s="8" t="n">
        <v>0</v>
      </c>
      <c r="AX175" s="8" t="n">
        <v>0</v>
      </c>
      <c r="AY175" s="8" t="n">
        <v>0</v>
      </c>
      <c r="AZ175" s="8" t="n">
        <v>0</v>
      </c>
      <c r="BA175" s="8" t="n">
        <v>0</v>
      </c>
      <c r="BB175" s="8" t="n">
        <v>0</v>
      </c>
      <c r="BC175" s="8" t="n">
        <v>28</v>
      </c>
      <c r="BD175" s="8" t="n">
        <v>0</v>
      </c>
      <c r="BE175" s="8" t="n">
        <v>3</v>
      </c>
      <c r="BF175" s="8" t="n">
        <v>0</v>
      </c>
      <c r="BG175" s="10" t="s">
        <v>1402</v>
      </c>
      <c r="BH175" s="9" t="s">
        <v>1403</v>
      </c>
    </row>
    <row r="176" customFormat="false" ht="15" hidden="false" customHeight="false" outlineLevel="0" collapsed="false">
      <c r="A176" s="8" t="s">
        <v>1404</v>
      </c>
      <c r="B176" s="8" t="s">
        <v>1398</v>
      </c>
      <c r="C176" s="8" t="n">
        <v>2</v>
      </c>
      <c r="D176" s="8" t="n">
        <v>1924</v>
      </c>
      <c r="E176" s="8" t="n">
        <v>1926</v>
      </c>
      <c r="F176" s="8" t="str">
        <f aca="false">IF(D176="","?",IF(D176&lt;1796,"pre-1796",IF(D176&lt;1912,"1796-1911",IF(D176&lt;1949,"1912-1948","1949+"))))</f>
        <v>1912-1948</v>
      </c>
      <c r="G176" s="8" t="str">
        <f aca="false">IF(D176="","?",IF(D176&lt;1912,"Qing",IF(D176&lt;1949,"Republic","PRC")))</f>
        <v>Republic</v>
      </c>
      <c r="H176" s="8" t="s">
        <v>1399</v>
      </c>
      <c r="I176" s="9" t="s">
        <v>466</v>
      </c>
      <c r="J176" s="9" t="s">
        <v>467</v>
      </c>
      <c r="K176" s="8" t="s">
        <v>84</v>
      </c>
      <c r="L176" s="9" t="s">
        <v>1400</v>
      </c>
      <c r="M176" s="8"/>
      <c r="N176" s="8"/>
      <c r="O176" s="8" t="s">
        <v>1401</v>
      </c>
      <c r="P176" s="8" t="s">
        <v>114</v>
      </c>
      <c r="Q176" s="8"/>
      <c r="R176" s="8"/>
      <c r="S176" s="8"/>
      <c r="T176" s="8"/>
      <c r="U176" s="8"/>
      <c r="V176" s="8"/>
      <c r="W176" s="8"/>
      <c r="X176" s="8"/>
      <c r="Y176" s="8"/>
      <c r="Z176" s="8"/>
      <c r="AA176" s="8"/>
      <c r="AB176" s="8"/>
      <c r="AC176" s="8"/>
      <c r="AD176" s="8"/>
      <c r="AE176" s="9" t="s">
        <v>1154</v>
      </c>
      <c r="AF176" s="9" t="s">
        <v>1155</v>
      </c>
      <c r="AG176" s="9" t="s">
        <v>1405</v>
      </c>
      <c r="AH176" s="8"/>
      <c r="AI176" s="8" t="n">
        <v>0</v>
      </c>
      <c r="AJ176" s="8" t="n">
        <v>0</v>
      </c>
      <c r="AK176" s="8" t="n">
        <v>0</v>
      </c>
      <c r="AL176" s="8" t="n">
        <v>0</v>
      </c>
      <c r="AM176" s="8" t="n">
        <v>0</v>
      </c>
      <c r="AN176" s="8" t="n">
        <v>0</v>
      </c>
      <c r="AO176" s="8" t="n">
        <v>0</v>
      </c>
      <c r="AP176" s="8" t="n">
        <v>0</v>
      </c>
      <c r="AQ176" s="8" t="n">
        <v>0</v>
      </c>
      <c r="AR176" s="8" t="n">
        <v>0</v>
      </c>
      <c r="AS176" s="8" t="n">
        <v>0</v>
      </c>
      <c r="AT176" s="8" t="n">
        <v>0</v>
      </c>
      <c r="AU176" s="8" t="n">
        <v>0</v>
      </c>
      <c r="AV176" s="8" t="n">
        <v>0</v>
      </c>
      <c r="AW176" s="8" t="n">
        <v>1</v>
      </c>
      <c r="AX176" s="8" t="n">
        <v>0</v>
      </c>
      <c r="AY176" s="8" t="n">
        <v>0</v>
      </c>
      <c r="AZ176" s="8" t="n">
        <v>0</v>
      </c>
      <c r="BA176" s="8" t="n">
        <v>0</v>
      </c>
      <c r="BB176" s="8" t="n">
        <v>0</v>
      </c>
      <c r="BC176" s="8" t="n">
        <v>67</v>
      </c>
      <c r="BD176" s="8" t="n">
        <v>1</v>
      </c>
      <c r="BE176" s="8" t="n">
        <v>0</v>
      </c>
      <c r="BF176" s="8" t="n">
        <v>0</v>
      </c>
      <c r="BG176" s="10" t="s">
        <v>1402</v>
      </c>
      <c r="BH176" s="9" t="s">
        <v>1406</v>
      </c>
    </row>
    <row r="177" customFormat="false" ht="15" hidden="false" customHeight="false" outlineLevel="0" collapsed="false">
      <c r="A177" s="8" t="s">
        <v>1407</v>
      </c>
      <c r="B177" s="8" t="s">
        <v>1408</v>
      </c>
      <c r="C177" s="8" t="n">
        <v>1</v>
      </c>
      <c r="D177" s="8" t="n">
        <v>1895</v>
      </c>
      <c r="E177" s="8" t="n">
        <v>1900</v>
      </c>
      <c r="F177" s="8" t="str">
        <f aca="false">IF(D177="","?",IF(D177&lt;1796,"pre-1796",IF(D177&lt;1912,"1796-1911",IF(D177&lt;1949,"1912-1948","1949+"))))</f>
        <v>1796-1911</v>
      </c>
      <c r="G177" s="8" t="str">
        <f aca="false">IF(D177="","?",IF(D177&lt;1912,"Qing",IF(D177&lt;1949,"Republic","PRC")))</f>
        <v>Qing</v>
      </c>
      <c r="H177" s="8" t="s">
        <v>1409</v>
      </c>
      <c r="I177" s="9" t="s">
        <v>1410</v>
      </c>
      <c r="J177" s="9" t="s">
        <v>1411</v>
      </c>
      <c r="K177" s="8" t="s">
        <v>84</v>
      </c>
      <c r="L177" s="9" t="s">
        <v>1412</v>
      </c>
      <c r="M177" s="8"/>
      <c r="N177" s="8"/>
      <c r="O177" s="8" t="s">
        <v>1413</v>
      </c>
      <c r="P177" s="8" t="s">
        <v>87</v>
      </c>
      <c r="Q177" s="8"/>
      <c r="R177" s="9" t="s">
        <v>1414</v>
      </c>
      <c r="S177" s="8"/>
      <c r="T177" s="8"/>
      <c r="U177" s="8"/>
      <c r="V177" s="8"/>
      <c r="W177" s="8"/>
      <c r="X177" s="8"/>
      <c r="Y177" s="8"/>
      <c r="Z177" s="8"/>
      <c r="AA177" s="8"/>
      <c r="AB177" s="8"/>
      <c r="AC177" s="8"/>
      <c r="AD177" s="8"/>
      <c r="AE177" s="8"/>
      <c r="AF177" s="8"/>
      <c r="AG177" s="8"/>
      <c r="AH177" s="8"/>
      <c r="AI177" s="8" t="n">
        <v>0</v>
      </c>
      <c r="AJ177" s="8" t="n">
        <v>0</v>
      </c>
      <c r="AK177" s="8" t="n">
        <v>0</v>
      </c>
      <c r="AL177" s="8" t="n">
        <v>0</v>
      </c>
      <c r="AM177" s="8" t="n">
        <v>0</v>
      </c>
      <c r="AN177" s="8" t="n">
        <v>0</v>
      </c>
      <c r="AO177" s="8" t="n">
        <v>0</v>
      </c>
      <c r="AP177" s="8" t="n">
        <v>0</v>
      </c>
      <c r="AQ177" s="8" t="n">
        <v>0</v>
      </c>
      <c r="AR177" s="8" t="n">
        <v>0</v>
      </c>
      <c r="AS177" s="8" t="n">
        <v>0</v>
      </c>
      <c r="AT177" s="8" t="n">
        <v>0</v>
      </c>
      <c r="AU177" s="8" t="n">
        <v>0</v>
      </c>
      <c r="AV177" s="8" t="n">
        <v>0</v>
      </c>
      <c r="AW177" s="8" t="n">
        <v>0</v>
      </c>
      <c r="AX177" s="8" t="n">
        <v>0</v>
      </c>
      <c r="AY177" s="8" t="n">
        <v>0</v>
      </c>
      <c r="AZ177" s="8" t="n">
        <v>0</v>
      </c>
      <c r="BA177" s="8" t="n">
        <v>0</v>
      </c>
      <c r="BB177" s="8" t="n">
        <v>0</v>
      </c>
      <c r="BC177" s="8" t="n">
        <v>64</v>
      </c>
      <c r="BD177" s="8" t="n">
        <v>0</v>
      </c>
      <c r="BE177" s="8" t="n">
        <v>0</v>
      </c>
      <c r="BF177" s="8" t="n">
        <v>0</v>
      </c>
      <c r="BG177" s="10" t="s">
        <v>1415</v>
      </c>
      <c r="BH177" s="9" t="s">
        <v>1416</v>
      </c>
    </row>
    <row r="178" customFormat="false" ht="15" hidden="false" customHeight="false" outlineLevel="0" collapsed="false">
      <c r="A178" s="8" t="s">
        <v>1417</v>
      </c>
      <c r="B178" s="8" t="s">
        <v>1408</v>
      </c>
      <c r="C178" s="8" t="n">
        <v>2</v>
      </c>
      <c r="D178" s="8" t="n">
        <v>1895</v>
      </c>
      <c r="E178" s="8" t="n">
        <v>1900</v>
      </c>
      <c r="F178" s="8" t="str">
        <f aca="false">IF(D178="","?",IF(D178&lt;1796,"pre-1796",IF(D178&lt;1912,"1796-1911",IF(D178&lt;1949,"1912-1948","1949+"))))</f>
        <v>1796-1911</v>
      </c>
      <c r="G178" s="8" t="str">
        <f aca="false">IF(D178="","?",IF(D178&lt;1912,"Qing",IF(D178&lt;1949,"Republic","PRC")))</f>
        <v>Qing</v>
      </c>
      <c r="H178" s="8" t="s">
        <v>1409</v>
      </c>
      <c r="I178" s="9" t="s">
        <v>1410</v>
      </c>
      <c r="J178" s="9" t="s">
        <v>1411</v>
      </c>
      <c r="K178" s="8" t="s">
        <v>84</v>
      </c>
      <c r="L178" s="9" t="s">
        <v>1412</v>
      </c>
      <c r="M178" s="8"/>
      <c r="N178" s="8"/>
      <c r="O178" s="8" t="s">
        <v>1413</v>
      </c>
      <c r="P178" s="8" t="s">
        <v>87</v>
      </c>
      <c r="Q178" s="8"/>
      <c r="R178" s="8"/>
      <c r="S178" s="8"/>
      <c r="T178" s="8"/>
      <c r="U178" s="8"/>
      <c r="V178" s="8"/>
      <c r="W178" s="8"/>
      <c r="X178" s="8"/>
      <c r="Y178" s="8"/>
      <c r="Z178" s="8"/>
      <c r="AA178" s="8"/>
      <c r="AB178" s="8"/>
      <c r="AC178" s="8"/>
      <c r="AD178" s="8"/>
      <c r="AE178" s="8"/>
      <c r="AF178" s="8"/>
      <c r="AG178" s="8"/>
      <c r="AH178" s="8"/>
      <c r="AI178" s="8" t="n">
        <v>0</v>
      </c>
      <c r="AJ178" s="8" t="n">
        <v>0</v>
      </c>
      <c r="AK178" s="8" t="n">
        <v>0</v>
      </c>
      <c r="AL178" s="8" t="n">
        <v>0</v>
      </c>
      <c r="AM178" s="8" t="n">
        <v>0</v>
      </c>
      <c r="AN178" s="8" t="n">
        <v>0</v>
      </c>
      <c r="AO178" s="8" t="n">
        <v>0</v>
      </c>
      <c r="AP178" s="8" t="n">
        <v>0</v>
      </c>
      <c r="AQ178" s="8" t="n">
        <v>0</v>
      </c>
      <c r="AR178" s="8" t="n">
        <v>0</v>
      </c>
      <c r="AS178" s="8" t="n">
        <v>0</v>
      </c>
      <c r="AT178" s="8" t="n">
        <v>0</v>
      </c>
      <c r="AU178" s="8" t="n">
        <v>0</v>
      </c>
      <c r="AV178" s="8" t="n">
        <v>0</v>
      </c>
      <c r="AW178" s="8" t="n">
        <v>0</v>
      </c>
      <c r="AX178" s="8" t="n">
        <v>0</v>
      </c>
      <c r="AY178" s="8" t="n">
        <v>0</v>
      </c>
      <c r="AZ178" s="8" t="n">
        <v>0</v>
      </c>
      <c r="BA178" s="8" t="n">
        <v>0</v>
      </c>
      <c r="BB178" s="8" t="n">
        <v>0</v>
      </c>
      <c r="BC178" s="8" t="n">
        <v>0</v>
      </c>
      <c r="BD178" s="8" t="n">
        <v>0</v>
      </c>
      <c r="BE178" s="8" t="n">
        <v>0</v>
      </c>
      <c r="BF178" s="8" t="n">
        <v>0</v>
      </c>
      <c r="BG178" s="10" t="s">
        <v>1415</v>
      </c>
      <c r="BH178" s="8"/>
    </row>
    <row r="179" customFormat="false" ht="15" hidden="false" customHeight="false" outlineLevel="0" collapsed="false">
      <c r="A179" s="8" t="s">
        <v>1418</v>
      </c>
      <c r="B179" s="8" t="s">
        <v>1419</v>
      </c>
      <c r="C179" s="8" t="n">
        <v>1</v>
      </c>
      <c r="D179" s="8" t="n">
        <v>1922</v>
      </c>
      <c r="E179" s="8" t="n">
        <v>1922</v>
      </c>
      <c r="F179" s="8" t="str">
        <f aca="false">IF(D179="","?",IF(D179&lt;1796,"pre-1796",IF(D179&lt;1912,"1796-1911",IF(D179&lt;1949,"1912-1948","1949+"))))</f>
        <v>1912-1948</v>
      </c>
      <c r="G179" s="8" t="str">
        <f aca="false">IF(D179="","?",IF(D179&lt;1912,"Qing",IF(D179&lt;1949,"Republic","PRC")))</f>
        <v>Republic</v>
      </c>
      <c r="H179" s="8" t="s">
        <v>1420</v>
      </c>
      <c r="I179" s="9" t="s">
        <v>466</v>
      </c>
      <c r="J179" s="9" t="s">
        <v>467</v>
      </c>
      <c r="K179" s="8" t="s">
        <v>84</v>
      </c>
      <c r="L179" s="9" t="s">
        <v>1421</v>
      </c>
      <c r="M179" s="8"/>
      <c r="N179" s="8"/>
      <c r="O179" s="8" t="s">
        <v>1422</v>
      </c>
      <c r="P179" s="8" t="s">
        <v>87</v>
      </c>
      <c r="Q179" s="8"/>
      <c r="R179" s="9" t="s">
        <v>1299</v>
      </c>
      <c r="S179" s="8"/>
      <c r="T179" s="8"/>
      <c r="U179" s="8"/>
      <c r="V179" s="8"/>
      <c r="W179" s="8"/>
      <c r="X179" s="8"/>
      <c r="Y179" s="8"/>
      <c r="Z179" s="8"/>
      <c r="AA179" s="8"/>
      <c r="AB179" s="8"/>
      <c r="AC179" s="8"/>
      <c r="AD179" s="8"/>
      <c r="AE179" s="9" t="s">
        <v>1423</v>
      </c>
      <c r="AF179" s="8"/>
      <c r="AG179" s="8"/>
      <c r="AH179" s="8"/>
      <c r="AI179" s="8" t="n">
        <v>0</v>
      </c>
      <c r="AJ179" s="8" t="n">
        <v>0</v>
      </c>
      <c r="AK179" s="8" t="n">
        <v>0</v>
      </c>
      <c r="AL179" s="8" t="n">
        <v>0</v>
      </c>
      <c r="AM179" s="8" t="n">
        <v>0</v>
      </c>
      <c r="AN179" s="8" t="n">
        <v>0</v>
      </c>
      <c r="AO179" s="8" t="n">
        <v>0</v>
      </c>
      <c r="AP179" s="8" t="n">
        <v>0</v>
      </c>
      <c r="AQ179" s="8" t="n">
        <v>0</v>
      </c>
      <c r="AR179" s="8" t="n">
        <v>0</v>
      </c>
      <c r="AS179" s="8" t="n">
        <v>0</v>
      </c>
      <c r="AT179" s="8" t="n">
        <v>0</v>
      </c>
      <c r="AU179" s="8" t="n">
        <v>0</v>
      </c>
      <c r="AV179" s="8" t="n">
        <v>0</v>
      </c>
      <c r="AW179" s="8" t="n">
        <v>1</v>
      </c>
      <c r="AX179" s="8" t="n">
        <v>0</v>
      </c>
      <c r="AY179" s="8" t="n">
        <v>0</v>
      </c>
      <c r="AZ179" s="8" t="n">
        <v>0</v>
      </c>
      <c r="BA179" s="8" t="n">
        <v>0</v>
      </c>
      <c r="BB179" s="8" t="n">
        <v>0</v>
      </c>
      <c r="BC179" s="8" t="n">
        <v>95</v>
      </c>
      <c r="BD179" s="8" t="n">
        <v>0</v>
      </c>
      <c r="BE179" s="8" t="n">
        <v>2</v>
      </c>
      <c r="BF179" s="8" t="n">
        <v>0</v>
      </c>
      <c r="BG179" s="10" t="s">
        <v>1424</v>
      </c>
      <c r="BH179" s="9" t="s">
        <v>1425</v>
      </c>
    </row>
    <row r="180" customFormat="false" ht="15" hidden="false" customHeight="false" outlineLevel="0" collapsed="false">
      <c r="A180" s="8" t="s">
        <v>1426</v>
      </c>
      <c r="B180" s="8" t="s">
        <v>1427</v>
      </c>
      <c r="C180" s="8" t="n">
        <v>1</v>
      </c>
      <c r="D180" s="8" t="n">
        <v>1887</v>
      </c>
      <c r="E180" s="8" t="n">
        <v>1887</v>
      </c>
      <c r="F180" s="8" t="str">
        <f aca="false">IF(D180="","?",IF(D180&lt;1796,"pre-1796",IF(D180&lt;1912,"1796-1911",IF(D180&lt;1949,"1912-1948","1949+"))))</f>
        <v>1796-1911</v>
      </c>
      <c r="G180" s="8" t="str">
        <f aca="false">IF(D180="","?",IF(D180&lt;1912,"Qing",IF(D180&lt;1949,"Republic","PRC")))</f>
        <v>Qing</v>
      </c>
      <c r="H180" s="8" t="s">
        <v>174</v>
      </c>
      <c r="I180" s="8"/>
      <c r="J180" s="8"/>
      <c r="K180" s="8" t="s">
        <v>130</v>
      </c>
      <c r="L180" s="8"/>
      <c r="M180" s="8"/>
      <c r="N180" s="8"/>
      <c r="O180" s="8" t="s">
        <v>1428</v>
      </c>
      <c r="P180" s="8" t="s">
        <v>87</v>
      </c>
      <c r="Q180" s="8"/>
      <c r="R180" s="9" t="s">
        <v>179</v>
      </c>
      <c r="S180" s="8"/>
      <c r="T180" s="8"/>
      <c r="U180" s="8"/>
      <c r="V180" s="8"/>
      <c r="W180" s="8"/>
      <c r="X180" s="8"/>
      <c r="Y180" s="9" t="s">
        <v>1429</v>
      </c>
      <c r="Z180" s="8"/>
      <c r="AA180" s="8"/>
      <c r="AB180" s="8"/>
      <c r="AC180" s="8"/>
      <c r="AD180" s="8"/>
      <c r="AE180" s="8"/>
      <c r="AF180" s="8"/>
      <c r="AG180" s="8"/>
      <c r="AH180" s="8"/>
      <c r="AI180" s="8" t="n">
        <v>0</v>
      </c>
      <c r="AJ180" s="8" t="n">
        <v>0</v>
      </c>
      <c r="AK180" s="8" t="n">
        <v>0</v>
      </c>
      <c r="AL180" s="8" t="n">
        <v>0</v>
      </c>
      <c r="AM180" s="8" t="n">
        <v>0</v>
      </c>
      <c r="AN180" s="8" t="n">
        <v>0</v>
      </c>
      <c r="AO180" s="8" t="n">
        <v>0</v>
      </c>
      <c r="AP180" s="8" t="n">
        <v>0</v>
      </c>
      <c r="AQ180" s="8" t="n">
        <v>0</v>
      </c>
      <c r="AR180" s="8" t="n">
        <v>0</v>
      </c>
      <c r="AS180" s="8" t="n">
        <v>0</v>
      </c>
      <c r="AT180" s="8" t="n">
        <v>0</v>
      </c>
      <c r="AU180" s="8" t="n">
        <v>0</v>
      </c>
      <c r="AV180" s="8" t="n">
        <v>0</v>
      </c>
      <c r="AW180" s="8" t="n">
        <v>0</v>
      </c>
      <c r="AX180" s="8" t="n">
        <v>0</v>
      </c>
      <c r="AY180" s="8" t="n">
        <v>0</v>
      </c>
      <c r="AZ180" s="8" t="n">
        <v>0</v>
      </c>
      <c r="BA180" s="8" t="n">
        <v>0</v>
      </c>
      <c r="BB180" s="8" t="n">
        <v>0</v>
      </c>
      <c r="BC180" s="8" t="n">
        <v>41</v>
      </c>
      <c r="BD180" s="8" t="n">
        <v>0</v>
      </c>
      <c r="BE180" s="8" t="n">
        <v>0</v>
      </c>
      <c r="BF180" s="8" t="n">
        <v>0</v>
      </c>
      <c r="BG180" s="10" t="s">
        <v>1430</v>
      </c>
      <c r="BH180" s="9" t="s">
        <v>1431</v>
      </c>
    </row>
    <row r="181" customFormat="false" ht="15" hidden="false" customHeight="false" outlineLevel="0" collapsed="false">
      <c r="A181" s="8" t="s">
        <v>1432</v>
      </c>
      <c r="B181" s="8" t="s">
        <v>1427</v>
      </c>
      <c r="C181" s="8" t="n">
        <v>2</v>
      </c>
      <c r="D181" s="8" t="n">
        <v>1887</v>
      </c>
      <c r="E181" s="8" t="n">
        <v>1887</v>
      </c>
      <c r="F181" s="8" t="str">
        <f aca="false">IF(D181="","?",IF(D181&lt;1796,"pre-1796",IF(D181&lt;1912,"1796-1911",IF(D181&lt;1949,"1912-1948","1949+"))))</f>
        <v>1796-1911</v>
      </c>
      <c r="G181" s="8" t="str">
        <f aca="false">IF(D181="","?",IF(D181&lt;1912,"Qing",IF(D181&lt;1949,"Republic","PRC")))</f>
        <v>Qing</v>
      </c>
      <c r="H181" s="8" t="s">
        <v>174</v>
      </c>
      <c r="I181" s="8"/>
      <c r="J181" s="8"/>
      <c r="K181" s="8" t="s">
        <v>130</v>
      </c>
      <c r="L181" s="8"/>
      <c r="M181" s="8"/>
      <c r="N181" s="8"/>
      <c r="O181" s="8" t="s">
        <v>1428</v>
      </c>
      <c r="P181" s="8" t="s">
        <v>87</v>
      </c>
      <c r="Q181" s="8"/>
      <c r="R181" s="9" t="s">
        <v>179</v>
      </c>
      <c r="S181" s="8"/>
      <c r="T181" s="8"/>
      <c r="U181" s="8"/>
      <c r="V181" s="8"/>
      <c r="W181" s="8"/>
      <c r="X181" s="8"/>
      <c r="Y181" s="9" t="s">
        <v>1429</v>
      </c>
      <c r="Z181" s="8"/>
      <c r="AA181" s="8"/>
      <c r="AB181" s="8"/>
      <c r="AC181" s="8"/>
      <c r="AD181" s="8"/>
      <c r="AE181" s="8"/>
      <c r="AF181" s="8"/>
      <c r="AG181" s="8"/>
      <c r="AH181" s="8"/>
      <c r="AI181" s="8" t="n">
        <v>0</v>
      </c>
      <c r="AJ181" s="8" t="n">
        <v>0</v>
      </c>
      <c r="AK181" s="8" t="n">
        <v>0</v>
      </c>
      <c r="AL181" s="8" t="n">
        <v>0</v>
      </c>
      <c r="AM181" s="8" t="n">
        <v>0</v>
      </c>
      <c r="AN181" s="8" t="n">
        <v>0</v>
      </c>
      <c r="AO181" s="8" t="n">
        <v>0</v>
      </c>
      <c r="AP181" s="8" t="n">
        <v>0</v>
      </c>
      <c r="AQ181" s="8" t="n">
        <v>0</v>
      </c>
      <c r="AR181" s="8" t="n">
        <v>0</v>
      </c>
      <c r="AS181" s="8" t="n">
        <v>0</v>
      </c>
      <c r="AT181" s="8" t="n">
        <v>0</v>
      </c>
      <c r="AU181" s="8" t="n">
        <v>0</v>
      </c>
      <c r="AV181" s="8" t="n">
        <v>0</v>
      </c>
      <c r="AW181" s="8" t="n">
        <v>0</v>
      </c>
      <c r="AX181" s="8" t="n">
        <v>0</v>
      </c>
      <c r="AY181" s="8" t="n">
        <v>0</v>
      </c>
      <c r="AZ181" s="8" t="n">
        <v>0</v>
      </c>
      <c r="BA181" s="8" t="n">
        <v>0</v>
      </c>
      <c r="BB181" s="8" t="n">
        <v>0</v>
      </c>
      <c r="BC181" s="8" t="n">
        <v>50</v>
      </c>
      <c r="BD181" s="8" t="n">
        <v>0</v>
      </c>
      <c r="BE181" s="8" t="n">
        <v>0</v>
      </c>
      <c r="BF181" s="8" t="n">
        <v>0</v>
      </c>
      <c r="BG181" s="10" t="s">
        <v>1430</v>
      </c>
      <c r="BH181" s="9" t="s">
        <v>1433</v>
      </c>
    </row>
    <row r="182" customFormat="false" ht="15" hidden="false" customHeight="false" outlineLevel="0" collapsed="false">
      <c r="A182" s="8" t="s">
        <v>1434</v>
      </c>
      <c r="B182" s="8" t="s">
        <v>1435</v>
      </c>
      <c r="C182" s="8" t="n">
        <v>1</v>
      </c>
      <c r="D182" s="8" t="n">
        <v>1936</v>
      </c>
      <c r="E182" s="8" t="n">
        <v>1936</v>
      </c>
      <c r="F182" s="8" t="str">
        <f aca="false">IF(D182="","?",IF(D182&lt;1796,"pre-1796",IF(D182&lt;1912,"1796-1911",IF(D182&lt;1949,"1912-1948","1949+"))))</f>
        <v>1912-1948</v>
      </c>
      <c r="G182" s="8" t="str">
        <f aca="false">IF(D182="","?",IF(D182&lt;1912,"Qing",IF(D182&lt;1949,"Republic","PRC")))</f>
        <v>Republic</v>
      </c>
      <c r="H182" s="8" t="s">
        <v>1436</v>
      </c>
      <c r="I182" s="8"/>
      <c r="J182" s="9" t="s">
        <v>426</v>
      </c>
      <c r="K182" s="8" t="s">
        <v>130</v>
      </c>
      <c r="L182" s="8"/>
      <c r="M182" s="9" t="s">
        <v>1437</v>
      </c>
      <c r="N182" s="9" t="s">
        <v>1438</v>
      </c>
      <c r="O182" s="8" t="s">
        <v>1439</v>
      </c>
      <c r="P182" s="8" t="s">
        <v>133</v>
      </c>
      <c r="Q182" s="9" t="s">
        <v>1440</v>
      </c>
      <c r="R182" s="8"/>
      <c r="S182" s="9" t="s">
        <v>1437</v>
      </c>
      <c r="T182" s="9" t="s">
        <v>1441</v>
      </c>
      <c r="U182" s="9" t="s">
        <v>1442</v>
      </c>
      <c r="V182" s="9" t="s">
        <v>1443</v>
      </c>
      <c r="W182" s="8"/>
      <c r="X182" s="8"/>
      <c r="Y182" s="8"/>
      <c r="Z182" s="8"/>
      <c r="AA182" s="8"/>
      <c r="AB182" s="8"/>
      <c r="AC182" s="9" t="s">
        <v>1444</v>
      </c>
      <c r="AD182" s="8"/>
      <c r="AE182" s="8"/>
      <c r="AF182" s="8"/>
      <c r="AG182" s="8"/>
      <c r="AH182" s="8"/>
      <c r="AI182" s="8" t="n">
        <v>1</v>
      </c>
      <c r="AJ182" s="8" t="n">
        <v>1</v>
      </c>
      <c r="AK182" s="8" t="n">
        <v>1</v>
      </c>
      <c r="AL182" s="8" t="n">
        <v>1</v>
      </c>
      <c r="AM182" s="8" t="n">
        <v>1</v>
      </c>
      <c r="AN182" s="8" t="n">
        <v>1</v>
      </c>
      <c r="AO182" s="8" t="n">
        <v>1</v>
      </c>
      <c r="AP182" s="8" t="n">
        <v>1</v>
      </c>
      <c r="AQ182" s="8" t="n">
        <v>1</v>
      </c>
      <c r="AR182" s="8" t="n">
        <v>1</v>
      </c>
      <c r="AS182" s="8" t="n">
        <v>1</v>
      </c>
      <c r="AT182" s="8" t="n">
        <v>0</v>
      </c>
      <c r="AU182" s="8" t="n">
        <v>0</v>
      </c>
      <c r="AV182" s="8" t="n">
        <v>0</v>
      </c>
      <c r="AW182" s="8" t="n">
        <v>0</v>
      </c>
      <c r="AX182" s="8" t="n">
        <v>0</v>
      </c>
      <c r="AY182" s="8" t="n">
        <v>0</v>
      </c>
      <c r="AZ182" s="8" t="n">
        <v>0</v>
      </c>
      <c r="BA182" s="8" t="n">
        <v>0</v>
      </c>
      <c r="BB182" s="8" t="n">
        <v>0</v>
      </c>
      <c r="BC182" s="8" t="n">
        <v>383</v>
      </c>
      <c r="BD182" s="8" t="n">
        <v>0</v>
      </c>
      <c r="BE182" s="8" t="n">
        <v>0</v>
      </c>
      <c r="BF182" s="8" t="n">
        <v>0</v>
      </c>
      <c r="BG182" s="10" t="s">
        <v>1445</v>
      </c>
      <c r="BH182" s="9" t="s">
        <v>1446</v>
      </c>
    </row>
    <row r="183" customFormat="false" ht="15" hidden="false" customHeight="false" outlineLevel="0" collapsed="false">
      <c r="A183" s="8" t="s">
        <v>1447</v>
      </c>
      <c r="B183" s="8" t="s">
        <v>1448</v>
      </c>
      <c r="C183" s="8" t="n">
        <v>1</v>
      </c>
      <c r="D183" s="8" t="n">
        <v>1943</v>
      </c>
      <c r="E183" s="8" t="n">
        <v>1943</v>
      </c>
      <c r="F183" s="8" t="str">
        <f aca="false">IF(D183="","?",IF(D183&lt;1796,"pre-1796",IF(D183&lt;1912,"1796-1911",IF(D183&lt;1949,"1912-1948","1949+"))))</f>
        <v>1912-1948</v>
      </c>
      <c r="G183" s="8" t="str">
        <f aca="false">IF(D183="","?",IF(D183&lt;1912,"Qing",IF(D183&lt;1949,"Republic","PRC")))</f>
        <v>Republic</v>
      </c>
      <c r="H183" s="8" t="s">
        <v>1449</v>
      </c>
      <c r="I183" s="8"/>
      <c r="J183" s="8"/>
      <c r="K183" s="8" t="s">
        <v>84</v>
      </c>
      <c r="L183" s="9" t="s">
        <v>1450</v>
      </c>
      <c r="M183" s="8"/>
      <c r="N183" s="9" t="s">
        <v>1451</v>
      </c>
      <c r="O183" s="8" t="s">
        <v>1452</v>
      </c>
      <c r="P183" s="8" t="s">
        <v>87</v>
      </c>
      <c r="Q183" s="8"/>
      <c r="R183" s="9" t="s">
        <v>1453</v>
      </c>
      <c r="S183" s="8"/>
      <c r="T183" s="8"/>
      <c r="U183" s="8"/>
      <c r="V183" s="8"/>
      <c r="W183" s="8"/>
      <c r="X183" s="8"/>
      <c r="Y183" s="8"/>
      <c r="Z183" s="8"/>
      <c r="AA183" s="8"/>
      <c r="AB183" s="8"/>
      <c r="AC183" s="8"/>
      <c r="AD183" s="8"/>
      <c r="AE183" s="8"/>
      <c r="AF183" s="8"/>
      <c r="AG183" s="8"/>
      <c r="AH183" s="8"/>
      <c r="AI183" s="8" t="n">
        <v>0</v>
      </c>
      <c r="AJ183" s="8" t="n">
        <v>0</v>
      </c>
      <c r="AK183" s="8" t="n">
        <v>0</v>
      </c>
      <c r="AL183" s="8" t="n">
        <v>0</v>
      </c>
      <c r="AM183" s="8" t="n">
        <v>0</v>
      </c>
      <c r="AN183" s="8" t="n">
        <v>0</v>
      </c>
      <c r="AO183" s="8" t="n">
        <v>0</v>
      </c>
      <c r="AP183" s="8" t="n">
        <v>0</v>
      </c>
      <c r="AQ183" s="8" t="n">
        <v>0</v>
      </c>
      <c r="AR183" s="8" t="n">
        <v>0</v>
      </c>
      <c r="AS183" s="8" t="n">
        <v>0</v>
      </c>
      <c r="AT183" s="8" t="n">
        <v>0</v>
      </c>
      <c r="AU183" s="8" t="n">
        <v>0</v>
      </c>
      <c r="AV183" s="8" t="n">
        <v>0</v>
      </c>
      <c r="AW183" s="8" t="n">
        <v>0</v>
      </c>
      <c r="AX183" s="8" t="n">
        <v>0</v>
      </c>
      <c r="AY183" s="8" t="n">
        <v>0</v>
      </c>
      <c r="AZ183" s="8" t="n">
        <v>0</v>
      </c>
      <c r="BA183" s="8" t="n">
        <v>0</v>
      </c>
      <c r="BB183" s="8" t="n">
        <v>0</v>
      </c>
      <c r="BC183" s="8" t="n">
        <v>27</v>
      </c>
      <c r="BD183" s="8" t="n">
        <v>0</v>
      </c>
      <c r="BE183" s="8" t="n">
        <v>0</v>
      </c>
      <c r="BF183" s="8" t="n">
        <v>0</v>
      </c>
      <c r="BG183" s="10" t="s">
        <v>1454</v>
      </c>
      <c r="BH183" s="9" t="s">
        <v>1455</v>
      </c>
    </row>
    <row r="184" customFormat="false" ht="15" hidden="false" customHeight="false" outlineLevel="0" collapsed="false">
      <c r="A184" s="8" t="s">
        <v>1456</v>
      </c>
      <c r="B184" s="8" t="s">
        <v>1457</v>
      </c>
      <c r="C184" s="8" t="n">
        <v>1</v>
      </c>
      <c r="D184" s="8" t="n">
        <v>1829</v>
      </c>
      <c r="E184" s="8" t="n">
        <v>1829</v>
      </c>
      <c r="F184" s="8" t="str">
        <f aca="false">IF(D184="","?",IF(D184&lt;1796,"pre-1796",IF(D184&lt;1912,"1796-1911",IF(D184&lt;1949,"1912-1948","1949+"))))</f>
        <v>1796-1911</v>
      </c>
      <c r="G184" s="8" t="str">
        <f aca="false">IF(D184="","?",IF(D184&lt;1912,"Qing",IF(D184&lt;1949,"Republic","PRC")))</f>
        <v>Qing</v>
      </c>
      <c r="H184" s="8" t="s">
        <v>1458</v>
      </c>
      <c r="I184" s="8"/>
      <c r="J184" s="8"/>
      <c r="K184" s="8" t="s">
        <v>130</v>
      </c>
      <c r="L184" s="8"/>
      <c r="M184" s="9" t="s">
        <v>1459</v>
      </c>
      <c r="N184" s="9" t="s">
        <v>1460</v>
      </c>
      <c r="O184" s="8" t="s">
        <v>1461</v>
      </c>
      <c r="P184" s="8" t="s">
        <v>87</v>
      </c>
      <c r="Q184" s="8"/>
      <c r="R184" s="9" t="s">
        <v>1462</v>
      </c>
      <c r="S184" s="8"/>
      <c r="T184" s="8"/>
      <c r="U184" s="8"/>
      <c r="V184" s="8"/>
      <c r="W184" s="8"/>
      <c r="X184" s="8"/>
      <c r="Y184" s="8"/>
      <c r="Z184" s="8"/>
      <c r="AA184" s="8"/>
      <c r="AB184" s="8"/>
      <c r="AC184" s="8"/>
      <c r="AD184" s="8"/>
      <c r="AE184" s="8"/>
      <c r="AF184" s="8"/>
      <c r="AG184" s="8"/>
      <c r="AH184" s="8"/>
      <c r="AI184" s="8" t="n">
        <v>0</v>
      </c>
      <c r="AJ184" s="8" t="n">
        <v>0</v>
      </c>
      <c r="AK184" s="8" t="n">
        <v>0</v>
      </c>
      <c r="AL184" s="8" t="n">
        <v>0</v>
      </c>
      <c r="AM184" s="8" t="n">
        <v>0</v>
      </c>
      <c r="AN184" s="8" t="n">
        <v>0</v>
      </c>
      <c r="AO184" s="8" t="n">
        <v>0</v>
      </c>
      <c r="AP184" s="8" t="n">
        <v>0</v>
      </c>
      <c r="AQ184" s="8" t="n">
        <v>0</v>
      </c>
      <c r="AR184" s="8" t="n">
        <v>0</v>
      </c>
      <c r="AS184" s="8" t="n">
        <v>0</v>
      </c>
      <c r="AT184" s="8" t="n">
        <v>0</v>
      </c>
      <c r="AU184" s="8" t="n">
        <v>0</v>
      </c>
      <c r="AV184" s="8" t="n">
        <v>0</v>
      </c>
      <c r="AW184" s="8" t="n">
        <v>0</v>
      </c>
      <c r="AX184" s="8" t="n">
        <v>0</v>
      </c>
      <c r="AY184" s="8" t="n">
        <v>0</v>
      </c>
      <c r="AZ184" s="8" t="n">
        <v>0</v>
      </c>
      <c r="BA184" s="8" t="n">
        <v>0</v>
      </c>
      <c r="BB184" s="8" t="n">
        <v>0</v>
      </c>
      <c r="BC184" s="8" t="n">
        <v>29</v>
      </c>
      <c r="BD184" s="8" t="n">
        <v>1</v>
      </c>
      <c r="BE184" s="8" t="n">
        <v>0</v>
      </c>
      <c r="BF184" s="8" t="n">
        <v>1</v>
      </c>
      <c r="BG184" s="10" t="s">
        <v>1463</v>
      </c>
      <c r="BH184" s="9" t="s">
        <v>1464</v>
      </c>
    </row>
    <row r="185" customFormat="false" ht="15" hidden="false" customHeight="false" outlineLevel="0" collapsed="false">
      <c r="A185" s="8" t="s">
        <v>1465</v>
      </c>
      <c r="B185" s="8" t="s">
        <v>1466</v>
      </c>
      <c r="C185" s="8" t="n">
        <v>1</v>
      </c>
      <c r="D185" s="8" t="n">
        <v>1910</v>
      </c>
      <c r="E185" s="8" t="n">
        <v>1910</v>
      </c>
      <c r="F185" s="8" t="str">
        <f aca="false">IF(D185="","?",IF(D185&lt;1796,"pre-1796",IF(D185&lt;1912,"1796-1911",IF(D185&lt;1949,"1912-1948","1949+"))))</f>
        <v>1796-1911</v>
      </c>
      <c r="G185" s="8" t="str">
        <f aca="false">IF(D185="","?",IF(D185&lt;1912,"Qing",IF(D185&lt;1949,"Republic","PRC")))</f>
        <v>Qing</v>
      </c>
      <c r="H185" s="8" t="s">
        <v>562</v>
      </c>
      <c r="I185" s="9" t="s">
        <v>527</v>
      </c>
      <c r="J185" s="9" t="s">
        <v>528</v>
      </c>
      <c r="K185" s="8" t="s">
        <v>84</v>
      </c>
      <c r="L185" s="8"/>
      <c r="M185" s="9" t="s">
        <v>1467</v>
      </c>
      <c r="N185" s="9" t="s">
        <v>1468</v>
      </c>
      <c r="O185" s="8" t="s">
        <v>1469</v>
      </c>
      <c r="P185" s="8" t="s">
        <v>133</v>
      </c>
      <c r="Q185" s="9" t="s">
        <v>134</v>
      </c>
      <c r="R185" s="8"/>
      <c r="S185" s="9" t="s">
        <v>1470</v>
      </c>
      <c r="T185" s="8"/>
      <c r="U185" s="8"/>
      <c r="V185" s="9" t="s">
        <v>1471</v>
      </c>
      <c r="W185" s="8"/>
      <c r="X185" s="8"/>
      <c r="Y185" s="9" t="s">
        <v>458</v>
      </c>
      <c r="Z185" s="9" t="s">
        <v>1472</v>
      </c>
      <c r="AA185" s="9" t="s">
        <v>1473</v>
      </c>
      <c r="AB185" s="8"/>
      <c r="AC185" s="8"/>
      <c r="AD185" s="8"/>
      <c r="AE185" s="8"/>
      <c r="AF185" s="8"/>
      <c r="AG185" s="8"/>
      <c r="AH185" s="8"/>
      <c r="AI185" s="8" t="n">
        <v>0</v>
      </c>
      <c r="AJ185" s="8" t="n">
        <v>1</v>
      </c>
      <c r="AK185" s="8" t="n">
        <v>1</v>
      </c>
      <c r="AL185" s="8" t="n">
        <v>1</v>
      </c>
      <c r="AM185" s="8" t="n">
        <v>1</v>
      </c>
      <c r="AN185" s="8" t="n">
        <v>0</v>
      </c>
      <c r="AO185" s="8" t="n">
        <v>0</v>
      </c>
      <c r="AP185" s="8" t="n">
        <v>0</v>
      </c>
      <c r="AQ185" s="8" t="n">
        <v>1</v>
      </c>
      <c r="AR185" s="8" t="n">
        <v>0</v>
      </c>
      <c r="AS185" s="8" t="n">
        <v>1</v>
      </c>
      <c r="AT185" s="8" t="n">
        <v>0</v>
      </c>
      <c r="AU185" s="8" t="n">
        <v>0</v>
      </c>
      <c r="AV185" s="8" t="n">
        <v>0</v>
      </c>
      <c r="AW185" s="8" t="n">
        <v>0</v>
      </c>
      <c r="AX185" s="8" t="n">
        <v>0</v>
      </c>
      <c r="AY185" s="8" t="n">
        <v>0</v>
      </c>
      <c r="AZ185" s="8" t="n">
        <v>0</v>
      </c>
      <c r="BA185" s="8" t="n">
        <v>0</v>
      </c>
      <c r="BB185" s="8" t="n">
        <v>0</v>
      </c>
      <c r="BC185" s="8" t="n">
        <v>322</v>
      </c>
      <c r="BD185" s="8" t="n">
        <v>0</v>
      </c>
      <c r="BE185" s="8" t="n">
        <v>0</v>
      </c>
      <c r="BF185" s="8" t="n">
        <v>0</v>
      </c>
      <c r="BG185" s="10" t="s">
        <v>1474</v>
      </c>
      <c r="BH185" s="9" t="s">
        <v>1475</v>
      </c>
    </row>
    <row r="186" customFormat="false" ht="15" hidden="false" customHeight="false" outlineLevel="0" collapsed="false">
      <c r="A186" s="8" t="s">
        <v>1476</v>
      </c>
      <c r="B186" s="8" t="s">
        <v>1477</v>
      </c>
      <c r="C186" s="8" t="n">
        <v>1</v>
      </c>
      <c r="D186" s="8" t="n">
        <v>1928</v>
      </c>
      <c r="E186" s="8" t="n">
        <v>1928</v>
      </c>
      <c r="F186" s="8" t="str">
        <f aca="false">IF(D186="","?",IF(D186&lt;1796,"pre-1796",IF(D186&lt;1912,"1796-1911",IF(D186&lt;1949,"1912-1948","1949+"))))</f>
        <v>1912-1948</v>
      </c>
      <c r="G186" s="8" t="str">
        <f aca="false">IF(D186="","?",IF(D186&lt;1912,"Qing",IF(D186&lt;1949,"Republic","PRC")))</f>
        <v>Republic</v>
      </c>
      <c r="H186" s="8" t="s">
        <v>948</v>
      </c>
      <c r="I186" s="8"/>
      <c r="J186" s="8"/>
      <c r="K186" s="8" t="s">
        <v>130</v>
      </c>
      <c r="L186" s="8"/>
      <c r="M186" s="9" t="s">
        <v>1478</v>
      </c>
      <c r="N186" s="9" t="s">
        <v>1479</v>
      </c>
      <c r="O186" s="8" t="s">
        <v>1480</v>
      </c>
      <c r="P186" s="8" t="s">
        <v>133</v>
      </c>
      <c r="Q186" s="9" t="s">
        <v>367</v>
      </c>
      <c r="R186" s="9" t="s">
        <v>1481</v>
      </c>
      <c r="S186" s="8"/>
      <c r="T186" s="8"/>
      <c r="U186" s="9" t="s">
        <v>1482</v>
      </c>
      <c r="V186" s="8"/>
      <c r="W186" s="9" t="s">
        <v>1483</v>
      </c>
      <c r="X186" s="9" t="s">
        <v>1484</v>
      </c>
      <c r="Y186" s="9" t="s">
        <v>372</v>
      </c>
      <c r="Z186" s="9" t="s">
        <v>1485</v>
      </c>
      <c r="AA186" s="8"/>
      <c r="AB186" s="8"/>
      <c r="AC186" s="8"/>
      <c r="AD186" s="8"/>
      <c r="AE186" s="8"/>
      <c r="AF186" s="8"/>
      <c r="AG186" s="8"/>
      <c r="AH186" s="8"/>
      <c r="AI186" s="8" t="n">
        <v>1</v>
      </c>
      <c r="AJ186" s="8" t="n">
        <v>1</v>
      </c>
      <c r="AK186" s="8" t="n">
        <v>1</v>
      </c>
      <c r="AL186" s="8" t="n">
        <v>1</v>
      </c>
      <c r="AM186" s="8" t="n">
        <v>1</v>
      </c>
      <c r="AN186" s="8" t="n">
        <v>1</v>
      </c>
      <c r="AO186" s="8" t="n">
        <v>1</v>
      </c>
      <c r="AP186" s="8" t="n">
        <v>0</v>
      </c>
      <c r="AQ186" s="8" t="n">
        <v>1</v>
      </c>
      <c r="AR186" s="8" t="n">
        <v>1</v>
      </c>
      <c r="AS186" s="8" t="n">
        <v>1</v>
      </c>
      <c r="AT186" s="8" t="n">
        <v>0</v>
      </c>
      <c r="AU186" s="8" t="n">
        <v>0</v>
      </c>
      <c r="AV186" s="8" t="n">
        <v>1</v>
      </c>
      <c r="AW186" s="8" t="n">
        <v>0</v>
      </c>
      <c r="AX186" s="8" t="n">
        <v>0</v>
      </c>
      <c r="AY186" s="8" t="n">
        <v>0</v>
      </c>
      <c r="AZ186" s="8" t="n">
        <v>0</v>
      </c>
      <c r="BA186" s="8" t="n">
        <v>0</v>
      </c>
      <c r="BB186" s="8" t="n">
        <v>0</v>
      </c>
      <c r="BC186" s="8" t="n">
        <v>280</v>
      </c>
      <c r="BD186" s="8" t="n">
        <v>0</v>
      </c>
      <c r="BE186" s="8" t="n">
        <v>0</v>
      </c>
      <c r="BF186" s="8" t="n">
        <v>0</v>
      </c>
      <c r="BG186" s="10" t="s">
        <v>1486</v>
      </c>
      <c r="BH186" s="9" t="s">
        <v>1487</v>
      </c>
    </row>
    <row r="187" customFormat="false" ht="15" hidden="false" customHeight="false" outlineLevel="0" collapsed="false">
      <c r="A187" s="8" t="s">
        <v>1488</v>
      </c>
      <c r="B187" s="8" t="s">
        <v>1489</v>
      </c>
      <c r="C187" s="8" t="n">
        <v>1</v>
      </c>
      <c r="D187" s="8" t="n">
        <v>1935</v>
      </c>
      <c r="E187" s="8" t="n">
        <v>1935</v>
      </c>
      <c r="F187" s="8" t="str">
        <f aca="false">IF(D187="","?",IF(D187&lt;1796,"pre-1796",IF(D187&lt;1912,"1796-1911",IF(D187&lt;1949,"1912-1948","1949+"))))</f>
        <v>1912-1948</v>
      </c>
      <c r="G187" s="8" t="str">
        <f aca="false">IF(D187="","?",IF(D187&lt;1912,"Qing",IF(D187&lt;1949,"Republic","PRC")))</f>
        <v>Republic</v>
      </c>
      <c r="H187" s="8" t="s">
        <v>1490</v>
      </c>
      <c r="I187" s="9" t="s">
        <v>128</v>
      </c>
      <c r="J187" s="9" t="s">
        <v>223</v>
      </c>
      <c r="K187" s="8" t="s">
        <v>84</v>
      </c>
      <c r="L187" s="9" t="s">
        <v>1491</v>
      </c>
      <c r="M187" s="8"/>
      <c r="N187" s="8"/>
      <c r="O187" s="8" t="s">
        <v>1492</v>
      </c>
      <c r="P187" s="8" t="s">
        <v>114</v>
      </c>
      <c r="Q187" s="9" t="s">
        <v>98</v>
      </c>
      <c r="R187" s="9" t="s">
        <v>1493</v>
      </c>
      <c r="S187" s="8"/>
      <c r="T187" s="8"/>
      <c r="U187" s="9" t="s">
        <v>1494</v>
      </c>
      <c r="V187" s="8"/>
      <c r="W187" s="9" t="s">
        <v>1495</v>
      </c>
      <c r="X187" s="8"/>
      <c r="Y187" s="8"/>
      <c r="Z187" s="8"/>
      <c r="AA187" s="8"/>
      <c r="AB187" s="8"/>
      <c r="AC187" s="8"/>
      <c r="AD187" s="8"/>
      <c r="AE187" s="8" t="s">
        <v>1496</v>
      </c>
      <c r="AF187" s="9" t="s">
        <v>959</v>
      </c>
      <c r="AG187" s="9" t="s">
        <v>960</v>
      </c>
      <c r="AH187" s="8"/>
      <c r="AI187" s="8" t="n">
        <v>0</v>
      </c>
      <c r="AJ187" s="8" t="n">
        <v>0</v>
      </c>
      <c r="AK187" s="8" t="n">
        <v>0</v>
      </c>
      <c r="AL187" s="8" t="n">
        <v>0</v>
      </c>
      <c r="AM187" s="8" t="n">
        <v>0</v>
      </c>
      <c r="AN187" s="8" t="n">
        <v>0</v>
      </c>
      <c r="AO187" s="8" t="n">
        <v>0</v>
      </c>
      <c r="AP187" s="8" t="n">
        <v>0</v>
      </c>
      <c r="AQ187" s="8" t="n">
        <v>0</v>
      </c>
      <c r="AR187" s="8" t="n">
        <v>0</v>
      </c>
      <c r="AS187" s="8" t="n">
        <v>0</v>
      </c>
      <c r="AT187" s="8" t="n">
        <v>0</v>
      </c>
      <c r="AU187" s="8" t="n">
        <v>0</v>
      </c>
      <c r="AV187" s="8" t="n">
        <v>0</v>
      </c>
      <c r="AW187" s="8" t="n">
        <v>0</v>
      </c>
      <c r="AX187" s="8" t="n">
        <v>0</v>
      </c>
      <c r="AY187" s="8" t="n">
        <v>0</v>
      </c>
      <c r="AZ187" s="8" t="n">
        <v>0</v>
      </c>
      <c r="BA187" s="8" t="n">
        <v>0</v>
      </c>
      <c r="BB187" s="8" t="n">
        <v>0</v>
      </c>
      <c r="BC187" s="8" t="n">
        <v>336</v>
      </c>
      <c r="BD187" s="8" t="n">
        <v>0</v>
      </c>
      <c r="BE187" s="8" t="n">
        <v>0</v>
      </c>
      <c r="BF187" s="8" t="n">
        <v>0</v>
      </c>
      <c r="BG187" s="10" t="s">
        <v>1497</v>
      </c>
      <c r="BH187" s="8" t="s">
        <v>1498</v>
      </c>
    </row>
    <row r="188" customFormat="false" ht="15" hidden="false" customHeight="false" outlineLevel="0" collapsed="false">
      <c r="A188" s="8" t="s">
        <v>1499</v>
      </c>
      <c r="B188" s="8" t="s">
        <v>1500</v>
      </c>
      <c r="C188" s="8" t="n">
        <v>1</v>
      </c>
      <c r="D188" s="8" t="n">
        <v>1937</v>
      </c>
      <c r="E188" s="8" t="n">
        <v>1937</v>
      </c>
      <c r="F188" s="8" t="str">
        <f aca="false">IF(D188="","?",IF(D188&lt;1796,"pre-1796",IF(D188&lt;1912,"1796-1911",IF(D188&lt;1949,"1912-1948","1949+"))))</f>
        <v>1912-1948</v>
      </c>
      <c r="G188" s="8" t="str">
        <f aca="false">IF(D188="","?",IF(D188&lt;1912,"Qing",IF(D188&lt;1949,"Republic","PRC")))</f>
        <v>Republic</v>
      </c>
      <c r="H188" s="8" t="s">
        <v>1501</v>
      </c>
      <c r="I188" s="9" t="s">
        <v>1502</v>
      </c>
      <c r="J188" s="9" t="s">
        <v>1503</v>
      </c>
      <c r="K188" s="8" t="s">
        <v>84</v>
      </c>
      <c r="L188" s="9" t="s">
        <v>1504</v>
      </c>
      <c r="M188" s="8"/>
      <c r="N188" s="8"/>
      <c r="O188" s="8" t="s">
        <v>1505</v>
      </c>
      <c r="P188" s="8" t="s">
        <v>114</v>
      </c>
      <c r="Q188" s="8"/>
      <c r="R188" s="9" t="s">
        <v>1506</v>
      </c>
      <c r="S188" s="8"/>
      <c r="T188" s="8"/>
      <c r="U188" s="9" t="s">
        <v>1507</v>
      </c>
      <c r="V188" s="9" t="s">
        <v>1508</v>
      </c>
      <c r="W188" s="9" t="s">
        <v>1509</v>
      </c>
      <c r="X188" s="8"/>
      <c r="Y188" s="8"/>
      <c r="Z188" s="8"/>
      <c r="AA188" s="8"/>
      <c r="AB188" s="8"/>
      <c r="AC188" s="8"/>
      <c r="AD188" s="8"/>
      <c r="AE188" s="9" t="s">
        <v>1510</v>
      </c>
      <c r="AF188" s="9" t="s">
        <v>1511</v>
      </c>
      <c r="AG188" s="9" t="s">
        <v>1504</v>
      </c>
      <c r="AH188" s="8"/>
      <c r="AI188" s="8" t="n">
        <v>0</v>
      </c>
      <c r="AJ188" s="8" t="n">
        <v>0</v>
      </c>
      <c r="AK188" s="8" t="n">
        <v>1</v>
      </c>
      <c r="AL188" s="8" t="n">
        <v>0</v>
      </c>
      <c r="AM188" s="8" t="n">
        <v>0</v>
      </c>
      <c r="AN188" s="8" t="n">
        <v>0</v>
      </c>
      <c r="AO188" s="8" t="n">
        <v>0</v>
      </c>
      <c r="AP188" s="8" t="n">
        <v>0</v>
      </c>
      <c r="AQ188" s="8" t="n">
        <v>0</v>
      </c>
      <c r="AR188" s="8" t="n">
        <v>0</v>
      </c>
      <c r="AS188" s="8" t="n">
        <v>0</v>
      </c>
      <c r="AT188" s="8" t="n">
        <v>1</v>
      </c>
      <c r="AU188" s="8" t="n">
        <v>0</v>
      </c>
      <c r="AV188" s="8" t="n">
        <v>0</v>
      </c>
      <c r="AW188" s="8" t="n">
        <v>0</v>
      </c>
      <c r="AX188" s="8" t="n">
        <v>1</v>
      </c>
      <c r="AY188" s="8" t="n">
        <v>0</v>
      </c>
      <c r="AZ188" s="8" t="n">
        <v>1</v>
      </c>
      <c r="BA188" s="8" t="n">
        <v>1</v>
      </c>
      <c r="BB188" s="8" t="n">
        <v>0</v>
      </c>
      <c r="BC188" s="8" t="n">
        <v>747</v>
      </c>
      <c r="BD188" s="8" t="n">
        <v>0</v>
      </c>
      <c r="BE188" s="8" t="n">
        <v>0</v>
      </c>
      <c r="BF188" s="8" t="n">
        <v>0</v>
      </c>
      <c r="BG188" s="10" t="s">
        <v>1512</v>
      </c>
      <c r="BH188" s="8" t="s">
        <v>1513</v>
      </c>
    </row>
    <row r="189" customFormat="false" ht="15" hidden="false" customHeight="false" outlineLevel="0" collapsed="false">
      <c r="A189" s="8" t="s">
        <v>1514</v>
      </c>
      <c r="B189" s="8" t="s">
        <v>1515</v>
      </c>
      <c r="C189" s="8" t="n">
        <v>1</v>
      </c>
      <c r="D189" s="8" t="n">
        <v>1947</v>
      </c>
      <c r="E189" s="8" t="n">
        <v>1947</v>
      </c>
      <c r="F189" s="8" t="str">
        <f aca="false">IF(D189="","?",IF(D189&lt;1796,"pre-1796",IF(D189&lt;1912,"1796-1911",IF(D189&lt;1949,"1912-1948","1949+"))))</f>
        <v>1912-1948</v>
      </c>
      <c r="G189" s="8" t="str">
        <f aca="false">IF(D189="","?",IF(D189&lt;1912,"Qing",IF(D189&lt;1949,"Republic","PRC")))</f>
        <v>Republic</v>
      </c>
      <c r="H189" s="8" t="s">
        <v>1516</v>
      </c>
      <c r="I189" s="9" t="s">
        <v>128</v>
      </c>
      <c r="J189" s="9" t="s">
        <v>1517</v>
      </c>
      <c r="K189" s="8" t="s">
        <v>84</v>
      </c>
      <c r="L189" s="9" t="s">
        <v>1518</v>
      </c>
      <c r="M189" s="8"/>
      <c r="N189" s="8"/>
      <c r="O189" s="8" t="s">
        <v>1519</v>
      </c>
      <c r="P189" s="8" t="s">
        <v>114</v>
      </c>
      <c r="Q189" s="8"/>
      <c r="R189" s="9" t="s">
        <v>1520</v>
      </c>
      <c r="S189" s="8"/>
      <c r="T189" s="8"/>
      <c r="U189" s="8"/>
      <c r="V189" s="8"/>
      <c r="W189" s="9" t="s">
        <v>1521</v>
      </c>
      <c r="X189" s="8"/>
      <c r="Y189" s="8"/>
      <c r="Z189" s="8"/>
      <c r="AA189" s="8"/>
      <c r="AB189" s="8"/>
      <c r="AC189" s="8"/>
      <c r="AD189" s="8"/>
      <c r="AE189" s="9" t="s">
        <v>1522</v>
      </c>
      <c r="AF189" s="9" t="s">
        <v>1523</v>
      </c>
      <c r="AG189" s="9" t="s">
        <v>1524</v>
      </c>
      <c r="AH189" s="8"/>
      <c r="AI189" s="8" t="n">
        <v>0</v>
      </c>
      <c r="AJ189" s="8" t="n">
        <v>0</v>
      </c>
      <c r="AK189" s="8" t="n">
        <v>0</v>
      </c>
      <c r="AL189" s="8" t="n">
        <v>0</v>
      </c>
      <c r="AM189" s="8" t="n">
        <v>0</v>
      </c>
      <c r="AN189" s="8" t="n">
        <v>0</v>
      </c>
      <c r="AO189" s="8" t="n">
        <v>0</v>
      </c>
      <c r="AP189" s="8" t="n">
        <v>0</v>
      </c>
      <c r="AQ189" s="8" t="n">
        <v>0</v>
      </c>
      <c r="AR189" s="8" t="n">
        <v>0</v>
      </c>
      <c r="AS189" s="8" t="n">
        <v>0</v>
      </c>
      <c r="AT189" s="8" t="n">
        <v>0</v>
      </c>
      <c r="AU189" s="8" t="n">
        <v>0</v>
      </c>
      <c r="AV189" s="8" t="n">
        <v>0</v>
      </c>
      <c r="AW189" s="8" t="n">
        <v>1</v>
      </c>
      <c r="AX189" s="8" t="n">
        <v>1</v>
      </c>
      <c r="AY189" s="8" t="n">
        <v>1</v>
      </c>
      <c r="AZ189" s="8" t="n">
        <v>1</v>
      </c>
      <c r="BA189" s="8" t="n">
        <v>0</v>
      </c>
      <c r="BB189" s="8" t="n">
        <v>0</v>
      </c>
      <c r="BC189" s="8" t="n">
        <v>288</v>
      </c>
      <c r="BD189" s="8" t="n">
        <v>0</v>
      </c>
      <c r="BE189" s="8" t="n">
        <v>0</v>
      </c>
      <c r="BF189" s="8" t="n">
        <v>0</v>
      </c>
      <c r="BG189" s="10" t="s">
        <v>1525</v>
      </c>
      <c r="BH189" s="9" t="s">
        <v>1526</v>
      </c>
    </row>
    <row r="190" customFormat="false" ht="15" hidden="false" customHeight="false" outlineLevel="0" collapsed="false">
      <c r="A190" s="8" t="s">
        <v>1527</v>
      </c>
      <c r="B190" s="8" t="s">
        <v>1528</v>
      </c>
      <c r="C190" s="8" t="n">
        <v>1</v>
      </c>
      <c r="D190" s="8" t="n">
        <v>1947</v>
      </c>
      <c r="E190" s="8" t="n">
        <v>1947</v>
      </c>
      <c r="F190" s="8" t="str">
        <f aca="false">IF(D190="","?",IF(D190&lt;1796,"pre-1796",IF(D190&lt;1912,"1796-1911",IF(D190&lt;1949,"1912-1948","1949+"))))</f>
        <v>1912-1948</v>
      </c>
      <c r="G190" s="8" t="str">
        <f aca="false">IF(D190="","?",IF(D190&lt;1912,"Qing",IF(D190&lt;1949,"Republic","PRC")))</f>
        <v>Republic</v>
      </c>
      <c r="H190" s="8" t="s">
        <v>1516</v>
      </c>
      <c r="I190" s="9" t="s">
        <v>128</v>
      </c>
      <c r="J190" s="9" t="s">
        <v>1517</v>
      </c>
      <c r="K190" s="8" t="s">
        <v>84</v>
      </c>
      <c r="L190" s="9" t="s">
        <v>1529</v>
      </c>
      <c r="M190" s="8"/>
      <c r="N190" s="8"/>
      <c r="O190" s="8" t="s">
        <v>1530</v>
      </c>
      <c r="P190" s="8" t="s">
        <v>114</v>
      </c>
      <c r="Q190" s="8"/>
      <c r="R190" s="9" t="s">
        <v>1520</v>
      </c>
      <c r="S190" s="8"/>
      <c r="T190" s="8"/>
      <c r="U190" s="8"/>
      <c r="V190" s="8"/>
      <c r="W190" s="9" t="s">
        <v>1531</v>
      </c>
      <c r="X190" s="8"/>
      <c r="Y190" s="8"/>
      <c r="Z190" s="8"/>
      <c r="AA190" s="8"/>
      <c r="AB190" s="8"/>
      <c r="AC190" s="8"/>
      <c r="AD190" s="8"/>
      <c r="AE190" s="9" t="s">
        <v>1532</v>
      </c>
      <c r="AF190" s="9" t="s">
        <v>1533</v>
      </c>
      <c r="AG190" s="9" t="s">
        <v>1529</v>
      </c>
      <c r="AH190" s="8"/>
      <c r="AI190" s="8" t="n">
        <v>0</v>
      </c>
      <c r="AJ190" s="8" t="n">
        <v>0</v>
      </c>
      <c r="AK190" s="8" t="n">
        <v>0</v>
      </c>
      <c r="AL190" s="8" t="n">
        <v>0</v>
      </c>
      <c r="AM190" s="8" t="n">
        <v>0</v>
      </c>
      <c r="AN190" s="8" t="n">
        <v>0</v>
      </c>
      <c r="AO190" s="8" t="n">
        <v>0</v>
      </c>
      <c r="AP190" s="8" t="n">
        <v>0</v>
      </c>
      <c r="AQ190" s="8" t="n">
        <v>0</v>
      </c>
      <c r="AR190" s="8" t="n">
        <v>0</v>
      </c>
      <c r="AS190" s="8" t="n">
        <v>0</v>
      </c>
      <c r="AT190" s="8" t="n">
        <v>0</v>
      </c>
      <c r="AU190" s="8" t="n">
        <v>0</v>
      </c>
      <c r="AV190" s="8" t="n">
        <v>0</v>
      </c>
      <c r="AW190" s="8" t="n">
        <v>1</v>
      </c>
      <c r="AX190" s="8" t="n">
        <v>1</v>
      </c>
      <c r="AY190" s="8" t="n">
        <v>1</v>
      </c>
      <c r="AZ190" s="8" t="n">
        <v>1</v>
      </c>
      <c r="BA190" s="8" t="n">
        <v>0</v>
      </c>
      <c r="BB190" s="8" t="n">
        <v>0</v>
      </c>
      <c r="BC190" s="8" t="n">
        <v>256</v>
      </c>
      <c r="BD190" s="8" t="n">
        <v>0</v>
      </c>
      <c r="BE190" s="8" t="n">
        <v>0</v>
      </c>
      <c r="BF190" s="8" t="n">
        <v>0</v>
      </c>
      <c r="BG190" s="10" t="s">
        <v>1534</v>
      </c>
      <c r="BH190" s="9" t="s">
        <v>1535</v>
      </c>
    </row>
    <row r="191" customFormat="false" ht="15" hidden="false" customHeight="false" outlineLevel="0" collapsed="false">
      <c r="A191" s="8" t="s">
        <v>1536</v>
      </c>
      <c r="B191" s="8" t="s">
        <v>1537</v>
      </c>
      <c r="C191" s="8" t="n">
        <v>1</v>
      </c>
      <c r="D191" s="8" t="n">
        <v>1947</v>
      </c>
      <c r="E191" s="8" t="n">
        <v>1947</v>
      </c>
      <c r="F191" s="8" t="str">
        <f aca="false">IF(D191="","?",IF(D191&lt;1796,"pre-1796",IF(D191&lt;1912,"1796-1911",IF(D191&lt;1949,"1912-1948","1949+"))))</f>
        <v>1912-1948</v>
      </c>
      <c r="G191" s="8" t="str">
        <f aca="false">IF(D191="","?",IF(D191&lt;1912,"Qing",IF(D191&lt;1949,"Republic","PRC")))</f>
        <v>Republic</v>
      </c>
      <c r="H191" s="8" t="s">
        <v>1516</v>
      </c>
      <c r="I191" s="9" t="s">
        <v>128</v>
      </c>
      <c r="J191" s="9" t="s">
        <v>1517</v>
      </c>
      <c r="K191" s="8" t="s">
        <v>84</v>
      </c>
      <c r="L191" s="9" t="s">
        <v>1529</v>
      </c>
      <c r="M191" s="8"/>
      <c r="N191" s="8"/>
      <c r="O191" s="8" t="s">
        <v>1538</v>
      </c>
      <c r="P191" s="8" t="s">
        <v>114</v>
      </c>
      <c r="Q191" s="8"/>
      <c r="R191" s="8"/>
      <c r="S191" s="8"/>
      <c r="T191" s="8"/>
      <c r="U191" s="8"/>
      <c r="V191" s="8"/>
      <c r="W191" s="8"/>
      <c r="X191" s="8"/>
      <c r="Y191" s="8"/>
      <c r="Z191" s="8"/>
      <c r="AA191" s="8"/>
      <c r="AB191" s="8"/>
      <c r="AC191" s="8"/>
      <c r="AD191" s="8"/>
      <c r="AE191" s="9" t="s">
        <v>1539</v>
      </c>
      <c r="AF191" s="9" t="s">
        <v>1540</v>
      </c>
      <c r="AG191" s="8"/>
      <c r="AH191" s="8"/>
      <c r="AI191" s="8" t="n">
        <v>0</v>
      </c>
      <c r="AJ191" s="8" t="n">
        <v>0</v>
      </c>
      <c r="AK191" s="8" t="n">
        <v>0</v>
      </c>
      <c r="AL191" s="8" t="n">
        <v>0</v>
      </c>
      <c r="AM191" s="8" t="n">
        <v>0</v>
      </c>
      <c r="AN191" s="8" t="n">
        <v>0</v>
      </c>
      <c r="AO191" s="8" t="n">
        <v>0</v>
      </c>
      <c r="AP191" s="8" t="n">
        <v>0</v>
      </c>
      <c r="AQ191" s="8" t="n">
        <v>0</v>
      </c>
      <c r="AR191" s="8" t="n">
        <v>0</v>
      </c>
      <c r="AS191" s="8" t="n">
        <v>0</v>
      </c>
      <c r="AT191" s="8" t="n">
        <v>0</v>
      </c>
      <c r="AU191" s="8" t="n">
        <v>0</v>
      </c>
      <c r="AV191" s="8" t="n">
        <v>0</v>
      </c>
      <c r="AW191" s="8" t="n">
        <v>1</v>
      </c>
      <c r="AX191" s="8" t="n">
        <v>1</v>
      </c>
      <c r="AY191" s="8" t="n">
        <v>1</v>
      </c>
      <c r="AZ191" s="8" t="n">
        <v>0</v>
      </c>
      <c r="BA191" s="8" t="n">
        <v>0</v>
      </c>
      <c r="BB191" s="8" t="n">
        <v>0</v>
      </c>
      <c r="BC191" s="8" t="n">
        <v>139</v>
      </c>
      <c r="BD191" s="8" t="n">
        <v>0</v>
      </c>
      <c r="BE191" s="8" t="n">
        <v>0</v>
      </c>
      <c r="BF191" s="8" t="n">
        <v>0</v>
      </c>
      <c r="BG191" s="10" t="s">
        <v>1541</v>
      </c>
      <c r="BH191" s="9" t="s">
        <v>1542</v>
      </c>
    </row>
    <row r="192" customFormat="false" ht="15" hidden="false" customHeight="false" outlineLevel="0" collapsed="false">
      <c r="A192" s="8" t="s">
        <v>1543</v>
      </c>
      <c r="B192" s="8" t="s">
        <v>1544</v>
      </c>
      <c r="C192" s="8" t="n">
        <v>1</v>
      </c>
      <c r="D192" s="8" t="n">
        <v>1947</v>
      </c>
      <c r="E192" s="8" t="n">
        <v>1947</v>
      </c>
      <c r="F192" s="8" t="str">
        <f aca="false">IF(D192="","?",IF(D192&lt;1796,"pre-1796",IF(D192&lt;1912,"1796-1911",IF(D192&lt;1949,"1912-1948","1949+"))))</f>
        <v>1912-1948</v>
      </c>
      <c r="G192" s="8" t="str">
        <f aca="false">IF(D192="","?",IF(D192&lt;1912,"Qing",IF(D192&lt;1949,"Republic","PRC")))</f>
        <v>Republic</v>
      </c>
      <c r="H192" s="8" t="s">
        <v>1516</v>
      </c>
      <c r="I192" s="9" t="s">
        <v>128</v>
      </c>
      <c r="J192" s="9" t="s">
        <v>1517</v>
      </c>
      <c r="K192" s="8" t="s">
        <v>84</v>
      </c>
      <c r="L192" s="9" t="s">
        <v>1545</v>
      </c>
      <c r="M192" s="8"/>
      <c r="N192" s="8"/>
      <c r="O192" s="8" t="s">
        <v>1546</v>
      </c>
      <c r="P192" s="8" t="s">
        <v>114</v>
      </c>
      <c r="Q192" s="8"/>
      <c r="R192" s="9" t="s">
        <v>1547</v>
      </c>
      <c r="S192" s="8"/>
      <c r="T192" s="8"/>
      <c r="U192" s="8"/>
      <c r="V192" s="8"/>
      <c r="W192" s="9" t="s">
        <v>1548</v>
      </c>
      <c r="X192" s="8"/>
      <c r="Y192" s="8"/>
      <c r="Z192" s="8"/>
      <c r="AA192" s="8"/>
      <c r="AB192" s="8"/>
      <c r="AC192" s="8"/>
      <c r="AD192" s="8"/>
      <c r="AE192" s="9" t="s">
        <v>1549</v>
      </c>
      <c r="AF192" s="9" t="s">
        <v>1550</v>
      </c>
      <c r="AG192" s="9" t="s">
        <v>1545</v>
      </c>
      <c r="AH192" s="8"/>
      <c r="AI192" s="8" t="n">
        <v>0</v>
      </c>
      <c r="AJ192" s="8" t="n">
        <v>0</v>
      </c>
      <c r="AK192" s="8" t="n">
        <v>0</v>
      </c>
      <c r="AL192" s="8" t="n">
        <v>0</v>
      </c>
      <c r="AM192" s="8" t="n">
        <v>0</v>
      </c>
      <c r="AN192" s="8" t="n">
        <v>0</v>
      </c>
      <c r="AO192" s="8" t="n">
        <v>0</v>
      </c>
      <c r="AP192" s="8" t="n">
        <v>0</v>
      </c>
      <c r="AQ192" s="8" t="n">
        <v>0</v>
      </c>
      <c r="AR192" s="8" t="n">
        <v>0</v>
      </c>
      <c r="AS192" s="8" t="n">
        <v>0</v>
      </c>
      <c r="AT192" s="8" t="n">
        <v>0</v>
      </c>
      <c r="AU192" s="8" t="n">
        <v>0</v>
      </c>
      <c r="AV192" s="8" t="n">
        <v>0</v>
      </c>
      <c r="AW192" s="8" t="n">
        <v>1</v>
      </c>
      <c r="AX192" s="8" t="n">
        <v>1</v>
      </c>
      <c r="AY192" s="8" t="n">
        <v>1</v>
      </c>
      <c r="AZ192" s="8" t="n">
        <v>1</v>
      </c>
      <c r="BA192" s="8" t="n">
        <v>0</v>
      </c>
      <c r="BB192" s="8" t="n">
        <v>0</v>
      </c>
      <c r="BC192" s="8" t="n">
        <v>257</v>
      </c>
      <c r="BD192" s="8" t="n">
        <v>0</v>
      </c>
      <c r="BE192" s="8" t="n">
        <v>0</v>
      </c>
      <c r="BF192" s="8" t="n">
        <v>0</v>
      </c>
      <c r="BG192" s="10" t="s">
        <v>1551</v>
      </c>
      <c r="BH192" s="9" t="s">
        <v>1552</v>
      </c>
    </row>
    <row r="193" customFormat="false" ht="15" hidden="false" customHeight="false" outlineLevel="0" collapsed="false">
      <c r="A193" s="8" t="s">
        <v>1553</v>
      </c>
      <c r="B193" s="8" t="s">
        <v>1554</v>
      </c>
      <c r="C193" s="8" t="n">
        <v>1</v>
      </c>
      <c r="D193" s="8" t="n">
        <v>1947</v>
      </c>
      <c r="E193" s="8" t="n">
        <v>1947</v>
      </c>
      <c r="F193" s="8" t="str">
        <f aca="false">IF(D193="","?",IF(D193&lt;1796,"pre-1796",IF(D193&lt;1912,"1796-1911",IF(D193&lt;1949,"1912-1948","1949+"))))</f>
        <v>1912-1948</v>
      </c>
      <c r="G193" s="8" t="str">
        <f aca="false">IF(D193="","?",IF(D193&lt;1912,"Qing",IF(D193&lt;1949,"Republic","PRC")))</f>
        <v>Republic</v>
      </c>
      <c r="H193" s="8" t="s">
        <v>1516</v>
      </c>
      <c r="I193" s="9" t="s">
        <v>128</v>
      </c>
      <c r="J193" s="9" t="s">
        <v>1517</v>
      </c>
      <c r="K193" s="8" t="s">
        <v>84</v>
      </c>
      <c r="L193" s="9" t="s">
        <v>1545</v>
      </c>
      <c r="M193" s="8"/>
      <c r="N193" s="8"/>
      <c r="O193" s="8" t="s">
        <v>1555</v>
      </c>
      <c r="P193" s="8" t="s">
        <v>114</v>
      </c>
      <c r="Q193" s="8"/>
      <c r="R193" s="9" t="s">
        <v>1096</v>
      </c>
      <c r="S193" s="8"/>
      <c r="T193" s="8"/>
      <c r="U193" s="8"/>
      <c r="V193" s="8"/>
      <c r="W193" s="9" t="s">
        <v>1556</v>
      </c>
      <c r="X193" s="8"/>
      <c r="Y193" s="8"/>
      <c r="Z193" s="8"/>
      <c r="AA193" s="8"/>
      <c r="AB193" s="8"/>
      <c r="AC193" s="8"/>
      <c r="AD193" s="8"/>
      <c r="AE193" s="9" t="s">
        <v>1557</v>
      </c>
      <c r="AF193" s="9" t="s">
        <v>1558</v>
      </c>
      <c r="AG193" s="9" t="s">
        <v>1545</v>
      </c>
      <c r="AH193" s="8"/>
      <c r="AI193" s="8" t="n">
        <v>0</v>
      </c>
      <c r="AJ193" s="8" t="n">
        <v>0</v>
      </c>
      <c r="AK193" s="8" t="n">
        <v>0</v>
      </c>
      <c r="AL193" s="8" t="n">
        <v>0</v>
      </c>
      <c r="AM193" s="8" t="n">
        <v>0</v>
      </c>
      <c r="AN193" s="8" t="n">
        <v>0</v>
      </c>
      <c r="AO193" s="8" t="n">
        <v>0</v>
      </c>
      <c r="AP193" s="8" t="n">
        <v>0</v>
      </c>
      <c r="AQ193" s="8" t="n">
        <v>0</v>
      </c>
      <c r="AR193" s="8" t="n">
        <v>0</v>
      </c>
      <c r="AS193" s="8" t="n">
        <v>0</v>
      </c>
      <c r="AT193" s="8" t="n">
        <v>0</v>
      </c>
      <c r="AU193" s="8" t="n">
        <v>0</v>
      </c>
      <c r="AV193" s="8" t="n">
        <v>0</v>
      </c>
      <c r="AW193" s="8" t="n">
        <v>1</v>
      </c>
      <c r="AX193" s="8" t="n">
        <v>1</v>
      </c>
      <c r="AY193" s="8" t="n">
        <v>1</v>
      </c>
      <c r="AZ193" s="8" t="n">
        <v>1</v>
      </c>
      <c r="BA193" s="8" t="n">
        <v>0</v>
      </c>
      <c r="BB193" s="8" t="n">
        <v>0</v>
      </c>
      <c r="BC193" s="8" t="n">
        <v>268</v>
      </c>
      <c r="BD193" s="8" t="n">
        <v>1</v>
      </c>
      <c r="BE193" s="8" t="n">
        <v>0</v>
      </c>
      <c r="BF193" s="8" t="n">
        <v>0</v>
      </c>
      <c r="BG193" s="10" t="s">
        <v>1559</v>
      </c>
      <c r="BH193" s="9" t="s">
        <v>1560</v>
      </c>
    </row>
    <row r="194" customFormat="false" ht="15" hidden="false" customHeight="false" outlineLevel="0" collapsed="false">
      <c r="A194" s="8" t="s">
        <v>1561</v>
      </c>
      <c r="B194" s="8" t="s">
        <v>1562</v>
      </c>
      <c r="C194" s="8" t="n">
        <v>1</v>
      </c>
      <c r="D194" s="8" t="n">
        <v>1947</v>
      </c>
      <c r="E194" s="8" t="n">
        <v>1947</v>
      </c>
      <c r="F194" s="8" t="str">
        <f aca="false">IF(D194="","?",IF(D194&lt;1796,"pre-1796",IF(D194&lt;1912,"1796-1911",IF(D194&lt;1949,"1912-1948","1949+"))))</f>
        <v>1912-1948</v>
      </c>
      <c r="G194" s="8" t="str">
        <f aca="false">IF(D194="","?",IF(D194&lt;1912,"Qing",IF(D194&lt;1949,"Republic","PRC")))</f>
        <v>Republic</v>
      </c>
      <c r="H194" s="8" t="s">
        <v>1516</v>
      </c>
      <c r="I194" s="9" t="s">
        <v>128</v>
      </c>
      <c r="J194" s="9" t="s">
        <v>1517</v>
      </c>
      <c r="K194" s="8" t="s">
        <v>84</v>
      </c>
      <c r="L194" s="9" t="s">
        <v>1545</v>
      </c>
      <c r="M194" s="8"/>
      <c r="N194" s="8"/>
      <c r="O194" s="8" t="s">
        <v>1563</v>
      </c>
      <c r="P194" s="8" t="s">
        <v>114</v>
      </c>
      <c r="Q194" s="8"/>
      <c r="R194" s="9" t="s">
        <v>1520</v>
      </c>
      <c r="S194" s="8"/>
      <c r="T194" s="8"/>
      <c r="U194" s="8"/>
      <c r="V194" s="8"/>
      <c r="W194" s="9" t="s">
        <v>1564</v>
      </c>
      <c r="X194" s="8"/>
      <c r="Y194" s="8"/>
      <c r="Z194" s="8"/>
      <c r="AA194" s="8"/>
      <c r="AB194" s="8"/>
      <c r="AC194" s="8"/>
      <c r="AD194" s="8"/>
      <c r="AE194" s="9" t="s">
        <v>1565</v>
      </c>
      <c r="AF194" s="9" t="s">
        <v>1558</v>
      </c>
      <c r="AG194" s="9" t="s">
        <v>1545</v>
      </c>
      <c r="AH194" s="9" t="s">
        <v>1566</v>
      </c>
      <c r="AI194" s="8" t="n">
        <v>0</v>
      </c>
      <c r="AJ194" s="8" t="n">
        <v>0</v>
      </c>
      <c r="AK194" s="8" t="n">
        <v>0</v>
      </c>
      <c r="AL194" s="8" t="n">
        <v>0</v>
      </c>
      <c r="AM194" s="8" t="n">
        <v>0</v>
      </c>
      <c r="AN194" s="8" t="n">
        <v>0</v>
      </c>
      <c r="AO194" s="8" t="n">
        <v>0</v>
      </c>
      <c r="AP194" s="8" t="n">
        <v>0</v>
      </c>
      <c r="AQ194" s="8" t="n">
        <v>0</v>
      </c>
      <c r="AR194" s="8" t="n">
        <v>0</v>
      </c>
      <c r="AS194" s="8" t="n">
        <v>0</v>
      </c>
      <c r="AT194" s="8" t="n">
        <v>0</v>
      </c>
      <c r="AU194" s="8" t="n">
        <v>0</v>
      </c>
      <c r="AV194" s="8" t="n">
        <v>0</v>
      </c>
      <c r="AW194" s="8" t="n">
        <v>1</v>
      </c>
      <c r="AX194" s="8" t="n">
        <v>1</v>
      </c>
      <c r="AY194" s="8" t="n">
        <v>1</v>
      </c>
      <c r="AZ194" s="8" t="n">
        <v>1</v>
      </c>
      <c r="BA194" s="8" t="n">
        <v>0</v>
      </c>
      <c r="BB194" s="8" t="n">
        <v>0</v>
      </c>
      <c r="BC194" s="8" t="n">
        <v>304</v>
      </c>
      <c r="BD194" s="8" t="n">
        <v>0</v>
      </c>
      <c r="BE194" s="8" t="n">
        <v>0</v>
      </c>
      <c r="BF194" s="8" t="n">
        <v>0</v>
      </c>
      <c r="BG194" s="10" t="s">
        <v>1567</v>
      </c>
      <c r="BH194" s="9" t="s">
        <v>1568</v>
      </c>
    </row>
    <row r="195" customFormat="false" ht="15" hidden="false" customHeight="false" outlineLevel="0" collapsed="false">
      <c r="A195" s="8" t="s">
        <v>1569</v>
      </c>
      <c r="B195" s="8" t="s">
        <v>1570</v>
      </c>
      <c r="C195" s="8" t="n">
        <v>1</v>
      </c>
      <c r="D195" s="8" t="n">
        <v>1947</v>
      </c>
      <c r="E195" s="8" t="n">
        <v>1947</v>
      </c>
      <c r="F195" s="8" t="str">
        <f aca="false">IF(D195="","?",IF(D195&lt;1796,"pre-1796",IF(D195&lt;1912,"1796-1911",IF(D195&lt;1949,"1912-1948","1949+"))))</f>
        <v>1912-1948</v>
      </c>
      <c r="G195" s="8" t="str">
        <f aca="false">IF(D195="","?",IF(D195&lt;1912,"Qing",IF(D195&lt;1949,"Republic","PRC")))</f>
        <v>Republic</v>
      </c>
      <c r="H195" s="8" t="s">
        <v>1516</v>
      </c>
      <c r="I195" s="9" t="s">
        <v>128</v>
      </c>
      <c r="J195" s="9" t="s">
        <v>1517</v>
      </c>
      <c r="K195" s="8" t="s">
        <v>84</v>
      </c>
      <c r="L195" s="9" t="s">
        <v>1545</v>
      </c>
      <c r="M195" s="8"/>
      <c r="N195" s="8"/>
      <c r="O195" s="8" t="s">
        <v>1571</v>
      </c>
      <c r="P195" s="8" t="s">
        <v>114</v>
      </c>
      <c r="Q195" s="8"/>
      <c r="R195" s="8"/>
      <c r="S195" s="8"/>
      <c r="T195" s="8"/>
      <c r="U195" s="8"/>
      <c r="V195" s="8"/>
      <c r="W195" s="9" t="s">
        <v>1556</v>
      </c>
      <c r="X195" s="8"/>
      <c r="Y195" s="9" t="s">
        <v>477</v>
      </c>
      <c r="Z195" s="8"/>
      <c r="AA195" s="8"/>
      <c r="AB195" s="8"/>
      <c r="AC195" s="8"/>
      <c r="AD195" s="8"/>
      <c r="AE195" s="9" t="s">
        <v>1572</v>
      </c>
      <c r="AF195" s="9" t="s">
        <v>1573</v>
      </c>
      <c r="AG195" s="8"/>
      <c r="AH195" s="8"/>
      <c r="AI195" s="8" t="n">
        <v>0</v>
      </c>
      <c r="AJ195" s="8" t="n">
        <v>0</v>
      </c>
      <c r="AK195" s="8" t="n">
        <v>0</v>
      </c>
      <c r="AL195" s="8" t="n">
        <v>0</v>
      </c>
      <c r="AM195" s="8" t="n">
        <v>0</v>
      </c>
      <c r="AN195" s="8" t="n">
        <v>0</v>
      </c>
      <c r="AO195" s="8" t="n">
        <v>0</v>
      </c>
      <c r="AP195" s="8" t="n">
        <v>0</v>
      </c>
      <c r="AQ195" s="8" t="n">
        <v>0</v>
      </c>
      <c r="AR195" s="8" t="n">
        <v>0</v>
      </c>
      <c r="AS195" s="8" t="n">
        <v>0</v>
      </c>
      <c r="AT195" s="8" t="n">
        <v>0</v>
      </c>
      <c r="AU195" s="8" t="n">
        <v>0</v>
      </c>
      <c r="AV195" s="8" t="n">
        <v>0</v>
      </c>
      <c r="AW195" s="8" t="n">
        <v>1</v>
      </c>
      <c r="AX195" s="8" t="n">
        <v>1</v>
      </c>
      <c r="AY195" s="8" t="n">
        <v>1</v>
      </c>
      <c r="AZ195" s="8" t="n">
        <v>0</v>
      </c>
      <c r="BA195" s="8" t="n">
        <v>0</v>
      </c>
      <c r="BB195" s="8" t="n">
        <v>0</v>
      </c>
      <c r="BC195" s="8" t="n">
        <v>274</v>
      </c>
      <c r="BD195" s="8" t="n">
        <v>1</v>
      </c>
      <c r="BE195" s="8" t="n">
        <v>0</v>
      </c>
      <c r="BF195" s="8" t="n">
        <v>0</v>
      </c>
      <c r="BG195" s="10" t="s">
        <v>1574</v>
      </c>
      <c r="BH195" s="9" t="s">
        <v>1575</v>
      </c>
    </row>
    <row r="196" customFormat="false" ht="15" hidden="false" customHeight="false" outlineLevel="0" collapsed="false">
      <c r="A196" s="8" t="s">
        <v>1576</v>
      </c>
      <c r="B196" s="8" t="s">
        <v>1577</v>
      </c>
      <c r="C196" s="8" t="n">
        <v>1</v>
      </c>
      <c r="D196" s="8" t="n">
        <v>1947</v>
      </c>
      <c r="E196" s="8" t="n">
        <v>1947</v>
      </c>
      <c r="F196" s="8" t="str">
        <f aca="false">IF(D196="","?",IF(D196&lt;1796,"pre-1796",IF(D196&lt;1912,"1796-1911",IF(D196&lt;1949,"1912-1948","1949+"))))</f>
        <v>1912-1948</v>
      </c>
      <c r="G196" s="8" t="str">
        <f aca="false">IF(D196="","?",IF(D196&lt;1912,"Qing",IF(D196&lt;1949,"Republic","PRC")))</f>
        <v>Republic</v>
      </c>
      <c r="H196" s="8" t="s">
        <v>1516</v>
      </c>
      <c r="I196" s="9" t="s">
        <v>128</v>
      </c>
      <c r="J196" s="9" t="s">
        <v>1517</v>
      </c>
      <c r="K196" s="8" t="s">
        <v>84</v>
      </c>
      <c r="L196" s="9" t="s">
        <v>1545</v>
      </c>
      <c r="M196" s="8"/>
      <c r="N196" s="8"/>
      <c r="O196" s="8" t="s">
        <v>1578</v>
      </c>
      <c r="P196" s="8" t="s">
        <v>114</v>
      </c>
      <c r="Q196" s="8"/>
      <c r="R196" s="9" t="s">
        <v>1520</v>
      </c>
      <c r="S196" s="8"/>
      <c r="T196" s="8"/>
      <c r="U196" s="8"/>
      <c r="V196" s="8"/>
      <c r="W196" s="9" t="s">
        <v>1579</v>
      </c>
      <c r="X196" s="8"/>
      <c r="Y196" s="9" t="s">
        <v>477</v>
      </c>
      <c r="Z196" s="8"/>
      <c r="AA196" s="8"/>
      <c r="AB196" s="8"/>
      <c r="AC196" s="8"/>
      <c r="AD196" s="8"/>
      <c r="AE196" s="9" t="s">
        <v>1580</v>
      </c>
      <c r="AF196" s="9" t="s">
        <v>1523</v>
      </c>
      <c r="AG196" s="9" t="s">
        <v>1545</v>
      </c>
      <c r="AH196" s="8"/>
      <c r="AI196" s="8" t="n">
        <v>0</v>
      </c>
      <c r="AJ196" s="8" t="n">
        <v>0</v>
      </c>
      <c r="AK196" s="8" t="n">
        <v>0</v>
      </c>
      <c r="AL196" s="8" t="n">
        <v>0</v>
      </c>
      <c r="AM196" s="8" t="n">
        <v>0</v>
      </c>
      <c r="AN196" s="8" t="n">
        <v>0</v>
      </c>
      <c r="AO196" s="8" t="n">
        <v>0</v>
      </c>
      <c r="AP196" s="8" t="n">
        <v>0</v>
      </c>
      <c r="AQ196" s="8" t="n">
        <v>0</v>
      </c>
      <c r="AR196" s="8" t="n">
        <v>0</v>
      </c>
      <c r="AS196" s="8" t="n">
        <v>0</v>
      </c>
      <c r="AT196" s="8" t="n">
        <v>0</v>
      </c>
      <c r="AU196" s="8" t="n">
        <v>0</v>
      </c>
      <c r="AV196" s="8" t="n">
        <v>0</v>
      </c>
      <c r="AW196" s="8" t="n">
        <v>1</v>
      </c>
      <c r="AX196" s="8" t="n">
        <v>1</v>
      </c>
      <c r="AY196" s="8" t="n">
        <v>1</v>
      </c>
      <c r="AZ196" s="8" t="n">
        <v>1</v>
      </c>
      <c r="BA196" s="8" t="n">
        <v>0</v>
      </c>
      <c r="BB196" s="8" t="n">
        <v>0</v>
      </c>
      <c r="BC196" s="8" t="n">
        <v>277</v>
      </c>
      <c r="BD196" s="8" t="n">
        <v>0</v>
      </c>
      <c r="BE196" s="8" t="n">
        <v>0</v>
      </c>
      <c r="BF196" s="8" t="n">
        <v>0</v>
      </c>
      <c r="BG196" s="10" t="s">
        <v>1581</v>
      </c>
      <c r="BH196" s="9" t="s">
        <v>1582</v>
      </c>
    </row>
    <row r="197" customFormat="false" ht="15" hidden="false" customHeight="false" outlineLevel="0" collapsed="false">
      <c r="A197" s="8" t="s">
        <v>1583</v>
      </c>
      <c r="B197" s="8" t="s">
        <v>1584</v>
      </c>
      <c r="C197" s="8" t="n">
        <v>1</v>
      </c>
      <c r="D197" s="8" t="n">
        <v>1947</v>
      </c>
      <c r="E197" s="8" t="n">
        <v>1947</v>
      </c>
      <c r="F197" s="8" t="str">
        <f aca="false">IF(D197="","?",IF(D197&lt;1796,"pre-1796",IF(D197&lt;1912,"1796-1911",IF(D197&lt;1949,"1912-1948","1949+"))))</f>
        <v>1912-1948</v>
      </c>
      <c r="G197" s="8" t="str">
        <f aca="false">IF(D197="","?",IF(D197&lt;1912,"Qing",IF(D197&lt;1949,"Republic","PRC")))</f>
        <v>Republic</v>
      </c>
      <c r="H197" s="8" t="s">
        <v>1516</v>
      </c>
      <c r="I197" s="9" t="s">
        <v>128</v>
      </c>
      <c r="J197" s="9" t="s">
        <v>1517</v>
      </c>
      <c r="K197" s="8" t="s">
        <v>84</v>
      </c>
      <c r="L197" s="9" t="s">
        <v>1545</v>
      </c>
      <c r="M197" s="8"/>
      <c r="N197" s="8"/>
      <c r="O197" s="8" t="s">
        <v>1585</v>
      </c>
      <c r="P197" s="8" t="s">
        <v>114</v>
      </c>
      <c r="Q197" s="8"/>
      <c r="R197" s="9" t="s">
        <v>1520</v>
      </c>
      <c r="S197" s="8"/>
      <c r="T197" s="8"/>
      <c r="U197" s="8"/>
      <c r="V197" s="8"/>
      <c r="W197" s="9" t="s">
        <v>1586</v>
      </c>
      <c r="X197" s="8"/>
      <c r="Y197" s="8"/>
      <c r="Z197" s="8"/>
      <c r="AA197" s="8"/>
      <c r="AB197" s="8"/>
      <c r="AC197" s="8"/>
      <c r="AD197" s="8"/>
      <c r="AE197" s="9" t="s">
        <v>1587</v>
      </c>
      <c r="AF197" s="9" t="s">
        <v>1523</v>
      </c>
      <c r="AG197" s="9" t="s">
        <v>1545</v>
      </c>
      <c r="AH197" s="8"/>
      <c r="AI197" s="8" t="n">
        <v>0</v>
      </c>
      <c r="AJ197" s="8" t="n">
        <v>0</v>
      </c>
      <c r="AK197" s="8" t="n">
        <v>0</v>
      </c>
      <c r="AL197" s="8" t="n">
        <v>0</v>
      </c>
      <c r="AM197" s="8" t="n">
        <v>0</v>
      </c>
      <c r="AN197" s="8" t="n">
        <v>0</v>
      </c>
      <c r="AO197" s="8" t="n">
        <v>0</v>
      </c>
      <c r="AP197" s="8" t="n">
        <v>0</v>
      </c>
      <c r="AQ197" s="8" t="n">
        <v>0</v>
      </c>
      <c r="AR197" s="8" t="n">
        <v>0</v>
      </c>
      <c r="AS197" s="8" t="n">
        <v>0</v>
      </c>
      <c r="AT197" s="8" t="n">
        <v>0</v>
      </c>
      <c r="AU197" s="8" t="n">
        <v>0</v>
      </c>
      <c r="AV197" s="8" t="n">
        <v>0</v>
      </c>
      <c r="AW197" s="8" t="n">
        <v>1</v>
      </c>
      <c r="AX197" s="8" t="n">
        <v>1</v>
      </c>
      <c r="AY197" s="8" t="n">
        <v>1</v>
      </c>
      <c r="AZ197" s="8" t="n">
        <v>1</v>
      </c>
      <c r="BA197" s="8" t="n">
        <v>0</v>
      </c>
      <c r="BB197" s="8" t="n">
        <v>0</v>
      </c>
      <c r="BC197" s="8" t="n">
        <v>285</v>
      </c>
      <c r="BD197" s="8" t="n">
        <v>0</v>
      </c>
      <c r="BE197" s="8" t="n">
        <v>0</v>
      </c>
      <c r="BF197" s="8" t="n">
        <v>0</v>
      </c>
      <c r="BG197" s="10" t="s">
        <v>1588</v>
      </c>
      <c r="BH197" s="9" t="s">
        <v>1589</v>
      </c>
    </row>
    <row r="198" customFormat="false" ht="15" hidden="false" customHeight="false" outlineLevel="0" collapsed="false">
      <c r="A198" s="8" t="s">
        <v>1590</v>
      </c>
      <c r="B198" s="8" t="s">
        <v>1591</v>
      </c>
      <c r="C198" s="8" t="n">
        <v>1</v>
      </c>
      <c r="D198" s="8" t="n">
        <v>1947</v>
      </c>
      <c r="E198" s="8" t="n">
        <v>1947</v>
      </c>
      <c r="F198" s="8" t="str">
        <f aca="false">IF(D198="","?",IF(D198&lt;1796,"pre-1796",IF(D198&lt;1912,"1796-1911",IF(D198&lt;1949,"1912-1948","1949+"))))</f>
        <v>1912-1948</v>
      </c>
      <c r="G198" s="8" t="str">
        <f aca="false">IF(D198="","?",IF(D198&lt;1912,"Qing",IF(D198&lt;1949,"Republic","PRC")))</f>
        <v>Republic</v>
      </c>
      <c r="H198" s="8" t="s">
        <v>1516</v>
      </c>
      <c r="I198" s="9" t="s">
        <v>128</v>
      </c>
      <c r="J198" s="9" t="s">
        <v>1517</v>
      </c>
      <c r="K198" s="8" t="s">
        <v>84</v>
      </c>
      <c r="L198" s="9" t="s">
        <v>1545</v>
      </c>
      <c r="M198" s="8"/>
      <c r="N198" s="8"/>
      <c r="O198" s="8" t="s">
        <v>1592</v>
      </c>
      <c r="P198" s="8" t="s">
        <v>114</v>
      </c>
      <c r="Q198" s="8"/>
      <c r="R198" s="9" t="s">
        <v>1520</v>
      </c>
      <c r="S198" s="8"/>
      <c r="T198" s="8"/>
      <c r="U198" s="8"/>
      <c r="V198" s="8"/>
      <c r="W198" s="9" t="s">
        <v>1593</v>
      </c>
      <c r="X198" s="8"/>
      <c r="Y198" s="8"/>
      <c r="Z198" s="8"/>
      <c r="AA198" s="8"/>
      <c r="AB198" s="8"/>
      <c r="AC198" s="8"/>
      <c r="AD198" s="8"/>
      <c r="AE198" s="9" t="s">
        <v>1594</v>
      </c>
      <c r="AF198" s="9" t="s">
        <v>1558</v>
      </c>
      <c r="AG198" s="9" t="s">
        <v>1545</v>
      </c>
      <c r="AH198" s="8"/>
      <c r="AI198" s="8" t="n">
        <v>0</v>
      </c>
      <c r="AJ198" s="8" t="n">
        <v>0</v>
      </c>
      <c r="AK198" s="8" t="n">
        <v>0</v>
      </c>
      <c r="AL198" s="8" t="n">
        <v>0</v>
      </c>
      <c r="AM198" s="8" t="n">
        <v>0</v>
      </c>
      <c r="AN198" s="8" t="n">
        <v>0</v>
      </c>
      <c r="AO198" s="8" t="n">
        <v>0</v>
      </c>
      <c r="AP198" s="8" t="n">
        <v>0</v>
      </c>
      <c r="AQ198" s="8" t="n">
        <v>0</v>
      </c>
      <c r="AR198" s="8" t="n">
        <v>0</v>
      </c>
      <c r="AS198" s="8" t="n">
        <v>0</v>
      </c>
      <c r="AT198" s="8" t="n">
        <v>0</v>
      </c>
      <c r="AU198" s="8" t="n">
        <v>0</v>
      </c>
      <c r="AV198" s="8" t="n">
        <v>0</v>
      </c>
      <c r="AW198" s="8" t="n">
        <v>1</v>
      </c>
      <c r="AX198" s="8" t="n">
        <v>1</v>
      </c>
      <c r="AY198" s="8" t="n">
        <v>1</v>
      </c>
      <c r="AZ198" s="8" t="n">
        <v>1</v>
      </c>
      <c r="BA198" s="8" t="n">
        <v>0</v>
      </c>
      <c r="BB198" s="8" t="n">
        <v>0</v>
      </c>
      <c r="BC198" s="8" t="n">
        <v>292</v>
      </c>
      <c r="BD198" s="8" t="n">
        <v>0</v>
      </c>
      <c r="BE198" s="8" t="n">
        <v>0</v>
      </c>
      <c r="BF198" s="8" t="n">
        <v>0</v>
      </c>
      <c r="BG198" s="10" t="s">
        <v>1595</v>
      </c>
      <c r="BH198" s="9" t="s">
        <v>1596</v>
      </c>
    </row>
    <row r="199" customFormat="false" ht="15" hidden="false" customHeight="false" outlineLevel="0" collapsed="false">
      <c r="A199" s="8" t="s">
        <v>1597</v>
      </c>
      <c r="B199" s="8" t="s">
        <v>1598</v>
      </c>
      <c r="C199" s="8" t="n">
        <v>1</v>
      </c>
      <c r="D199" s="8" t="n">
        <v>1947</v>
      </c>
      <c r="E199" s="8" t="n">
        <v>1947</v>
      </c>
      <c r="F199" s="8" t="str">
        <f aca="false">IF(D199="","?",IF(D199&lt;1796,"pre-1796",IF(D199&lt;1912,"1796-1911",IF(D199&lt;1949,"1912-1948","1949+"))))</f>
        <v>1912-1948</v>
      </c>
      <c r="G199" s="8" t="str">
        <f aca="false">IF(D199="","?",IF(D199&lt;1912,"Qing",IF(D199&lt;1949,"Republic","PRC")))</f>
        <v>Republic</v>
      </c>
      <c r="H199" s="8" t="s">
        <v>1516</v>
      </c>
      <c r="I199" s="9" t="s">
        <v>128</v>
      </c>
      <c r="J199" s="9" t="s">
        <v>1517</v>
      </c>
      <c r="K199" s="8" t="s">
        <v>84</v>
      </c>
      <c r="L199" s="9" t="s">
        <v>1545</v>
      </c>
      <c r="M199" s="8"/>
      <c r="N199" s="8"/>
      <c r="O199" s="8" t="s">
        <v>1599</v>
      </c>
      <c r="P199" s="8" t="s">
        <v>114</v>
      </c>
      <c r="Q199" s="8"/>
      <c r="R199" s="9" t="s">
        <v>1520</v>
      </c>
      <c r="S199" s="8"/>
      <c r="T199" s="8"/>
      <c r="U199" s="8"/>
      <c r="V199" s="8"/>
      <c r="W199" s="9" t="s">
        <v>1600</v>
      </c>
      <c r="X199" s="8"/>
      <c r="Y199" s="9" t="s">
        <v>477</v>
      </c>
      <c r="Z199" s="8"/>
      <c r="AA199" s="8"/>
      <c r="AB199" s="8"/>
      <c r="AC199" s="8"/>
      <c r="AD199" s="8"/>
      <c r="AE199" s="8"/>
      <c r="AF199" s="9" t="s">
        <v>1558</v>
      </c>
      <c r="AG199" s="9" t="s">
        <v>1545</v>
      </c>
      <c r="AH199" s="8"/>
      <c r="AI199" s="8" t="n">
        <v>0</v>
      </c>
      <c r="AJ199" s="8" t="n">
        <v>0</v>
      </c>
      <c r="AK199" s="8" t="n">
        <v>0</v>
      </c>
      <c r="AL199" s="8" t="n">
        <v>0</v>
      </c>
      <c r="AM199" s="8" t="n">
        <v>0</v>
      </c>
      <c r="AN199" s="8" t="n">
        <v>0</v>
      </c>
      <c r="AO199" s="8" t="n">
        <v>0</v>
      </c>
      <c r="AP199" s="8" t="n">
        <v>0</v>
      </c>
      <c r="AQ199" s="8" t="n">
        <v>0</v>
      </c>
      <c r="AR199" s="8" t="n">
        <v>0</v>
      </c>
      <c r="AS199" s="8" t="n">
        <v>0</v>
      </c>
      <c r="AT199" s="8" t="n">
        <v>0</v>
      </c>
      <c r="AU199" s="8" t="n">
        <v>0</v>
      </c>
      <c r="AV199" s="8" t="n">
        <v>0</v>
      </c>
      <c r="AW199" s="8" t="n">
        <v>1</v>
      </c>
      <c r="AX199" s="8" t="n">
        <v>1</v>
      </c>
      <c r="AY199" s="8" t="n">
        <v>1</v>
      </c>
      <c r="AZ199" s="8" t="n">
        <v>1</v>
      </c>
      <c r="BA199" s="8" t="n">
        <v>0</v>
      </c>
      <c r="BB199" s="8" t="n">
        <v>0</v>
      </c>
      <c r="BC199" s="8" t="n">
        <v>270</v>
      </c>
      <c r="BD199" s="8" t="n">
        <v>0</v>
      </c>
      <c r="BE199" s="8" t="n">
        <v>0</v>
      </c>
      <c r="BF199" s="8" t="n">
        <v>0</v>
      </c>
      <c r="BG199" s="10" t="s">
        <v>1601</v>
      </c>
      <c r="BH199" s="9" t="s">
        <v>1602</v>
      </c>
    </row>
    <row r="200" customFormat="false" ht="15" hidden="false" customHeight="false" outlineLevel="0" collapsed="false">
      <c r="A200" s="8" t="s">
        <v>1603</v>
      </c>
      <c r="B200" s="8" t="s">
        <v>1604</v>
      </c>
      <c r="C200" s="8" t="n">
        <v>1</v>
      </c>
      <c r="D200" s="8" t="n">
        <v>1947</v>
      </c>
      <c r="E200" s="8" t="n">
        <v>1947</v>
      </c>
      <c r="F200" s="8" t="str">
        <f aca="false">IF(D200="","?",IF(D200&lt;1796,"pre-1796",IF(D200&lt;1912,"1796-1911",IF(D200&lt;1949,"1912-1948","1949+"))))</f>
        <v>1912-1948</v>
      </c>
      <c r="G200" s="8" t="str">
        <f aca="false">IF(D200="","?",IF(D200&lt;1912,"Qing",IF(D200&lt;1949,"Republic","PRC")))</f>
        <v>Republic</v>
      </c>
      <c r="H200" s="8" t="s">
        <v>1516</v>
      </c>
      <c r="I200" s="9" t="s">
        <v>128</v>
      </c>
      <c r="J200" s="9" t="s">
        <v>1517</v>
      </c>
      <c r="K200" s="8" t="s">
        <v>84</v>
      </c>
      <c r="L200" s="9" t="s">
        <v>1545</v>
      </c>
      <c r="M200" s="8"/>
      <c r="N200" s="8"/>
      <c r="O200" s="8" t="s">
        <v>1605</v>
      </c>
      <c r="P200" s="8" t="s">
        <v>114</v>
      </c>
      <c r="Q200" s="8"/>
      <c r="R200" s="9" t="s">
        <v>1547</v>
      </c>
      <c r="S200" s="8"/>
      <c r="T200" s="8"/>
      <c r="U200" s="8"/>
      <c r="V200" s="8"/>
      <c r="W200" s="9" t="s">
        <v>1606</v>
      </c>
      <c r="X200" s="8"/>
      <c r="Y200" s="8"/>
      <c r="Z200" s="8"/>
      <c r="AA200" s="8"/>
      <c r="AB200" s="8"/>
      <c r="AC200" s="8"/>
      <c r="AD200" s="8"/>
      <c r="AE200" s="8"/>
      <c r="AF200" s="9" t="s">
        <v>1607</v>
      </c>
      <c r="AG200" s="9" t="s">
        <v>1545</v>
      </c>
      <c r="AH200" s="9" t="s">
        <v>1608</v>
      </c>
      <c r="AI200" s="8" t="n">
        <v>0</v>
      </c>
      <c r="AJ200" s="8" t="n">
        <v>0</v>
      </c>
      <c r="AK200" s="8" t="n">
        <v>0</v>
      </c>
      <c r="AL200" s="8" t="n">
        <v>0</v>
      </c>
      <c r="AM200" s="8" t="n">
        <v>0</v>
      </c>
      <c r="AN200" s="8" t="n">
        <v>0</v>
      </c>
      <c r="AO200" s="8" t="n">
        <v>0</v>
      </c>
      <c r="AP200" s="8" t="n">
        <v>0</v>
      </c>
      <c r="AQ200" s="8" t="n">
        <v>0</v>
      </c>
      <c r="AR200" s="8" t="n">
        <v>0</v>
      </c>
      <c r="AS200" s="8" t="n">
        <v>0</v>
      </c>
      <c r="AT200" s="8" t="n">
        <v>0</v>
      </c>
      <c r="AU200" s="8" t="n">
        <v>0</v>
      </c>
      <c r="AV200" s="8" t="n">
        <v>0</v>
      </c>
      <c r="AW200" s="8" t="n">
        <v>1</v>
      </c>
      <c r="AX200" s="8" t="n">
        <v>1</v>
      </c>
      <c r="AY200" s="8" t="n">
        <v>1</v>
      </c>
      <c r="AZ200" s="8" t="n">
        <v>1</v>
      </c>
      <c r="BA200" s="8" t="n">
        <v>0</v>
      </c>
      <c r="BB200" s="8" t="n">
        <v>0</v>
      </c>
      <c r="BC200" s="8" t="n">
        <v>281</v>
      </c>
      <c r="BD200" s="8" t="n">
        <v>0</v>
      </c>
      <c r="BE200" s="8" t="n">
        <v>0</v>
      </c>
      <c r="BF200" s="8" t="n">
        <v>0</v>
      </c>
      <c r="BG200" s="10" t="s">
        <v>1609</v>
      </c>
      <c r="BH200" s="9" t="s">
        <v>1610</v>
      </c>
    </row>
    <row r="201" customFormat="false" ht="15" hidden="false" customHeight="false" outlineLevel="0" collapsed="false">
      <c r="A201" s="8" t="s">
        <v>1611</v>
      </c>
      <c r="B201" s="8" t="s">
        <v>1612</v>
      </c>
      <c r="C201" s="8" t="n">
        <v>1</v>
      </c>
      <c r="D201" s="8" t="n">
        <v>1840</v>
      </c>
      <c r="E201" s="8" t="n">
        <v>1840</v>
      </c>
      <c r="F201" s="8" t="str">
        <f aca="false">IF(D201="","?",IF(D201&lt;1796,"pre-1796",IF(D201&lt;1912,"1796-1911",IF(D201&lt;1949,"1912-1948","1949+"))))</f>
        <v>1796-1911</v>
      </c>
      <c r="G201" s="8" t="str">
        <f aca="false">IF(D201="","?",IF(D201&lt;1912,"Qing",IF(D201&lt;1949,"Republic","PRC")))</f>
        <v>Qing</v>
      </c>
      <c r="H201" s="8" t="s">
        <v>1613</v>
      </c>
      <c r="I201" s="8"/>
      <c r="J201" s="8"/>
      <c r="K201" s="8" t="s">
        <v>130</v>
      </c>
      <c r="L201" s="9" t="s">
        <v>1614</v>
      </c>
      <c r="M201" s="8"/>
      <c r="N201" s="8"/>
      <c r="O201" s="8" t="s">
        <v>1615</v>
      </c>
      <c r="P201" s="8" t="s">
        <v>87</v>
      </c>
      <c r="Q201" s="9" t="s">
        <v>1616</v>
      </c>
      <c r="R201" s="8"/>
      <c r="S201" s="8"/>
      <c r="T201" s="8"/>
      <c r="U201" s="8"/>
      <c r="V201" s="8"/>
      <c r="W201" s="8"/>
      <c r="X201" s="9" t="s">
        <v>1617</v>
      </c>
      <c r="Y201" s="9" t="s">
        <v>1618</v>
      </c>
      <c r="Z201" s="8"/>
      <c r="AA201" s="9" t="s">
        <v>1619</v>
      </c>
      <c r="AB201" s="9" t="s">
        <v>1620</v>
      </c>
      <c r="AC201" s="9" t="s">
        <v>1621</v>
      </c>
      <c r="AD201" s="8"/>
      <c r="AE201" s="8"/>
      <c r="AF201" s="8"/>
      <c r="AG201" s="8"/>
      <c r="AH201" s="8"/>
      <c r="AI201" s="8" t="n">
        <v>0</v>
      </c>
      <c r="AJ201" s="8" t="n">
        <v>0</v>
      </c>
      <c r="AK201" s="8" t="n">
        <v>0</v>
      </c>
      <c r="AL201" s="8" t="n">
        <v>0</v>
      </c>
      <c r="AM201" s="8" t="n">
        <v>0</v>
      </c>
      <c r="AN201" s="8" t="n">
        <v>0</v>
      </c>
      <c r="AO201" s="8" t="n">
        <v>0</v>
      </c>
      <c r="AP201" s="8" t="n">
        <v>0</v>
      </c>
      <c r="AQ201" s="8" t="n">
        <v>1</v>
      </c>
      <c r="AR201" s="8" t="n">
        <v>0</v>
      </c>
      <c r="AS201" s="8" t="n">
        <v>1</v>
      </c>
      <c r="AT201" s="8" t="n">
        <v>0</v>
      </c>
      <c r="AU201" s="8" t="n">
        <v>0</v>
      </c>
      <c r="AV201" s="8" t="n">
        <v>1</v>
      </c>
      <c r="AW201" s="8" t="n">
        <v>0</v>
      </c>
      <c r="AX201" s="8" t="n">
        <v>0</v>
      </c>
      <c r="AY201" s="8" t="n">
        <v>0</v>
      </c>
      <c r="AZ201" s="8" t="n">
        <v>0</v>
      </c>
      <c r="BA201" s="8" t="n">
        <v>0</v>
      </c>
      <c r="BB201" s="8" t="n">
        <v>0</v>
      </c>
      <c r="BC201" s="8" t="n">
        <v>541</v>
      </c>
      <c r="BD201" s="8" t="n">
        <v>0</v>
      </c>
      <c r="BE201" s="8" t="n">
        <v>0</v>
      </c>
      <c r="BF201" s="8" t="n">
        <v>0</v>
      </c>
      <c r="BG201" s="10" t="s">
        <v>1622</v>
      </c>
      <c r="BH201" s="9" t="s">
        <v>1623</v>
      </c>
    </row>
    <row r="202" customFormat="false" ht="15" hidden="false" customHeight="false" outlineLevel="0" collapsed="false">
      <c r="A202" s="8" t="s">
        <v>1624</v>
      </c>
      <c r="B202" s="8" t="s">
        <v>1625</v>
      </c>
      <c r="C202" s="8" t="n">
        <v>1</v>
      </c>
      <c r="D202" s="8" t="n">
        <v>1866</v>
      </c>
      <c r="E202" s="8" t="n">
        <v>1866</v>
      </c>
      <c r="F202" s="8" t="str">
        <f aca="false">IF(D202="","?",IF(D202&lt;1796,"pre-1796",IF(D202&lt;1912,"1796-1911",IF(D202&lt;1949,"1912-1948","1949+"))))</f>
        <v>1796-1911</v>
      </c>
      <c r="G202" s="8" t="str">
        <f aca="false">IF(D202="","?",IF(D202&lt;1912,"Qing",IF(D202&lt;1949,"Republic","PRC")))</f>
        <v>Qing</v>
      </c>
      <c r="H202" s="8" t="s">
        <v>127</v>
      </c>
      <c r="I202" s="9" t="s">
        <v>128</v>
      </c>
      <c r="J202" s="9" t="s">
        <v>643</v>
      </c>
      <c r="K202" s="8" t="s">
        <v>84</v>
      </c>
      <c r="L202" s="8"/>
      <c r="M202" s="9" t="s">
        <v>1626</v>
      </c>
      <c r="N202" s="8"/>
      <c r="O202" s="8" t="s">
        <v>1627</v>
      </c>
      <c r="P202" s="8" t="s">
        <v>133</v>
      </c>
      <c r="Q202" s="9" t="s">
        <v>134</v>
      </c>
      <c r="R202" s="9" t="s">
        <v>1628</v>
      </c>
      <c r="S202" s="9" t="s">
        <v>1629</v>
      </c>
      <c r="T202" s="9" t="s">
        <v>609</v>
      </c>
      <c r="U202" s="9" t="s">
        <v>1630</v>
      </c>
      <c r="V202" s="8"/>
      <c r="W202" s="9" t="s">
        <v>1631</v>
      </c>
      <c r="X202" s="9" t="s">
        <v>1632</v>
      </c>
      <c r="Y202" s="9" t="s">
        <v>500</v>
      </c>
      <c r="Z202" s="9" t="s">
        <v>1633</v>
      </c>
      <c r="AA202" s="9" t="s">
        <v>1634</v>
      </c>
      <c r="AB202" s="9" t="s">
        <v>1635</v>
      </c>
      <c r="AC202" s="8"/>
      <c r="AD202" s="8"/>
      <c r="AE202" s="8"/>
      <c r="AF202" s="8"/>
      <c r="AG202" s="8"/>
      <c r="AH202" s="8"/>
      <c r="AI202" s="8" t="n">
        <v>1</v>
      </c>
      <c r="AJ202" s="8" t="n">
        <v>1</v>
      </c>
      <c r="AK202" s="8" t="n">
        <v>0</v>
      </c>
      <c r="AL202" s="8" t="n">
        <v>1</v>
      </c>
      <c r="AM202" s="8" t="n">
        <v>1</v>
      </c>
      <c r="AN202" s="8" t="n">
        <v>1</v>
      </c>
      <c r="AO202" s="8" t="n">
        <v>1</v>
      </c>
      <c r="AP202" s="8" t="n">
        <v>0</v>
      </c>
      <c r="AQ202" s="8" t="n">
        <v>1</v>
      </c>
      <c r="AR202" s="8" t="n">
        <v>0</v>
      </c>
      <c r="AS202" s="8" t="n">
        <v>1</v>
      </c>
      <c r="AT202" s="8" t="n">
        <v>0</v>
      </c>
      <c r="AU202" s="8" t="n">
        <v>0</v>
      </c>
      <c r="AV202" s="8" t="n">
        <v>1</v>
      </c>
      <c r="AW202" s="8" t="n">
        <v>0</v>
      </c>
      <c r="AX202" s="8" t="n">
        <v>0</v>
      </c>
      <c r="AY202" s="8" t="n">
        <v>0</v>
      </c>
      <c r="AZ202" s="8" t="n">
        <v>0</v>
      </c>
      <c r="BA202" s="8" t="n">
        <v>0</v>
      </c>
      <c r="BB202" s="8" t="n">
        <v>0</v>
      </c>
      <c r="BC202" s="8" t="n">
        <v>440</v>
      </c>
      <c r="BD202" s="8" t="n">
        <v>1</v>
      </c>
      <c r="BE202" s="8" t="n">
        <v>0</v>
      </c>
      <c r="BF202" s="8" t="n">
        <v>0</v>
      </c>
      <c r="BG202" s="10" t="s">
        <v>1636</v>
      </c>
      <c r="BH202" s="9" t="s">
        <v>1637</v>
      </c>
    </row>
    <row r="203" customFormat="false" ht="15" hidden="false" customHeight="false" outlineLevel="0" collapsed="false">
      <c r="A203" s="8" t="s">
        <v>1638</v>
      </c>
      <c r="B203" s="8" t="s">
        <v>1639</v>
      </c>
      <c r="C203" s="8" t="n">
        <v>1</v>
      </c>
      <c r="D203" s="8" t="n">
        <v>1886</v>
      </c>
      <c r="E203" s="8" t="n">
        <v>1886</v>
      </c>
      <c r="F203" s="8" t="str">
        <f aca="false">IF(D203="","?",IF(D203&lt;1796,"pre-1796",IF(D203&lt;1912,"1796-1911",IF(D203&lt;1949,"1912-1948","1949+"))))</f>
        <v>1796-1911</v>
      </c>
      <c r="G203" s="8" t="str">
        <f aca="false">IF(D203="","?",IF(D203&lt;1912,"Qing",IF(D203&lt;1949,"Republic","PRC")))</f>
        <v>Qing</v>
      </c>
      <c r="H203" s="8" t="s">
        <v>81</v>
      </c>
      <c r="I203" s="9" t="s">
        <v>128</v>
      </c>
      <c r="J203" s="9" t="s">
        <v>643</v>
      </c>
      <c r="K203" s="8" t="s">
        <v>84</v>
      </c>
      <c r="L203" s="9" t="s">
        <v>660</v>
      </c>
      <c r="M203" s="8"/>
      <c r="N203" s="8"/>
      <c r="O203" s="8" t="s">
        <v>1640</v>
      </c>
      <c r="P203" s="8" t="s">
        <v>114</v>
      </c>
      <c r="Q203" s="8"/>
      <c r="R203" s="9" t="s">
        <v>1641</v>
      </c>
      <c r="S203" s="8"/>
      <c r="T203" s="8"/>
      <c r="U203" s="8"/>
      <c r="V203" s="8"/>
      <c r="W203" s="8"/>
      <c r="X203" s="8"/>
      <c r="Y203" s="8"/>
      <c r="Z203" s="8"/>
      <c r="AA203" s="8"/>
      <c r="AB203" s="8"/>
      <c r="AC203" s="8"/>
      <c r="AD203" s="8"/>
      <c r="AE203" s="9" t="s">
        <v>360</v>
      </c>
      <c r="AF203" s="8"/>
      <c r="AG203" s="8"/>
      <c r="AH203" s="8"/>
      <c r="AI203" s="8" t="n">
        <v>0</v>
      </c>
      <c r="AJ203" s="8" t="n">
        <v>0</v>
      </c>
      <c r="AK203" s="8" t="n">
        <v>0</v>
      </c>
      <c r="AL203" s="8" t="n">
        <v>0</v>
      </c>
      <c r="AM203" s="8" t="n">
        <v>0</v>
      </c>
      <c r="AN203" s="8" t="n">
        <v>0</v>
      </c>
      <c r="AO203" s="8" t="n">
        <v>0</v>
      </c>
      <c r="AP203" s="8" t="n">
        <v>0</v>
      </c>
      <c r="AQ203" s="8" t="n">
        <v>0</v>
      </c>
      <c r="AR203" s="8" t="n">
        <v>0</v>
      </c>
      <c r="AS203" s="8" t="n">
        <v>0</v>
      </c>
      <c r="AT203" s="8" t="n">
        <v>0</v>
      </c>
      <c r="AU203" s="8" t="n">
        <v>0</v>
      </c>
      <c r="AV203" s="8" t="n">
        <v>0</v>
      </c>
      <c r="AW203" s="8" t="n">
        <v>0</v>
      </c>
      <c r="AX203" s="8" t="n">
        <v>0</v>
      </c>
      <c r="AY203" s="8" t="n">
        <v>0</v>
      </c>
      <c r="AZ203" s="8" t="n">
        <v>0</v>
      </c>
      <c r="BA203" s="8" t="n">
        <v>0</v>
      </c>
      <c r="BB203" s="8" t="n">
        <v>0</v>
      </c>
      <c r="BC203" s="8" t="n">
        <v>184</v>
      </c>
      <c r="BD203" s="8" t="n">
        <v>2</v>
      </c>
      <c r="BE203" s="8" t="n">
        <v>3</v>
      </c>
      <c r="BF203" s="8" t="n">
        <v>0</v>
      </c>
      <c r="BG203" s="10" t="s">
        <v>1642</v>
      </c>
      <c r="BH203" s="9" t="s">
        <v>1643</v>
      </c>
    </row>
    <row r="204" customFormat="false" ht="15" hidden="false" customHeight="false" outlineLevel="0" collapsed="false">
      <c r="A204" s="8" t="s">
        <v>1644</v>
      </c>
      <c r="B204" s="8" t="s">
        <v>1645</v>
      </c>
      <c r="C204" s="8" t="n">
        <v>1</v>
      </c>
      <c r="D204" s="8" t="n">
        <v>1915</v>
      </c>
      <c r="E204" s="8" t="n">
        <v>1915</v>
      </c>
      <c r="F204" s="8" t="str">
        <f aca="false">IF(D204="","?",IF(D204&lt;1796,"pre-1796",IF(D204&lt;1912,"1796-1911",IF(D204&lt;1949,"1912-1948","1949+"))))</f>
        <v>1912-1948</v>
      </c>
      <c r="G204" s="8" t="str">
        <f aca="false">IF(D204="","?",IF(D204&lt;1912,"Qing",IF(D204&lt;1949,"Republic","PRC")))</f>
        <v>Republic</v>
      </c>
      <c r="H204" s="8" t="s">
        <v>964</v>
      </c>
      <c r="I204" s="9" t="s">
        <v>128</v>
      </c>
      <c r="J204" s="9" t="s">
        <v>223</v>
      </c>
      <c r="K204" s="8" t="s">
        <v>84</v>
      </c>
      <c r="L204" s="8"/>
      <c r="M204" s="9" t="s">
        <v>1646</v>
      </c>
      <c r="N204" s="9" t="s">
        <v>1647</v>
      </c>
      <c r="O204" s="8" t="s">
        <v>1648</v>
      </c>
      <c r="P204" s="8" t="s">
        <v>114</v>
      </c>
      <c r="Q204" s="8"/>
      <c r="R204" s="9" t="s">
        <v>1649</v>
      </c>
      <c r="S204" s="8"/>
      <c r="T204" s="8"/>
      <c r="U204" s="8"/>
      <c r="V204" s="8"/>
      <c r="W204" s="9" t="s">
        <v>1650</v>
      </c>
      <c r="X204" s="8"/>
      <c r="Y204" s="8"/>
      <c r="Z204" s="8"/>
      <c r="AA204" s="8"/>
      <c r="AB204" s="8"/>
      <c r="AC204" s="8"/>
      <c r="AD204" s="8"/>
      <c r="AE204" s="9" t="s">
        <v>1651</v>
      </c>
      <c r="AF204" s="9" t="s">
        <v>120</v>
      </c>
      <c r="AG204" s="9" t="s">
        <v>1647</v>
      </c>
      <c r="AH204" s="9" t="s">
        <v>1652</v>
      </c>
      <c r="AI204" s="8" t="n">
        <v>0</v>
      </c>
      <c r="AJ204" s="8" t="n">
        <v>0</v>
      </c>
      <c r="AK204" s="8" t="n">
        <v>0</v>
      </c>
      <c r="AL204" s="8" t="n">
        <v>0</v>
      </c>
      <c r="AM204" s="8" t="n">
        <v>0</v>
      </c>
      <c r="AN204" s="8" t="n">
        <v>0</v>
      </c>
      <c r="AO204" s="8" t="n">
        <v>0</v>
      </c>
      <c r="AP204" s="8" t="n">
        <v>0</v>
      </c>
      <c r="AQ204" s="8" t="n">
        <v>0</v>
      </c>
      <c r="AR204" s="8" t="n">
        <v>0</v>
      </c>
      <c r="AS204" s="8" t="n">
        <v>0</v>
      </c>
      <c r="AT204" s="8" t="n">
        <v>0</v>
      </c>
      <c r="AU204" s="8" t="n">
        <v>0</v>
      </c>
      <c r="AV204" s="8" t="n">
        <v>0</v>
      </c>
      <c r="AW204" s="8" t="n">
        <v>1</v>
      </c>
      <c r="AX204" s="8" t="n">
        <v>1</v>
      </c>
      <c r="AY204" s="8" t="n">
        <v>0</v>
      </c>
      <c r="AZ204" s="8" t="n">
        <v>1</v>
      </c>
      <c r="BA204" s="8" t="n">
        <v>0</v>
      </c>
      <c r="BB204" s="8" t="n">
        <v>0</v>
      </c>
      <c r="BC204" s="8" t="n">
        <v>353</v>
      </c>
      <c r="BD204" s="8" t="n">
        <v>0</v>
      </c>
      <c r="BE204" s="8" t="n">
        <v>0</v>
      </c>
      <c r="BF204" s="8" t="n">
        <v>0</v>
      </c>
      <c r="BG204" s="10" t="s">
        <v>1653</v>
      </c>
      <c r="BH204" s="9" t="s">
        <v>1654</v>
      </c>
    </row>
    <row r="205" customFormat="false" ht="15" hidden="false" customHeight="false" outlineLevel="0" collapsed="false">
      <c r="A205" s="8" t="s">
        <v>1655</v>
      </c>
      <c r="B205" s="8" t="s">
        <v>1656</v>
      </c>
      <c r="C205" s="8" t="n">
        <v>1</v>
      </c>
      <c r="D205" s="8" t="n">
        <v>1890</v>
      </c>
      <c r="E205" s="8" t="n">
        <v>1890</v>
      </c>
      <c r="F205" s="8" t="str">
        <f aca="false">IF(D205="","?",IF(D205&lt;1796,"pre-1796",IF(D205&lt;1912,"1796-1911",IF(D205&lt;1949,"1912-1948","1949+"))))</f>
        <v>1796-1911</v>
      </c>
      <c r="G205" s="8" t="str">
        <f aca="false">IF(D205="","?",IF(D205&lt;1912,"Qing",IF(D205&lt;1949,"Republic","PRC")))</f>
        <v>Qing</v>
      </c>
      <c r="H205" s="8" t="s">
        <v>191</v>
      </c>
      <c r="I205" s="8"/>
      <c r="J205" s="8"/>
      <c r="K205" s="8" t="s">
        <v>130</v>
      </c>
      <c r="L205" s="8"/>
      <c r="M205" s="9" t="s">
        <v>1657</v>
      </c>
      <c r="N205" s="9" t="s">
        <v>1658</v>
      </c>
      <c r="O205" s="8" t="s">
        <v>1659</v>
      </c>
      <c r="P205" s="8" t="s">
        <v>133</v>
      </c>
      <c r="Q205" s="9" t="s">
        <v>1660</v>
      </c>
      <c r="R205" s="9" t="s">
        <v>1661</v>
      </c>
      <c r="S205" s="9" t="s">
        <v>1662</v>
      </c>
      <c r="T205" s="8"/>
      <c r="U205" s="8"/>
      <c r="V205" s="9" t="s">
        <v>1471</v>
      </c>
      <c r="W205" s="9" t="s">
        <v>1663</v>
      </c>
      <c r="X205" s="9" t="s">
        <v>1664</v>
      </c>
      <c r="Y205" s="8"/>
      <c r="Z205" s="8"/>
      <c r="AA205" s="9" t="s">
        <v>1665</v>
      </c>
      <c r="AB205" s="8"/>
      <c r="AC205" s="8"/>
      <c r="AD205" s="8"/>
      <c r="AE205" s="8"/>
      <c r="AF205" s="8"/>
      <c r="AG205" s="8"/>
      <c r="AH205" s="8"/>
      <c r="AI205" s="8" t="n">
        <v>1</v>
      </c>
      <c r="AJ205" s="8" t="n">
        <v>1</v>
      </c>
      <c r="AK205" s="8" t="n">
        <v>1</v>
      </c>
      <c r="AL205" s="8" t="n">
        <v>1</v>
      </c>
      <c r="AM205" s="8" t="n">
        <v>0</v>
      </c>
      <c r="AN205" s="8" t="n">
        <v>0</v>
      </c>
      <c r="AO205" s="8" t="n">
        <v>0</v>
      </c>
      <c r="AP205" s="8" t="n">
        <v>0</v>
      </c>
      <c r="AQ205" s="8" t="n">
        <v>0</v>
      </c>
      <c r="AR205" s="8" t="n">
        <v>0</v>
      </c>
      <c r="AS205" s="8" t="n">
        <v>1</v>
      </c>
      <c r="AT205" s="8" t="n">
        <v>0</v>
      </c>
      <c r="AU205" s="8" t="n">
        <v>0</v>
      </c>
      <c r="AV205" s="8" t="n">
        <v>0</v>
      </c>
      <c r="AW205" s="8" t="n">
        <v>0</v>
      </c>
      <c r="AX205" s="8" t="n">
        <v>0</v>
      </c>
      <c r="AY205" s="8" t="n">
        <v>0</v>
      </c>
      <c r="AZ205" s="8" t="n">
        <v>0</v>
      </c>
      <c r="BA205" s="8" t="n">
        <v>0</v>
      </c>
      <c r="BB205" s="8" t="n">
        <v>0</v>
      </c>
      <c r="BC205" s="8" t="n">
        <v>223</v>
      </c>
      <c r="BD205" s="8" t="n">
        <v>0</v>
      </c>
      <c r="BE205" s="8" t="n">
        <v>0</v>
      </c>
      <c r="BF205" s="8" t="n">
        <v>0</v>
      </c>
      <c r="BG205" s="10" t="s">
        <v>1666</v>
      </c>
      <c r="BH205" s="9" t="s">
        <v>1667</v>
      </c>
    </row>
    <row r="206" customFormat="false" ht="15" hidden="false" customHeight="false" outlineLevel="0" collapsed="false">
      <c r="A206" s="8" t="s">
        <v>1668</v>
      </c>
      <c r="B206" s="8" t="s">
        <v>1669</v>
      </c>
      <c r="C206" s="8" t="n">
        <v>1</v>
      </c>
      <c r="D206" s="8" t="n">
        <v>1890</v>
      </c>
      <c r="E206" s="8" t="n">
        <v>1890</v>
      </c>
      <c r="F206" s="8" t="str">
        <f aca="false">IF(D206="","?",IF(D206&lt;1796,"pre-1796",IF(D206&lt;1912,"1796-1911",IF(D206&lt;1949,"1912-1948","1949+"))))</f>
        <v>1796-1911</v>
      </c>
      <c r="G206" s="8" t="str">
        <f aca="false">IF(D206="","?",IF(D206&lt;1912,"Qing",IF(D206&lt;1949,"Republic","PRC")))</f>
        <v>Qing</v>
      </c>
      <c r="H206" s="8" t="s">
        <v>191</v>
      </c>
      <c r="I206" s="8"/>
      <c r="J206" s="8"/>
      <c r="K206" s="8" t="s">
        <v>130</v>
      </c>
      <c r="L206" s="8"/>
      <c r="M206" s="9" t="s">
        <v>1670</v>
      </c>
      <c r="N206" s="9" t="s">
        <v>1658</v>
      </c>
      <c r="O206" s="8" t="s">
        <v>1671</v>
      </c>
      <c r="P206" s="8" t="s">
        <v>133</v>
      </c>
      <c r="Q206" s="9" t="s">
        <v>1672</v>
      </c>
      <c r="R206" s="9" t="s">
        <v>1389</v>
      </c>
      <c r="S206" s="9" t="s">
        <v>1670</v>
      </c>
      <c r="T206" s="8"/>
      <c r="U206" s="8"/>
      <c r="V206" s="9" t="s">
        <v>1471</v>
      </c>
      <c r="W206" s="9" t="s">
        <v>1663</v>
      </c>
      <c r="X206" s="8"/>
      <c r="Y206" s="9" t="s">
        <v>1673</v>
      </c>
      <c r="Z206" s="8"/>
      <c r="AA206" s="9" t="s">
        <v>1674</v>
      </c>
      <c r="AB206" s="8"/>
      <c r="AC206" s="8"/>
      <c r="AD206" s="8"/>
      <c r="AE206" s="8"/>
      <c r="AF206" s="8"/>
      <c r="AG206" s="8"/>
      <c r="AH206" s="8"/>
      <c r="AI206" s="8" t="n">
        <v>1</v>
      </c>
      <c r="AJ206" s="8" t="n">
        <v>1</v>
      </c>
      <c r="AK206" s="8" t="n">
        <v>1</v>
      </c>
      <c r="AL206" s="8" t="n">
        <v>1</v>
      </c>
      <c r="AM206" s="8" t="n">
        <v>1</v>
      </c>
      <c r="AN206" s="8" t="n">
        <v>0</v>
      </c>
      <c r="AO206" s="8" t="n">
        <v>0</v>
      </c>
      <c r="AP206" s="8" t="n">
        <v>0</v>
      </c>
      <c r="AQ206" s="8" t="n">
        <v>0</v>
      </c>
      <c r="AR206" s="8" t="n">
        <v>0</v>
      </c>
      <c r="AS206" s="8" t="n">
        <v>1</v>
      </c>
      <c r="AT206" s="8" t="n">
        <v>0</v>
      </c>
      <c r="AU206" s="8" t="n">
        <v>0</v>
      </c>
      <c r="AV206" s="8" t="n">
        <v>0</v>
      </c>
      <c r="AW206" s="8" t="n">
        <v>0</v>
      </c>
      <c r="AX206" s="8" t="n">
        <v>0</v>
      </c>
      <c r="AY206" s="8" t="n">
        <v>0</v>
      </c>
      <c r="AZ206" s="8" t="n">
        <v>0</v>
      </c>
      <c r="BA206" s="8" t="n">
        <v>0</v>
      </c>
      <c r="BB206" s="8" t="n">
        <v>0</v>
      </c>
      <c r="BC206" s="8" t="n">
        <v>328</v>
      </c>
      <c r="BD206" s="8" t="n">
        <v>0</v>
      </c>
      <c r="BE206" s="8" t="n">
        <v>0</v>
      </c>
      <c r="BF206" s="8" t="n">
        <v>0</v>
      </c>
      <c r="BG206" s="10" t="s">
        <v>1675</v>
      </c>
      <c r="BH206" s="9" t="s">
        <v>1676</v>
      </c>
    </row>
    <row r="207" customFormat="false" ht="15" hidden="false" customHeight="false" outlineLevel="0" collapsed="false">
      <c r="A207" s="8" t="s">
        <v>1677</v>
      </c>
      <c r="B207" s="8" t="s">
        <v>1678</v>
      </c>
      <c r="C207" s="8" t="n">
        <v>1</v>
      </c>
      <c r="D207" s="8" t="n">
        <v>1870</v>
      </c>
      <c r="E207" s="8" t="n">
        <v>1870</v>
      </c>
      <c r="F207" s="8" t="str">
        <f aca="false">IF(D207="","?",IF(D207&lt;1796,"pre-1796",IF(D207&lt;1912,"1796-1911",IF(D207&lt;1949,"1912-1948","1949+"))))</f>
        <v>1796-1911</v>
      </c>
      <c r="G207" s="8" t="str">
        <f aca="false">IF(D207="","?",IF(D207&lt;1912,"Qing",IF(D207&lt;1949,"Republic","PRC")))</f>
        <v>Qing</v>
      </c>
      <c r="H207" s="8" t="s">
        <v>1679</v>
      </c>
      <c r="I207" s="8"/>
      <c r="J207" s="8"/>
      <c r="K207" s="8" t="s">
        <v>130</v>
      </c>
      <c r="L207" s="8"/>
      <c r="M207" s="9" t="s">
        <v>1680</v>
      </c>
      <c r="N207" s="9" t="s">
        <v>1681</v>
      </c>
      <c r="O207" s="8" t="s">
        <v>1682</v>
      </c>
      <c r="P207" s="8" t="s">
        <v>133</v>
      </c>
      <c r="Q207" s="9" t="s">
        <v>1683</v>
      </c>
      <c r="R207" s="9" t="s">
        <v>1684</v>
      </c>
      <c r="S207" s="8"/>
      <c r="T207" s="8"/>
      <c r="U207" s="9" t="s">
        <v>1685</v>
      </c>
      <c r="V207" s="9" t="s">
        <v>1471</v>
      </c>
      <c r="W207" s="9" t="s">
        <v>1686</v>
      </c>
      <c r="X207" s="9" t="s">
        <v>1687</v>
      </c>
      <c r="Y207" s="9" t="s">
        <v>152</v>
      </c>
      <c r="Z207" s="9" t="s">
        <v>1688</v>
      </c>
      <c r="AA207" s="9" t="s">
        <v>1680</v>
      </c>
      <c r="AB207" s="8"/>
      <c r="AC207" s="9" t="s">
        <v>1689</v>
      </c>
      <c r="AD207" s="8"/>
      <c r="AE207" s="8"/>
      <c r="AF207" s="8"/>
      <c r="AG207" s="8"/>
      <c r="AH207" s="8"/>
      <c r="AI207" s="8" t="n">
        <v>1</v>
      </c>
      <c r="AJ207" s="8" t="n">
        <v>1</v>
      </c>
      <c r="AK207" s="8" t="n">
        <v>1</v>
      </c>
      <c r="AL207" s="8" t="n">
        <v>1</v>
      </c>
      <c r="AM207" s="8" t="n">
        <v>1</v>
      </c>
      <c r="AN207" s="8" t="n">
        <v>0</v>
      </c>
      <c r="AO207" s="8" t="n">
        <v>0</v>
      </c>
      <c r="AP207" s="8" t="n">
        <v>0</v>
      </c>
      <c r="AQ207" s="8" t="n">
        <v>0</v>
      </c>
      <c r="AR207" s="8" t="n">
        <v>0</v>
      </c>
      <c r="AS207" s="8" t="n">
        <v>1</v>
      </c>
      <c r="AT207" s="8" t="n">
        <v>1</v>
      </c>
      <c r="AU207" s="8" t="n">
        <v>1</v>
      </c>
      <c r="AV207" s="8" t="n">
        <v>0</v>
      </c>
      <c r="AW207" s="8" t="n">
        <v>0</v>
      </c>
      <c r="AX207" s="8" t="n">
        <v>0</v>
      </c>
      <c r="AY207" s="8" t="n">
        <v>0</v>
      </c>
      <c r="AZ207" s="8" t="n">
        <v>0</v>
      </c>
      <c r="BA207" s="8" t="n">
        <v>0</v>
      </c>
      <c r="BB207" s="8" t="n">
        <v>0</v>
      </c>
      <c r="BC207" s="8" t="n">
        <v>475</v>
      </c>
      <c r="BD207" s="8" t="n">
        <v>0</v>
      </c>
      <c r="BE207" s="8" t="n">
        <v>0</v>
      </c>
      <c r="BF207" s="8" t="n">
        <v>0</v>
      </c>
      <c r="BG207" s="10" t="s">
        <v>1690</v>
      </c>
      <c r="BH207" s="9" t="s">
        <v>1691</v>
      </c>
    </row>
    <row r="208" customFormat="false" ht="15" hidden="false" customHeight="false" outlineLevel="0" collapsed="false">
      <c r="A208" s="8" t="s">
        <v>1692</v>
      </c>
      <c r="B208" s="8" t="s">
        <v>1693</v>
      </c>
      <c r="C208" s="8" t="n">
        <v>1</v>
      </c>
      <c r="D208" s="8" t="n">
        <v>1927</v>
      </c>
      <c r="E208" s="8" t="n">
        <v>1927</v>
      </c>
      <c r="F208" s="8" t="str">
        <f aca="false">IF(D208="","?",IF(D208&lt;1796,"pre-1796",IF(D208&lt;1912,"1796-1911",IF(D208&lt;1949,"1912-1948","1949+"))))</f>
        <v>1912-1948</v>
      </c>
      <c r="G208" s="8" t="str">
        <f aca="false">IF(D208="","?",IF(D208&lt;1912,"Qing",IF(D208&lt;1949,"Republic","PRC")))</f>
        <v>Republic</v>
      </c>
      <c r="H208" s="8" t="s">
        <v>1694</v>
      </c>
      <c r="I208" s="8"/>
      <c r="J208" s="9" t="s">
        <v>426</v>
      </c>
      <c r="K208" s="8" t="s">
        <v>84</v>
      </c>
      <c r="L208" s="9" t="s">
        <v>1695</v>
      </c>
      <c r="M208" s="8"/>
      <c r="N208" s="8"/>
      <c r="O208" s="8" t="s">
        <v>1696</v>
      </c>
      <c r="P208" s="8" t="s">
        <v>114</v>
      </c>
      <c r="Q208" s="8"/>
      <c r="R208" s="9" t="s">
        <v>1697</v>
      </c>
      <c r="S208" s="8"/>
      <c r="T208" s="8"/>
      <c r="U208" s="8"/>
      <c r="V208" s="8"/>
      <c r="W208" s="8"/>
      <c r="X208" s="8"/>
      <c r="Y208" s="8"/>
      <c r="Z208" s="8"/>
      <c r="AA208" s="8"/>
      <c r="AB208" s="8"/>
      <c r="AC208" s="8"/>
      <c r="AD208" s="8"/>
      <c r="AE208" s="9" t="s">
        <v>1698</v>
      </c>
      <c r="AF208" s="8"/>
      <c r="AG208" s="9" t="s">
        <v>1699</v>
      </c>
      <c r="AH208" s="8"/>
      <c r="AI208" s="8" t="n">
        <v>0</v>
      </c>
      <c r="AJ208" s="8" t="n">
        <v>0</v>
      </c>
      <c r="AK208" s="8" t="n">
        <v>0</v>
      </c>
      <c r="AL208" s="8" t="n">
        <v>0</v>
      </c>
      <c r="AM208" s="8" t="n">
        <v>0</v>
      </c>
      <c r="AN208" s="8" t="n">
        <v>0</v>
      </c>
      <c r="AO208" s="8" t="n">
        <v>0</v>
      </c>
      <c r="AP208" s="8" t="n">
        <v>0</v>
      </c>
      <c r="AQ208" s="8" t="n">
        <v>0</v>
      </c>
      <c r="AR208" s="8" t="n">
        <v>0</v>
      </c>
      <c r="AS208" s="8" t="n">
        <v>0</v>
      </c>
      <c r="AT208" s="8" t="n">
        <v>0</v>
      </c>
      <c r="AU208" s="8" t="n">
        <v>0</v>
      </c>
      <c r="AV208" s="8" t="n">
        <v>0</v>
      </c>
      <c r="AW208" s="8" t="n">
        <v>1</v>
      </c>
      <c r="AX208" s="8" t="n">
        <v>0</v>
      </c>
      <c r="AY208" s="8" t="n">
        <v>1</v>
      </c>
      <c r="AZ208" s="8" t="n">
        <v>0</v>
      </c>
      <c r="BA208" s="8" t="n">
        <v>0</v>
      </c>
      <c r="BB208" s="8" t="n">
        <v>0</v>
      </c>
      <c r="BC208" s="8" t="n">
        <v>85</v>
      </c>
      <c r="BD208" s="8" t="n">
        <v>0</v>
      </c>
      <c r="BE208" s="8" t="n">
        <v>0</v>
      </c>
      <c r="BF208" s="8" t="n">
        <v>0</v>
      </c>
      <c r="BG208" s="10" t="s">
        <v>1700</v>
      </c>
      <c r="BH208" s="9" t="s">
        <v>1701</v>
      </c>
    </row>
    <row r="209" customFormat="false" ht="15" hidden="false" customHeight="false" outlineLevel="0" collapsed="false">
      <c r="A209" s="8" t="s">
        <v>1702</v>
      </c>
      <c r="B209" s="8" t="s">
        <v>1703</v>
      </c>
      <c r="C209" s="8" t="n">
        <v>1</v>
      </c>
      <c r="D209" s="8" t="n">
        <v>1947</v>
      </c>
      <c r="E209" s="8" t="n">
        <v>1947</v>
      </c>
      <c r="F209" s="8" t="str">
        <f aca="false">IF(D209="","?",IF(D209&lt;1796,"pre-1796",IF(D209&lt;1912,"1796-1911",IF(D209&lt;1949,"1912-1948","1949+"))))</f>
        <v>1912-1948</v>
      </c>
      <c r="G209" s="8" t="str">
        <f aca="false">IF(D209="","?",IF(D209&lt;1912,"Qing",IF(D209&lt;1949,"Republic","PRC")))</f>
        <v>Republic</v>
      </c>
      <c r="H209" s="8" t="s">
        <v>1516</v>
      </c>
      <c r="I209" s="9" t="s">
        <v>128</v>
      </c>
      <c r="J209" s="9" t="s">
        <v>1517</v>
      </c>
      <c r="K209" s="8" t="s">
        <v>84</v>
      </c>
      <c r="L209" s="9" t="s">
        <v>1704</v>
      </c>
      <c r="M209" s="8"/>
      <c r="N209" s="8"/>
      <c r="O209" s="8" t="s">
        <v>1705</v>
      </c>
      <c r="P209" s="8" t="s">
        <v>114</v>
      </c>
      <c r="Q209" s="8"/>
      <c r="R209" s="9" t="s">
        <v>1520</v>
      </c>
      <c r="S209" s="8"/>
      <c r="T209" s="8"/>
      <c r="U209" s="8"/>
      <c r="V209" s="8"/>
      <c r="W209" s="9" t="s">
        <v>1706</v>
      </c>
      <c r="X209" s="8"/>
      <c r="Y209" s="8"/>
      <c r="Z209" s="8"/>
      <c r="AA209" s="8"/>
      <c r="AB209" s="8"/>
      <c r="AC209" s="8"/>
      <c r="AD209" s="8"/>
      <c r="AE209" s="9" t="s">
        <v>1707</v>
      </c>
      <c r="AF209" s="9" t="s">
        <v>1708</v>
      </c>
      <c r="AG209" s="9" t="s">
        <v>1704</v>
      </c>
      <c r="AH209" s="9" t="s">
        <v>1709</v>
      </c>
      <c r="AI209" s="8" t="n">
        <v>0</v>
      </c>
      <c r="AJ209" s="8" t="n">
        <v>0</v>
      </c>
      <c r="AK209" s="8" t="n">
        <v>0</v>
      </c>
      <c r="AL209" s="8" t="n">
        <v>0</v>
      </c>
      <c r="AM209" s="8" t="n">
        <v>0</v>
      </c>
      <c r="AN209" s="8" t="n">
        <v>0</v>
      </c>
      <c r="AO209" s="8" t="n">
        <v>0</v>
      </c>
      <c r="AP209" s="8" t="n">
        <v>0</v>
      </c>
      <c r="AQ209" s="8" t="n">
        <v>0</v>
      </c>
      <c r="AR209" s="8" t="n">
        <v>0</v>
      </c>
      <c r="AS209" s="8" t="n">
        <v>0</v>
      </c>
      <c r="AT209" s="8" t="n">
        <v>0</v>
      </c>
      <c r="AU209" s="8" t="n">
        <v>0</v>
      </c>
      <c r="AV209" s="8" t="n">
        <v>0</v>
      </c>
      <c r="AW209" s="8" t="n">
        <v>1</v>
      </c>
      <c r="AX209" s="8" t="n">
        <v>1</v>
      </c>
      <c r="AY209" s="8" t="n">
        <v>1</v>
      </c>
      <c r="AZ209" s="8" t="n">
        <v>1</v>
      </c>
      <c r="BA209" s="8" t="n">
        <v>0</v>
      </c>
      <c r="BB209" s="8" t="n">
        <v>0</v>
      </c>
      <c r="BC209" s="8" t="n">
        <v>291</v>
      </c>
      <c r="BD209" s="8" t="n">
        <v>0</v>
      </c>
      <c r="BE209" s="8" t="n">
        <v>0</v>
      </c>
      <c r="BF209" s="8" t="n">
        <v>0</v>
      </c>
      <c r="BG209" s="10" t="s">
        <v>1710</v>
      </c>
      <c r="BH209" s="9" t="s">
        <v>1711</v>
      </c>
    </row>
    <row r="210" customFormat="false" ht="15" hidden="false" customHeight="false" outlineLevel="0" collapsed="false">
      <c r="A210" s="8" t="s">
        <v>1712</v>
      </c>
      <c r="B210" s="8" t="s">
        <v>1713</v>
      </c>
      <c r="C210" s="8" t="n">
        <v>1</v>
      </c>
      <c r="D210" s="8" t="n">
        <v>1928</v>
      </c>
      <c r="E210" s="8" t="n">
        <v>1928</v>
      </c>
      <c r="F210" s="8" t="str">
        <f aca="false">IF(D210="","?",IF(D210&lt;1796,"pre-1796",IF(D210&lt;1912,"1796-1911",IF(D210&lt;1949,"1912-1948","1949+"))))</f>
        <v>1912-1948</v>
      </c>
      <c r="G210" s="8" t="str">
        <f aca="false">IF(D210="","?",IF(D210&lt;1912,"Qing",IF(D210&lt;1949,"Republic","PRC")))</f>
        <v>Republic</v>
      </c>
      <c r="H210" s="8" t="s">
        <v>948</v>
      </c>
      <c r="I210" s="8"/>
      <c r="J210" s="9" t="s">
        <v>426</v>
      </c>
      <c r="K210" s="8" t="s">
        <v>84</v>
      </c>
      <c r="L210" s="8"/>
      <c r="M210" s="8"/>
      <c r="N210" s="9" t="s">
        <v>1714</v>
      </c>
      <c r="O210" s="8" t="s">
        <v>1715</v>
      </c>
      <c r="P210" s="8" t="s">
        <v>114</v>
      </c>
      <c r="Q210" s="9" t="s">
        <v>115</v>
      </c>
      <c r="R210" s="9" t="s">
        <v>1716</v>
      </c>
      <c r="S210" s="8"/>
      <c r="T210" s="8"/>
      <c r="U210" s="9" t="s">
        <v>1717</v>
      </c>
      <c r="V210" s="8"/>
      <c r="W210" s="9" t="s">
        <v>118</v>
      </c>
      <c r="X210" s="8"/>
      <c r="Y210" s="8"/>
      <c r="Z210" s="8"/>
      <c r="AA210" s="8"/>
      <c r="AB210" s="8"/>
      <c r="AC210" s="8"/>
      <c r="AD210" s="8"/>
      <c r="AE210" s="9" t="s">
        <v>953</v>
      </c>
      <c r="AF210" s="9" t="s">
        <v>120</v>
      </c>
      <c r="AG210" s="9" t="s">
        <v>1718</v>
      </c>
      <c r="AH210" s="9" t="s">
        <v>1719</v>
      </c>
      <c r="AI210" s="8" t="n">
        <v>0</v>
      </c>
      <c r="AJ210" s="8" t="n">
        <v>0</v>
      </c>
      <c r="AK210" s="8" t="n">
        <v>0</v>
      </c>
      <c r="AL210" s="8" t="n">
        <v>0</v>
      </c>
      <c r="AM210" s="8" t="n">
        <v>0</v>
      </c>
      <c r="AN210" s="8" t="n">
        <v>0</v>
      </c>
      <c r="AO210" s="8" t="n">
        <v>0</v>
      </c>
      <c r="AP210" s="8" t="n">
        <v>0</v>
      </c>
      <c r="AQ210" s="8" t="n">
        <v>0</v>
      </c>
      <c r="AR210" s="8" t="n">
        <v>0</v>
      </c>
      <c r="AS210" s="8" t="n">
        <v>1</v>
      </c>
      <c r="AT210" s="8" t="n">
        <v>1</v>
      </c>
      <c r="AU210" s="8" t="n">
        <v>0</v>
      </c>
      <c r="AV210" s="8" t="n">
        <v>0</v>
      </c>
      <c r="AW210" s="8" t="n">
        <v>1</v>
      </c>
      <c r="AX210" s="8" t="n">
        <v>1</v>
      </c>
      <c r="AY210" s="8" t="n">
        <v>1</v>
      </c>
      <c r="AZ210" s="8" t="n">
        <v>1</v>
      </c>
      <c r="BA210" s="8" t="n">
        <v>1</v>
      </c>
      <c r="BB210" s="8" t="n">
        <v>1</v>
      </c>
      <c r="BC210" s="8" t="n">
        <v>295</v>
      </c>
      <c r="BD210" s="8" t="n">
        <v>0</v>
      </c>
      <c r="BE210" s="8" t="n">
        <v>0</v>
      </c>
      <c r="BF210" s="8" t="n">
        <v>0</v>
      </c>
      <c r="BG210" s="10" t="s">
        <v>1720</v>
      </c>
      <c r="BH210" s="9" t="s">
        <v>1721</v>
      </c>
    </row>
    <row r="211" customFormat="false" ht="15" hidden="false" customHeight="false" outlineLevel="0" collapsed="false">
      <c r="A211" s="8" t="s">
        <v>1722</v>
      </c>
      <c r="B211" s="8" t="s">
        <v>1723</v>
      </c>
      <c r="C211" s="8" t="n">
        <v>1</v>
      </c>
      <c r="D211" s="8" t="n">
        <v>1932</v>
      </c>
      <c r="E211" s="8" t="n">
        <v>1932</v>
      </c>
      <c r="F211" s="8" t="str">
        <f aca="false">IF(D211="","?",IF(D211&lt;1796,"pre-1796",IF(D211&lt;1912,"1796-1911",IF(D211&lt;1949,"1912-1948","1949+"))))</f>
        <v>1912-1948</v>
      </c>
      <c r="G211" s="8" t="str">
        <f aca="false">IF(D211="","?",IF(D211&lt;1912,"Qing",IF(D211&lt;1949,"Republic","PRC")))</f>
        <v>Republic</v>
      </c>
      <c r="H211" s="8" t="s">
        <v>409</v>
      </c>
      <c r="I211" s="9" t="s">
        <v>128</v>
      </c>
      <c r="J211" s="9" t="s">
        <v>223</v>
      </c>
      <c r="K211" s="8" t="s">
        <v>84</v>
      </c>
      <c r="L211" s="8"/>
      <c r="M211" s="8"/>
      <c r="N211" s="8"/>
      <c r="O211" s="8" t="s">
        <v>1724</v>
      </c>
      <c r="P211" s="8" t="s">
        <v>87</v>
      </c>
      <c r="Q211" s="8"/>
      <c r="R211" s="9" t="s">
        <v>1725</v>
      </c>
      <c r="S211" s="8"/>
      <c r="T211" s="8"/>
      <c r="U211" s="8"/>
      <c r="V211" s="8"/>
      <c r="W211" s="9" t="s">
        <v>1726</v>
      </c>
      <c r="X211" s="8"/>
      <c r="Y211" s="8"/>
      <c r="Z211" s="8"/>
      <c r="AA211" s="8"/>
      <c r="AB211" s="8"/>
      <c r="AC211" s="8"/>
      <c r="AD211" s="8"/>
      <c r="AE211" s="9" t="s">
        <v>1727</v>
      </c>
      <c r="AF211" s="8"/>
      <c r="AG211" s="8"/>
      <c r="AH211" s="8"/>
      <c r="AI211" s="8" t="n">
        <v>0</v>
      </c>
      <c r="AJ211" s="8" t="n">
        <v>0</v>
      </c>
      <c r="AK211" s="8" t="n">
        <v>0</v>
      </c>
      <c r="AL211" s="8" t="n">
        <v>0</v>
      </c>
      <c r="AM211" s="8" t="n">
        <v>0</v>
      </c>
      <c r="AN211" s="8" t="n">
        <v>0</v>
      </c>
      <c r="AO211" s="8" t="n">
        <v>0</v>
      </c>
      <c r="AP211" s="8" t="n">
        <v>0</v>
      </c>
      <c r="AQ211" s="8" t="n">
        <v>0</v>
      </c>
      <c r="AR211" s="8" t="n">
        <v>0</v>
      </c>
      <c r="AS211" s="8" t="n">
        <v>0</v>
      </c>
      <c r="AT211" s="8" t="n">
        <v>0</v>
      </c>
      <c r="AU211" s="8" t="n">
        <v>0</v>
      </c>
      <c r="AV211" s="8" t="n">
        <v>0</v>
      </c>
      <c r="AW211" s="8" t="n">
        <v>0</v>
      </c>
      <c r="AX211" s="8" t="n">
        <v>0</v>
      </c>
      <c r="AY211" s="8" t="n">
        <v>0</v>
      </c>
      <c r="AZ211" s="8" t="n">
        <v>0</v>
      </c>
      <c r="BA211" s="8" t="n">
        <v>0</v>
      </c>
      <c r="BB211" s="8" t="n">
        <v>0</v>
      </c>
      <c r="BC211" s="8" t="n">
        <v>181</v>
      </c>
      <c r="BD211" s="8" t="n">
        <v>1</v>
      </c>
      <c r="BE211" s="8" t="n">
        <v>0</v>
      </c>
      <c r="BF211" s="8" t="n">
        <v>0</v>
      </c>
      <c r="BG211" s="10" t="s">
        <v>1728</v>
      </c>
      <c r="BH211" s="9" t="s">
        <v>1729</v>
      </c>
    </row>
    <row r="212" customFormat="false" ht="15" hidden="false" customHeight="false" outlineLevel="0" collapsed="false">
      <c r="A212" s="8" t="s">
        <v>1730</v>
      </c>
      <c r="B212" s="8" t="s">
        <v>1731</v>
      </c>
      <c r="C212" s="8" t="n">
        <v>1</v>
      </c>
      <c r="D212" s="8" t="n">
        <v>1842</v>
      </c>
      <c r="E212" s="8" t="n">
        <v>1842</v>
      </c>
      <c r="F212" s="8" t="str">
        <f aca="false">IF(D212="","?",IF(D212&lt;1796,"pre-1796",IF(D212&lt;1912,"1796-1911",IF(D212&lt;1949,"1912-1948","1949+"))))</f>
        <v>1796-1911</v>
      </c>
      <c r="G212" s="8" t="str">
        <f aca="false">IF(D212="","?",IF(D212&lt;1912,"Qing",IF(D212&lt;1949,"Republic","PRC")))</f>
        <v>Qing</v>
      </c>
      <c r="H212" s="8" t="s">
        <v>1732</v>
      </c>
      <c r="I212" s="8"/>
      <c r="J212" s="8"/>
      <c r="K212" s="8" t="s">
        <v>130</v>
      </c>
      <c r="L212" s="8"/>
      <c r="M212" s="9" t="s">
        <v>1733</v>
      </c>
      <c r="N212" s="8"/>
      <c r="O212" s="8" t="s">
        <v>1734</v>
      </c>
      <c r="P212" s="8" t="s">
        <v>133</v>
      </c>
      <c r="Q212" s="9" t="s">
        <v>677</v>
      </c>
      <c r="R212" s="9" t="s">
        <v>1735</v>
      </c>
      <c r="S212" s="9" t="s">
        <v>1736</v>
      </c>
      <c r="T212" s="8"/>
      <c r="U212" s="9" t="s">
        <v>1737</v>
      </c>
      <c r="V212" s="8"/>
      <c r="W212" s="8"/>
      <c r="X212" s="8"/>
      <c r="Y212" s="8"/>
      <c r="Z212" s="8"/>
      <c r="AA212" s="9" t="s">
        <v>1738</v>
      </c>
      <c r="AB212" s="8"/>
      <c r="AC212" s="8"/>
      <c r="AD212" s="8"/>
      <c r="AE212" s="8"/>
      <c r="AF212" s="8"/>
      <c r="AG212" s="8"/>
      <c r="AH212" s="8"/>
      <c r="AI212" s="8" t="n">
        <v>0</v>
      </c>
      <c r="AJ212" s="8" t="n">
        <v>0</v>
      </c>
      <c r="AK212" s="8" t="n">
        <v>0</v>
      </c>
      <c r="AL212" s="8" t="n">
        <v>0</v>
      </c>
      <c r="AM212" s="8" t="n">
        <v>0</v>
      </c>
      <c r="AN212" s="8" t="n">
        <v>0</v>
      </c>
      <c r="AO212" s="8" t="n">
        <v>0</v>
      </c>
      <c r="AP212" s="8" t="n">
        <v>0</v>
      </c>
      <c r="AQ212" s="8" t="n">
        <v>0</v>
      </c>
      <c r="AR212" s="8" t="n">
        <v>0</v>
      </c>
      <c r="AS212" s="8" t="n">
        <v>1</v>
      </c>
      <c r="AT212" s="8" t="n">
        <v>0</v>
      </c>
      <c r="AU212" s="8" t="n">
        <v>0</v>
      </c>
      <c r="AV212" s="8" t="n">
        <v>0</v>
      </c>
      <c r="AW212" s="8" t="n">
        <v>0</v>
      </c>
      <c r="AX212" s="8" t="n">
        <v>0</v>
      </c>
      <c r="AY212" s="8" t="n">
        <v>0</v>
      </c>
      <c r="AZ212" s="8" t="n">
        <v>0</v>
      </c>
      <c r="BA212" s="8" t="n">
        <v>0</v>
      </c>
      <c r="BB212" s="8" t="n">
        <v>0</v>
      </c>
      <c r="BC212" s="8" t="n">
        <v>240</v>
      </c>
      <c r="BD212" s="8" t="n">
        <v>0</v>
      </c>
      <c r="BE212" s="8" t="n">
        <v>0</v>
      </c>
      <c r="BF212" s="8" t="n">
        <v>0</v>
      </c>
      <c r="BG212" s="10" t="s">
        <v>1739</v>
      </c>
      <c r="BH212" s="9" t="s">
        <v>1740</v>
      </c>
    </row>
    <row r="213" customFormat="false" ht="15" hidden="false" customHeight="false" outlineLevel="0" collapsed="false">
      <c r="A213" s="8" t="s">
        <v>1741</v>
      </c>
      <c r="B213" s="8" t="s">
        <v>1742</v>
      </c>
      <c r="C213" s="8" t="n">
        <v>1</v>
      </c>
      <c r="D213" s="8" t="n">
        <v>1844</v>
      </c>
      <c r="E213" s="8" t="n">
        <v>1845</v>
      </c>
      <c r="F213" s="8" t="str">
        <f aca="false">IF(D213="","?",IF(D213&lt;1796,"pre-1796",IF(D213&lt;1912,"1796-1911",IF(D213&lt;1949,"1912-1948","1949+"))))</f>
        <v>1796-1911</v>
      </c>
      <c r="G213" s="8" t="str">
        <f aca="false">IF(D213="","?",IF(D213&lt;1912,"Qing",IF(D213&lt;1949,"Republic","PRC")))</f>
        <v>Qing</v>
      </c>
      <c r="H213" s="8" t="s">
        <v>1743</v>
      </c>
      <c r="I213" s="9" t="s">
        <v>128</v>
      </c>
      <c r="J213" s="9" t="s">
        <v>643</v>
      </c>
      <c r="K213" s="8" t="s">
        <v>130</v>
      </c>
      <c r="L213" s="8"/>
      <c r="M213" s="9" t="s">
        <v>1744</v>
      </c>
      <c r="N213" s="9" t="s">
        <v>1745</v>
      </c>
      <c r="O213" s="8" t="s">
        <v>1746</v>
      </c>
      <c r="P213" s="8" t="s">
        <v>97</v>
      </c>
      <c r="Q213" s="9" t="s">
        <v>300</v>
      </c>
      <c r="R213" s="9" t="s">
        <v>1747</v>
      </c>
      <c r="S213" s="9" t="s">
        <v>1748</v>
      </c>
      <c r="T213" s="8"/>
      <c r="U213" s="9" t="s">
        <v>1749</v>
      </c>
      <c r="V213" s="9" t="s">
        <v>1750</v>
      </c>
      <c r="W213" s="8"/>
      <c r="X213" s="8"/>
      <c r="Y213" s="9" t="s">
        <v>182</v>
      </c>
      <c r="Z213" s="9" t="s">
        <v>1751</v>
      </c>
      <c r="AA213" s="9" t="s">
        <v>1752</v>
      </c>
      <c r="AB213" s="9" t="s">
        <v>1753</v>
      </c>
      <c r="AC213" s="9" t="s">
        <v>1754</v>
      </c>
      <c r="AD213" s="9" t="s">
        <v>790</v>
      </c>
      <c r="AE213" s="8"/>
      <c r="AF213" s="8"/>
      <c r="AG213" s="8"/>
      <c r="AH213" s="8"/>
      <c r="AI213" s="8" t="n">
        <v>1</v>
      </c>
      <c r="AJ213" s="8" t="n">
        <v>0</v>
      </c>
      <c r="AK213" s="8" t="n">
        <v>1</v>
      </c>
      <c r="AL213" s="8" t="n">
        <v>1</v>
      </c>
      <c r="AM213" s="8" t="n">
        <v>1</v>
      </c>
      <c r="AN213" s="8" t="n">
        <v>1</v>
      </c>
      <c r="AO213" s="8" t="n">
        <v>1</v>
      </c>
      <c r="AP213" s="8" t="n">
        <v>1</v>
      </c>
      <c r="AQ213" s="8" t="n">
        <v>0</v>
      </c>
      <c r="AR213" s="8" t="n">
        <v>1</v>
      </c>
      <c r="AS213" s="8" t="n">
        <v>1</v>
      </c>
      <c r="AT213" s="8" t="n">
        <v>1</v>
      </c>
      <c r="AU213" s="8" t="n">
        <v>0</v>
      </c>
      <c r="AV213" s="8" t="n">
        <v>1</v>
      </c>
      <c r="AW213" s="8" t="n">
        <v>0</v>
      </c>
      <c r="AX213" s="8" t="n">
        <v>0</v>
      </c>
      <c r="AY213" s="8" t="n">
        <v>0</v>
      </c>
      <c r="AZ213" s="8" t="n">
        <v>0</v>
      </c>
      <c r="BA213" s="8" t="n">
        <v>0</v>
      </c>
      <c r="BB213" s="8" t="n">
        <v>0</v>
      </c>
      <c r="BC213" s="8" t="n">
        <v>434</v>
      </c>
      <c r="BD213" s="8" t="n">
        <v>2</v>
      </c>
      <c r="BE213" s="8" t="n">
        <v>0</v>
      </c>
      <c r="BF213" s="8" t="n">
        <v>0</v>
      </c>
      <c r="BG213" s="10" t="s">
        <v>1755</v>
      </c>
      <c r="BH213" s="9" t="s">
        <v>1756</v>
      </c>
    </row>
    <row r="214" customFormat="false" ht="15" hidden="false" customHeight="false" outlineLevel="0" collapsed="false">
      <c r="A214" s="8" t="s">
        <v>1757</v>
      </c>
      <c r="B214" s="8" t="s">
        <v>1742</v>
      </c>
      <c r="C214" s="8" t="n">
        <v>2</v>
      </c>
      <c r="D214" s="8" t="n">
        <v>1844</v>
      </c>
      <c r="E214" s="8" t="n">
        <v>1845</v>
      </c>
      <c r="F214" s="8" t="str">
        <f aca="false">IF(D214="","?",IF(D214&lt;1796,"pre-1796",IF(D214&lt;1912,"1796-1911",IF(D214&lt;1949,"1912-1948","1949+"))))</f>
        <v>1796-1911</v>
      </c>
      <c r="G214" s="8" t="str">
        <f aca="false">IF(D214="","?",IF(D214&lt;1912,"Qing",IF(D214&lt;1949,"Republic","PRC")))</f>
        <v>Qing</v>
      </c>
      <c r="H214" s="8" t="s">
        <v>1743</v>
      </c>
      <c r="I214" s="9" t="s">
        <v>128</v>
      </c>
      <c r="J214" s="9" t="s">
        <v>643</v>
      </c>
      <c r="K214" s="8" t="s">
        <v>130</v>
      </c>
      <c r="L214" s="8"/>
      <c r="M214" s="9" t="s">
        <v>1744</v>
      </c>
      <c r="N214" s="9" t="s">
        <v>1745</v>
      </c>
      <c r="O214" s="8" t="s">
        <v>1746</v>
      </c>
      <c r="P214" s="8" t="s">
        <v>97</v>
      </c>
      <c r="Q214" s="9" t="s">
        <v>733</v>
      </c>
      <c r="R214" s="9" t="s">
        <v>1758</v>
      </c>
      <c r="S214" s="9" t="s">
        <v>1748</v>
      </c>
      <c r="T214" s="8"/>
      <c r="U214" s="9" t="s">
        <v>1759</v>
      </c>
      <c r="V214" s="8"/>
      <c r="W214" s="9" t="s">
        <v>1760</v>
      </c>
      <c r="X214" s="8"/>
      <c r="Y214" s="9" t="s">
        <v>1761</v>
      </c>
      <c r="Z214" s="8"/>
      <c r="AA214" s="8"/>
      <c r="AB214" s="8"/>
      <c r="AC214" s="9" t="s">
        <v>750</v>
      </c>
      <c r="AD214" s="8"/>
      <c r="AE214" s="8"/>
      <c r="AF214" s="8"/>
      <c r="AG214" s="8"/>
      <c r="AH214" s="8"/>
      <c r="AI214" s="8" t="n">
        <v>1</v>
      </c>
      <c r="AJ214" s="8" t="n">
        <v>0</v>
      </c>
      <c r="AK214" s="8" t="n">
        <v>0</v>
      </c>
      <c r="AL214" s="8" t="n">
        <v>1</v>
      </c>
      <c r="AM214" s="8" t="n">
        <v>1</v>
      </c>
      <c r="AN214" s="8" t="n">
        <v>1</v>
      </c>
      <c r="AO214" s="8" t="n">
        <v>1</v>
      </c>
      <c r="AP214" s="8" t="n">
        <v>0</v>
      </c>
      <c r="AQ214" s="8" t="n">
        <v>1</v>
      </c>
      <c r="AR214" s="8" t="n">
        <v>0</v>
      </c>
      <c r="AS214" s="8" t="n">
        <v>1</v>
      </c>
      <c r="AT214" s="8" t="n">
        <v>1</v>
      </c>
      <c r="AU214" s="8" t="n">
        <v>0</v>
      </c>
      <c r="AV214" s="8" t="n">
        <v>1</v>
      </c>
      <c r="AW214" s="8" t="n">
        <v>0</v>
      </c>
      <c r="AX214" s="8" t="n">
        <v>0</v>
      </c>
      <c r="AY214" s="8" t="n">
        <v>0</v>
      </c>
      <c r="AZ214" s="8" t="n">
        <v>0</v>
      </c>
      <c r="BA214" s="8" t="n">
        <v>0</v>
      </c>
      <c r="BB214" s="8" t="n">
        <v>0</v>
      </c>
      <c r="BC214" s="8" t="n">
        <v>343</v>
      </c>
      <c r="BD214" s="8" t="n">
        <v>0</v>
      </c>
      <c r="BE214" s="8" t="n">
        <v>0</v>
      </c>
      <c r="BF214" s="8" t="n">
        <v>0</v>
      </c>
      <c r="BG214" s="10" t="s">
        <v>1755</v>
      </c>
      <c r="BH214" s="9" t="s">
        <v>1762</v>
      </c>
    </row>
    <row r="215" customFormat="false" ht="15" hidden="false" customHeight="false" outlineLevel="0" collapsed="false">
      <c r="A215" s="8" t="s">
        <v>1763</v>
      </c>
      <c r="B215" s="8" t="s">
        <v>1764</v>
      </c>
      <c r="C215" s="8" t="n">
        <v>1</v>
      </c>
      <c r="D215" s="8" t="n">
        <v>1888</v>
      </c>
      <c r="E215" s="8" t="n">
        <v>1913</v>
      </c>
      <c r="F215" s="8" t="str">
        <f aca="false">IF(D215="","?",IF(D215&lt;1796,"pre-1796",IF(D215&lt;1912,"1796-1911",IF(D215&lt;1949,"1912-1948","1949+"))))</f>
        <v>1796-1911</v>
      </c>
      <c r="G215" s="8" t="str">
        <f aca="false">IF(D215="","?",IF(D215&lt;1912,"Qing",IF(D215&lt;1949,"Republic","PRC")))</f>
        <v>Qing</v>
      </c>
      <c r="H215" s="8" t="s">
        <v>1765</v>
      </c>
      <c r="I215" s="9" t="s">
        <v>110</v>
      </c>
      <c r="J215" s="9" t="s">
        <v>111</v>
      </c>
      <c r="K215" s="8" t="s">
        <v>84</v>
      </c>
      <c r="L215" s="8"/>
      <c r="M215" s="9" t="s">
        <v>1766</v>
      </c>
      <c r="N215" s="9" t="s">
        <v>1767</v>
      </c>
      <c r="O215" s="8" t="s">
        <v>1768</v>
      </c>
      <c r="P215" s="8" t="s">
        <v>114</v>
      </c>
      <c r="Q215" s="9" t="s">
        <v>115</v>
      </c>
      <c r="R215" s="9" t="s">
        <v>1769</v>
      </c>
      <c r="S215" s="8"/>
      <c r="T215" s="8"/>
      <c r="U215" s="9" t="s">
        <v>1770</v>
      </c>
      <c r="V215" s="8"/>
      <c r="W215" s="9" t="s">
        <v>1771</v>
      </c>
      <c r="X215" s="8"/>
      <c r="Y215" s="8"/>
      <c r="Z215" s="8"/>
      <c r="AA215" s="8"/>
      <c r="AB215" s="8"/>
      <c r="AC215" s="8"/>
      <c r="AD215" s="8"/>
      <c r="AE215" s="9" t="s">
        <v>1772</v>
      </c>
      <c r="AF215" s="9" t="s">
        <v>399</v>
      </c>
      <c r="AG215" s="9" t="s">
        <v>1767</v>
      </c>
      <c r="AH215" s="9" t="s">
        <v>1773</v>
      </c>
      <c r="AI215" s="8" t="n">
        <v>0</v>
      </c>
      <c r="AJ215" s="8" t="n">
        <v>0</v>
      </c>
      <c r="AK215" s="8" t="n">
        <v>0</v>
      </c>
      <c r="AL215" s="8" t="n">
        <v>0</v>
      </c>
      <c r="AM215" s="8" t="n">
        <v>0</v>
      </c>
      <c r="AN215" s="8" t="n">
        <v>0</v>
      </c>
      <c r="AO215" s="8" t="n">
        <v>0</v>
      </c>
      <c r="AP215" s="8" t="n">
        <v>0</v>
      </c>
      <c r="AQ215" s="8" t="n">
        <v>0</v>
      </c>
      <c r="AR215" s="8" t="n">
        <v>0</v>
      </c>
      <c r="AS215" s="8" t="n">
        <v>1</v>
      </c>
      <c r="AT215" s="8" t="n">
        <v>0</v>
      </c>
      <c r="AU215" s="8" t="n">
        <v>0</v>
      </c>
      <c r="AV215" s="8" t="n">
        <v>0</v>
      </c>
      <c r="AW215" s="8" t="n">
        <v>0</v>
      </c>
      <c r="AX215" s="8" t="n">
        <v>1</v>
      </c>
      <c r="AY215" s="8" t="n">
        <v>1</v>
      </c>
      <c r="AZ215" s="8" t="n">
        <v>1</v>
      </c>
      <c r="BA215" s="8" t="n">
        <v>1</v>
      </c>
      <c r="BB215" s="8" t="n">
        <v>1</v>
      </c>
      <c r="BC215" s="8" t="n">
        <v>336</v>
      </c>
      <c r="BD215" s="8" t="n">
        <v>0</v>
      </c>
      <c r="BE215" s="8" t="n">
        <v>0</v>
      </c>
      <c r="BF215" s="8" t="n">
        <v>0</v>
      </c>
      <c r="BG215" s="10" t="s">
        <v>1774</v>
      </c>
      <c r="BH215" s="9" t="s">
        <v>1775</v>
      </c>
    </row>
    <row r="216" customFormat="false" ht="15" hidden="false" customHeight="false" outlineLevel="0" collapsed="false">
      <c r="A216" s="8" t="s">
        <v>1776</v>
      </c>
      <c r="B216" s="8" t="s">
        <v>1764</v>
      </c>
      <c r="C216" s="8" t="n">
        <v>2</v>
      </c>
      <c r="D216" s="8" t="n">
        <v>1888</v>
      </c>
      <c r="E216" s="8" t="n">
        <v>1913</v>
      </c>
      <c r="F216" s="8" t="str">
        <f aca="false">IF(D216="","?",IF(D216&lt;1796,"pre-1796",IF(D216&lt;1912,"1796-1911",IF(D216&lt;1949,"1912-1948","1949+"))))</f>
        <v>1796-1911</v>
      </c>
      <c r="G216" s="8" t="str">
        <f aca="false">IF(D216="","?",IF(D216&lt;1912,"Qing",IF(D216&lt;1949,"Republic","PRC")))</f>
        <v>Qing</v>
      </c>
      <c r="H216" s="8" t="s">
        <v>1765</v>
      </c>
      <c r="I216" s="9" t="s">
        <v>110</v>
      </c>
      <c r="J216" s="9" t="s">
        <v>111</v>
      </c>
      <c r="K216" s="8" t="s">
        <v>84</v>
      </c>
      <c r="L216" s="8"/>
      <c r="M216" s="9" t="s">
        <v>1766</v>
      </c>
      <c r="N216" s="9" t="s">
        <v>1767</v>
      </c>
      <c r="O216" s="8" t="s">
        <v>1768</v>
      </c>
      <c r="P216" s="8" t="s">
        <v>133</v>
      </c>
      <c r="Q216" s="9" t="s">
        <v>300</v>
      </c>
      <c r="R216" s="9" t="s">
        <v>1777</v>
      </c>
      <c r="S216" s="9" t="s">
        <v>1766</v>
      </c>
      <c r="T216" s="8"/>
      <c r="U216" s="9" t="s">
        <v>1778</v>
      </c>
      <c r="V216" s="8"/>
      <c r="W216" s="9" t="s">
        <v>1779</v>
      </c>
      <c r="X216" s="9" t="s">
        <v>1780</v>
      </c>
      <c r="Y216" s="8"/>
      <c r="Z216" s="9" t="s">
        <v>1781</v>
      </c>
      <c r="AA216" s="9" t="s">
        <v>1782</v>
      </c>
      <c r="AB216" s="9" t="s">
        <v>1783</v>
      </c>
      <c r="AC216" s="8"/>
      <c r="AD216" s="8"/>
      <c r="AE216" s="9" t="s">
        <v>1784</v>
      </c>
      <c r="AF216" s="8"/>
      <c r="AG216" s="8"/>
      <c r="AH216" s="8"/>
      <c r="AI216" s="8" t="n">
        <v>1</v>
      </c>
      <c r="AJ216" s="8" t="n">
        <v>1</v>
      </c>
      <c r="AK216" s="8" t="n">
        <v>1</v>
      </c>
      <c r="AL216" s="8" t="n">
        <v>1</v>
      </c>
      <c r="AM216" s="8" t="n">
        <v>1</v>
      </c>
      <c r="AN216" s="8" t="n">
        <v>1</v>
      </c>
      <c r="AO216" s="8" t="n">
        <v>1</v>
      </c>
      <c r="AP216" s="8" t="n">
        <v>0</v>
      </c>
      <c r="AQ216" s="8" t="n">
        <v>0</v>
      </c>
      <c r="AR216" s="8" t="n">
        <v>1</v>
      </c>
      <c r="AS216" s="8" t="n">
        <v>1</v>
      </c>
      <c r="AT216" s="8" t="n">
        <v>1</v>
      </c>
      <c r="AU216" s="8" t="n">
        <v>0</v>
      </c>
      <c r="AV216" s="8" t="n">
        <v>0</v>
      </c>
      <c r="AW216" s="8" t="n">
        <v>0</v>
      </c>
      <c r="AX216" s="8" t="n">
        <v>0</v>
      </c>
      <c r="AY216" s="8" t="n">
        <v>0</v>
      </c>
      <c r="AZ216" s="8" t="n">
        <v>0</v>
      </c>
      <c r="BA216" s="8" t="n">
        <v>0</v>
      </c>
      <c r="BB216" s="8" t="n">
        <v>0</v>
      </c>
      <c r="BC216" s="8" t="n">
        <v>373</v>
      </c>
      <c r="BD216" s="8" t="n">
        <v>0</v>
      </c>
      <c r="BE216" s="8" t="n">
        <v>0</v>
      </c>
      <c r="BF216" s="8" t="n">
        <v>0</v>
      </c>
      <c r="BG216" s="10" t="s">
        <v>1774</v>
      </c>
      <c r="BH216" s="9" t="s">
        <v>1785</v>
      </c>
    </row>
    <row r="217" customFormat="false" ht="15" hidden="false" customHeight="false" outlineLevel="0" collapsed="false">
      <c r="A217" s="8" t="s">
        <v>1786</v>
      </c>
      <c r="B217" s="8" t="s">
        <v>1787</v>
      </c>
      <c r="C217" s="8" t="n">
        <v>1</v>
      </c>
      <c r="D217" s="8" t="n">
        <v>1915</v>
      </c>
      <c r="E217" s="8" t="n">
        <v>1915</v>
      </c>
      <c r="F217" s="8" t="str">
        <f aca="false">IF(D217="","?",IF(D217&lt;1796,"pre-1796",IF(D217&lt;1912,"1796-1911",IF(D217&lt;1949,"1912-1948","1949+"))))</f>
        <v>1912-1948</v>
      </c>
      <c r="G217" s="8" t="str">
        <f aca="false">IF(D217="","?",IF(D217&lt;1912,"Qing",IF(D217&lt;1949,"Republic","PRC")))</f>
        <v>Republic</v>
      </c>
      <c r="H217" s="8" t="s">
        <v>964</v>
      </c>
      <c r="I217" s="9" t="s">
        <v>1788</v>
      </c>
      <c r="J217" s="9" t="s">
        <v>1789</v>
      </c>
      <c r="K217" s="8" t="s">
        <v>84</v>
      </c>
      <c r="L217" s="9" t="s">
        <v>1790</v>
      </c>
      <c r="M217" s="8"/>
      <c r="N217" s="8"/>
      <c r="O217" s="8" t="s">
        <v>1791</v>
      </c>
      <c r="P217" s="8" t="s">
        <v>114</v>
      </c>
      <c r="Q217" s="8"/>
      <c r="R217" s="8"/>
      <c r="S217" s="8"/>
      <c r="T217" s="8"/>
      <c r="U217" s="8"/>
      <c r="V217" s="8"/>
      <c r="W217" s="9" t="s">
        <v>1792</v>
      </c>
      <c r="X217" s="8"/>
      <c r="Y217" s="8"/>
      <c r="Z217" s="9" t="s">
        <v>1793</v>
      </c>
      <c r="AA217" s="8"/>
      <c r="AB217" s="8"/>
      <c r="AC217" s="8"/>
      <c r="AD217" s="8"/>
      <c r="AE217" s="9" t="s">
        <v>1794</v>
      </c>
      <c r="AF217" s="9" t="s">
        <v>399</v>
      </c>
      <c r="AG217" s="9" t="s">
        <v>1790</v>
      </c>
      <c r="AH217" s="9" t="s">
        <v>1795</v>
      </c>
      <c r="AI217" s="8" t="n">
        <v>0</v>
      </c>
      <c r="AJ217" s="8" t="n">
        <v>0</v>
      </c>
      <c r="AK217" s="8" t="n">
        <v>0</v>
      </c>
      <c r="AL217" s="8" t="n">
        <v>0</v>
      </c>
      <c r="AM217" s="8" t="n">
        <v>0</v>
      </c>
      <c r="AN217" s="8" t="n">
        <v>0</v>
      </c>
      <c r="AO217" s="8" t="n">
        <v>0</v>
      </c>
      <c r="AP217" s="8" t="n">
        <v>0</v>
      </c>
      <c r="AQ217" s="8" t="n">
        <v>0</v>
      </c>
      <c r="AR217" s="8" t="n">
        <v>0</v>
      </c>
      <c r="AS217" s="8" t="n">
        <v>1</v>
      </c>
      <c r="AT217" s="8" t="n">
        <v>1</v>
      </c>
      <c r="AU217" s="8" t="n">
        <v>0</v>
      </c>
      <c r="AV217" s="8" t="n">
        <v>0</v>
      </c>
      <c r="AW217" s="8" t="n">
        <v>1</v>
      </c>
      <c r="AX217" s="8" t="n">
        <v>1</v>
      </c>
      <c r="AY217" s="8" t="n">
        <v>1</v>
      </c>
      <c r="AZ217" s="8" t="n">
        <v>1</v>
      </c>
      <c r="BA217" s="8" t="n">
        <v>1</v>
      </c>
      <c r="BB217" s="8" t="n">
        <v>1</v>
      </c>
      <c r="BC217" s="8" t="n">
        <v>376</v>
      </c>
      <c r="BD217" s="8" t="n">
        <v>1</v>
      </c>
      <c r="BE217" s="8" t="n">
        <v>0</v>
      </c>
      <c r="BF217" s="8" t="n">
        <v>0</v>
      </c>
      <c r="BG217" s="10" t="s">
        <v>1796</v>
      </c>
      <c r="BH217" s="9" t="s">
        <v>1797</v>
      </c>
    </row>
    <row r="218" customFormat="false" ht="15" hidden="false" customHeight="false" outlineLevel="0" collapsed="false">
      <c r="A218" s="8" t="s">
        <v>1798</v>
      </c>
      <c r="B218" s="8" t="s">
        <v>1799</v>
      </c>
      <c r="C218" s="8" t="n">
        <v>1</v>
      </c>
      <c r="D218" s="8" t="n">
        <v>1840</v>
      </c>
      <c r="E218" s="8" t="n">
        <v>1840</v>
      </c>
      <c r="F218" s="8" t="str">
        <f aca="false">IF(D218="","?",IF(D218&lt;1796,"pre-1796",IF(D218&lt;1912,"1796-1911",IF(D218&lt;1949,"1912-1948","1949+"))))</f>
        <v>1796-1911</v>
      </c>
      <c r="G218" s="8" t="str">
        <f aca="false">IF(D218="","?",IF(D218&lt;1912,"Qing",IF(D218&lt;1949,"Republic","PRC")))</f>
        <v>Qing</v>
      </c>
      <c r="H218" s="8" t="s">
        <v>1613</v>
      </c>
      <c r="I218" s="9" t="s">
        <v>296</v>
      </c>
      <c r="J218" s="9" t="s">
        <v>297</v>
      </c>
      <c r="K218" s="8" t="s">
        <v>130</v>
      </c>
      <c r="L218" s="9" t="s">
        <v>1800</v>
      </c>
      <c r="M218" s="8"/>
      <c r="N218" s="8"/>
      <c r="O218" s="8" t="s">
        <v>1801</v>
      </c>
      <c r="P218" s="8" t="s">
        <v>87</v>
      </c>
      <c r="Q218" s="8"/>
      <c r="R218" s="9" t="s">
        <v>1802</v>
      </c>
      <c r="S218" s="8"/>
      <c r="T218" s="8"/>
      <c r="U218" s="8"/>
      <c r="V218" s="8"/>
      <c r="W218" s="8"/>
      <c r="X218" s="8"/>
      <c r="Y218" s="8"/>
      <c r="Z218" s="8"/>
      <c r="AA218" s="8"/>
      <c r="AB218" s="8"/>
      <c r="AC218" s="8"/>
      <c r="AD218" s="8"/>
      <c r="AE218" s="9" t="s">
        <v>1803</v>
      </c>
      <c r="AF218" s="8"/>
      <c r="AG218" s="8"/>
      <c r="AH218" s="8"/>
      <c r="AI218" s="8" t="n">
        <v>0</v>
      </c>
      <c r="AJ218" s="8" t="n">
        <v>0</v>
      </c>
      <c r="AK218" s="8" t="n">
        <v>0</v>
      </c>
      <c r="AL218" s="8" t="n">
        <v>0</v>
      </c>
      <c r="AM218" s="8" t="n">
        <v>0</v>
      </c>
      <c r="AN218" s="8" t="n">
        <v>0</v>
      </c>
      <c r="AO218" s="8" t="n">
        <v>0</v>
      </c>
      <c r="AP218" s="8" t="n">
        <v>0</v>
      </c>
      <c r="AQ218" s="8" t="n">
        <v>0</v>
      </c>
      <c r="AR218" s="8" t="n">
        <v>0</v>
      </c>
      <c r="AS218" s="8" t="n">
        <v>0</v>
      </c>
      <c r="AT218" s="8" t="n">
        <v>0</v>
      </c>
      <c r="AU218" s="8" t="n">
        <v>0</v>
      </c>
      <c r="AV218" s="8" t="n">
        <v>0</v>
      </c>
      <c r="AW218" s="8" t="n">
        <v>0</v>
      </c>
      <c r="AX218" s="8" t="n">
        <v>0</v>
      </c>
      <c r="AY218" s="8" t="n">
        <v>0</v>
      </c>
      <c r="AZ218" s="8" t="n">
        <v>0</v>
      </c>
      <c r="BA218" s="8" t="n">
        <v>0</v>
      </c>
      <c r="BB218" s="8" t="n">
        <v>0</v>
      </c>
      <c r="BC218" s="8" t="n">
        <v>240</v>
      </c>
      <c r="BD218" s="8" t="n">
        <v>0</v>
      </c>
      <c r="BE218" s="8" t="n">
        <v>0</v>
      </c>
      <c r="BF218" s="8" t="n">
        <v>0</v>
      </c>
      <c r="BG218" s="10" t="s">
        <v>1804</v>
      </c>
      <c r="BH218" s="9" t="s">
        <v>1805</v>
      </c>
    </row>
    <row r="219" customFormat="false" ht="15" hidden="false" customHeight="false" outlineLevel="0" collapsed="false">
      <c r="A219" s="8" t="s">
        <v>1806</v>
      </c>
      <c r="B219" s="8" t="s">
        <v>1807</v>
      </c>
      <c r="C219" s="8" t="n">
        <v>1</v>
      </c>
      <c r="D219" s="8" t="n">
        <v>1888</v>
      </c>
      <c r="E219" s="8" t="n">
        <v>1888</v>
      </c>
      <c r="F219" s="8" t="str">
        <f aca="false">IF(D219="","?",IF(D219&lt;1796,"pre-1796",IF(D219&lt;1912,"1796-1911",IF(D219&lt;1949,"1912-1948","1949+"))))</f>
        <v>1796-1911</v>
      </c>
      <c r="G219" s="8" t="str">
        <f aca="false">IF(D219="","?",IF(D219&lt;1912,"Qing",IF(D219&lt;1949,"Republic","PRC")))</f>
        <v>Qing</v>
      </c>
      <c r="H219" s="8" t="s">
        <v>795</v>
      </c>
      <c r="I219" s="9" t="s">
        <v>128</v>
      </c>
      <c r="J219" s="9" t="s">
        <v>175</v>
      </c>
      <c r="K219" s="8" t="s">
        <v>84</v>
      </c>
      <c r="L219" s="8"/>
      <c r="M219" s="9" t="s">
        <v>1808</v>
      </c>
      <c r="N219" s="9" t="s">
        <v>1809</v>
      </c>
      <c r="O219" s="8" t="s">
        <v>1810</v>
      </c>
      <c r="P219" s="8" t="s">
        <v>87</v>
      </c>
      <c r="Q219" s="8"/>
      <c r="R219" s="9" t="s">
        <v>1777</v>
      </c>
      <c r="S219" s="8"/>
      <c r="T219" s="8"/>
      <c r="U219" s="8"/>
      <c r="V219" s="8"/>
      <c r="W219" s="8"/>
      <c r="X219" s="8"/>
      <c r="Y219" s="8"/>
      <c r="Z219" s="8"/>
      <c r="AA219" s="8"/>
      <c r="AB219" s="8"/>
      <c r="AC219" s="8"/>
      <c r="AD219" s="8"/>
      <c r="AE219" s="9" t="s">
        <v>88</v>
      </c>
      <c r="AF219" s="8"/>
      <c r="AG219" s="8"/>
      <c r="AH219" s="8"/>
      <c r="AI219" s="8" t="n">
        <v>0</v>
      </c>
      <c r="AJ219" s="8" t="n">
        <v>0</v>
      </c>
      <c r="AK219" s="8" t="n">
        <v>0</v>
      </c>
      <c r="AL219" s="8" t="n">
        <v>0</v>
      </c>
      <c r="AM219" s="8" t="n">
        <v>0</v>
      </c>
      <c r="AN219" s="8" t="n">
        <v>0</v>
      </c>
      <c r="AO219" s="8" t="n">
        <v>0</v>
      </c>
      <c r="AP219" s="8" t="n">
        <v>0</v>
      </c>
      <c r="AQ219" s="8" t="n">
        <v>0</v>
      </c>
      <c r="AR219" s="8" t="n">
        <v>0</v>
      </c>
      <c r="AS219" s="8" t="n">
        <v>0</v>
      </c>
      <c r="AT219" s="8" t="n">
        <v>0</v>
      </c>
      <c r="AU219" s="8" t="n">
        <v>0</v>
      </c>
      <c r="AV219" s="8" t="n">
        <v>0</v>
      </c>
      <c r="AW219" s="8" t="n">
        <v>0</v>
      </c>
      <c r="AX219" s="8" t="n">
        <v>0</v>
      </c>
      <c r="AY219" s="8" t="n">
        <v>0</v>
      </c>
      <c r="AZ219" s="8" t="n">
        <v>0</v>
      </c>
      <c r="BA219" s="8" t="n">
        <v>0</v>
      </c>
      <c r="BB219" s="8" t="n">
        <v>0</v>
      </c>
      <c r="BC219" s="8" t="n">
        <v>75</v>
      </c>
      <c r="BD219" s="8" t="n">
        <v>6</v>
      </c>
      <c r="BE219" s="8" t="n">
        <v>3</v>
      </c>
      <c r="BF219" s="8" t="n">
        <v>0</v>
      </c>
      <c r="BG219" s="10" t="s">
        <v>1811</v>
      </c>
      <c r="BH219" s="9" t="s">
        <v>1812</v>
      </c>
    </row>
    <row r="220" customFormat="false" ht="15" hidden="false" customHeight="false" outlineLevel="0" collapsed="false">
      <c r="A220" s="8" t="s">
        <v>1813</v>
      </c>
      <c r="B220" s="8" t="s">
        <v>1814</v>
      </c>
      <c r="C220" s="8" t="n">
        <v>1</v>
      </c>
      <c r="D220" s="8" t="n">
        <v>1873</v>
      </c>
      <c r="E220" s="8" t="n">
        <v>1873</v>
      </c>
      <c r="F220" s="8" t="str">
        <f aca="false">IF(D220="","?",IF(D220&lt;1796,"pre-1796",IF(D220&lt;1912,"1796-1911",IF(D220&lt;1949,"1912-1948","1949+"))))</f>
        <v>1796-1911</v>
      </c>
      <c r="G220" s="8" t="str">
        <f aca="false">IF(D220="","?",IF(D220&lt;1912,"Qing",IF(D220&lt;1949,"Republic","PRC")))</f>
        <v>Qing</v>
      </c>
      <c r="H220" s="8" t="s">
        <v>1815</v>
      </c>
      <c r="I220" s="9" t="s">
        <v>128</v>
      </c>
      <c r="J220" s="9" t="s">
        <v>175</v>
      </c>
      <c r="K220" s="8" t="s">
        <v>84</v>
      </c>
      <c r="L220" s="8"/>
      <c r="M220" s="9" t="s">
        <v>193</v>
      </c>
      <c r="N220" s="9" t="s">
        <v>1816</v>
      </c>
      <c r="O220" s="8" t="s">
        <v>1817</v>
      </c>
      <c r="P220" s="8" t="s">
        <v>114</v>
      </c>
      <c r="Q220" s="8"/>
      <c r="R220" s="8"/>
      <c r="S220" s="8"/>
      <c r="T220" s="8"/>
      <c r="U220" s="8"/>
      <c r="V220" s="8"/>
      <c r="W220" s="8"/>
      <c r="X220" s="8"/>
      <c r="Y220" s="8"/>
      <c r="Z220" s="8"/>
      <c r="AA220" s="8"/>
      <c r="AB220" s="8"/>
      <c r="AC220" s="8"/>
      <c r="AD220" s="8"/>
      <c r="AE220" s="8"/>
      <c r="AF220" s="8"/>
      <c r="AG220" s="8"/>
      <c r="AH220" s="8"/>
      <c r="AI220" s="8" t="n">
        <v>0</v>
      </c>
      <c r="AJ220" s="8" t="n">
        <v>0</v>
      </c>
      <c r="AK220" s="8" t="n">
        <v>0</v>
      </c>
      <c r="AL220" s="8" t="n">
        <v>0</v>
      </c>
      <c r="AM220" s="8" t="n">
        <v>0</v>
      </c>
      <c r="AN220" s="8" t="n">
        <v>0</v>
      </c>
      <c r="AO220" s="8" t="n">
        <v>0</v>
      </c>
      <c r="AP220" s="8" t="n">
        <v>0</v>
      </c>
      <c r="AQ220" s="8" t="n">
        <v>0</v>
      </c>
      <c r="AR220" s="8" t="n">
        <v>0</v>
      </c>
      <c r="AS220" s="8" t="n">
        <v>0</v>
      </c>
      <c r="AT220" s="8" t="n">
        <v>0</v>
      </c>
      <c r="AU220" s="8" t="n">
        <v>0</v>
      </c>
      <c r="AV220" s="8" t="n">
        <v>0</v>
      </c>
      <c r="AW220" s="8" t="n">
        <v>0</v>
      </c>
      <c r="AX220" s="8" t="n">
        <v>1</v>
      </c>
      <c r="AY220" s="8" t="n">
        <v>0</v>
      </c>
      <c r="AZ220" s="8" t="n">
        <v>0</v>
      </c>
      <c r="BA220" s="8" t="n">
        <v>0</v>
      </c>
      <c r="BB220" s="8" t="n">
        <v>0</v>
      </c>
      <c r="BC220" s="8" t="n">
        <v>73</v>
      </c>
      <c r="BD220" s="8" t="n">
        <v>2</v>
      </c>
      <c r="BE220" s="8" t="n">
        <v>0</v>
      </c>
      <c r="BF220" s="8" t="n">
        <v>0</v>
      </c>
      <c r="BG220" s="10" t="s">
        <v>1818</v>
      </c>
      <c r="BH220" s="9" t="s">
        <v>1819</v>
      </c>
    </row>
    <row r="221" customFormat="false" ht="15" hidden="false" customHeight="false" outlineLevel="0" collapsed="false">
      <c r="A221" s="8" t="s">
        <v>1820</v>
      </c>
      <c r="B221" s="8" t="s">
        <v>1821</v>
      </c>
      <c r="C221" s="8" t="n">
        <v>1</v>
      </c>
      <c r="D221" s="8" t="n">
        <v>1946</v>
      </c>
      <c r="E221" s="8" t="n">
        <v>1946</v>
      </c>
      <c r="F221" s="8" t="str">
        <f aca="false">IF(D221="","?",IF(D221&lt;1796,"pre-1796",IF(D221&lt;1912,"1796-1911",IF(D221&lt;1949,"1912-1948","1949+"))))</f>
        <v>1912-1948</v>
      </c>
      <c r="G221" s="8" t="str">
        <f aca="false">IF(D221="","?",IF(D221&lt;1912,"Qing",IF(D221&lt;1949,"Republic","PRC")))</f>
        <v>Republic</v>
      </c>
      <c r="H221" s="8" t="s">
        <v>1822</v>
      </c>
      <c r="I221" s="9" t="s">
        <v>128</v>
      </c>
      <c r="J221" s="9" t="s">
        <v>1517</v>
      </c>
      <c r="K221" s="8" t="s">
        <v>84</v>
      </c>
      <c r="L221" s="9" t="s">
        <v>1823</v>
      </c>
      <c r="M221" s="8"/>
      <c r="N221" s="8"/>
      <c r="O221" s="8" t="s">
        <v>1824</v>
      </c>
      <c r="P221" s="8" t="s">
        <v>87</v>
      </c>
      <c r="Q221" s="8"/>
      <c r="R221" s="8"/>
      <c r="S221" s="8"/>
      <c r="T221" s="8"/>
      <c r="U221" s="8"/>
      <c r="V221" s="8"/>
      <c r="W221" s="8"/>
      <c r="X221" s="8"/>
      <c r="Y221" s="8"/>
      <c r="Z221" s="8"/>
      <c r="AA221" s="8"/>
      <c r="AB221" s="8"/>
      <c r="AC221" s="8"/>
      <c r="AD221" s="8"/>
      <c r="AE221" s="9" t="s">
        <v>1825</v>
      </c>
      <c r="AF221" s="8"/>
      <c r="AG221" s="8"/>
      <c r="AH221" s="9" t="s">
        <v>1826</v>
      </c>
      <c r="AI221" s="8" t="n">
        <v>0</v>
      </c>
      <c r="AJ221" s="8" t="n">
        <v>0</v>
      </c>
      <c r="AK221" s="8" t="n">
        <v>0</v>
      </c>
      <c r="AL221" s="8" t="n">
        <v>0</v>
      </c>
      <c r="AM221" s="8" t="n">
        <v>0</v>
      </c>
      <c r="AN221" s="8" t="n">
        <v>0</v>
      </c>
      <c r="AO221" s="8" t="n">
        <v>0</v>
      </c>
      <c r="AP221" s="8" t="n">
        <v>0</v>
      </c>
      <c r="AQ221" s="8" t="n">
        <v>0</v>
      </c>
      <c r="AR221" s="8" t="n">
        <v>0</v>
      </c>
      <c r="AS221" s="8" t="n">
        <v>0</v>
      </c>
      <c r="AT221" s="8" t="n">
        <v>0</v>
      </c>
      <c r="AU221" s="8" t="n">
        <v>0</v>
      </c>
      <c r="AV221" s="8" t="n">
        <v>0</v>
      </c>
      <c r="AW221" s="8" t="n">
        <v>0</v>
      </c>
      <c r="AX221" s="8" t="n">
        <v>0</v>
      </c>
      <c r="AY221" s="8" t="n">
        <v>0</v>
      </c>
      <c r="AZ221" s="8" t="n">
        <v>0</v>
      </c>
      <c r="BA221" s="8" t="n">
        <v>0</v>
      </c>
      <c r="BB221" s="8" t="n">
        <v>0</v>
      </c>
      <c r="BC221" s="8" t="n">
        <v>90</v>
      </c>
      <c r="BD221" s="8" t="n">
        <v>0</v>
      </c>
      <c r="BE221" s="8" t="n">
        <v>0</v>
      </c>
      <c r="BF221" s="8" t="n">
        <v>0</v>
      </c>
      <c r="BG221" s="10" t="s">
        <v>1827</v>
      </c>
      <c r="BH221" s="9" t="s">
        <v>1828</v>
      </c>
    </row>
    <row r="222" customFormat="false" ht="15" hidden="false" customHeight="false" outlineLevel="0" collapsed="false">
      <c r="A222" s="8" t="s">
        <v>1829</v>
      </c>
      <c r="B222" s="8" t="s">
        <v>1830</v>
      </c>
      <c r="C222" s="8" t="n">
        <v>1</v>
      </c>
      <c r="D222" s="8" t="n">
        <v>1827</v>
      </c>
      <c r="E222" s="8" t="n">
        <v>1850</v>
      </c>
      <c r="F222" s="8" t="str">
        <f aca="false">IF(D222="","?",IF(D222&lt;1796,"pre-1796",IF(D222&lt;1912,"1796-1911",IF(D222&lt;1949,"1912-1948","1949+"))))</f>
        <v>1796-1911</v>
      </c>
      <c r="G222" s="8" t="str">
        <f aca="false">IF(D222="","?",IF(D222&lt;1912,"Qing",IF(D222&lt;1949,"Republic","PRC")))</f>
        <v>Qing</v>
      </c>
      <c r="H222" s="8" t="s">
        <v>1831</v>
      </c>
      <c r="I222" s="9" t="s">
        <v>1832</v>
      </c>
      <c r="J222" s="9" t="s">
        <v>1833</v>
      </c>
      <c r="K222" s="8" t="s">
        <v>84</v>
      </c>
      <c r="L222" s="9" t="s">
        <v>1834</v>
      </c>
      <c r="M222" s="8"/>
      <c r="N222" s="8"/>
      <c r="O222" s="8" t="s">
        <v>1835</v>
      </c>
      <c r="P222" s="8" t="s">
        <v>114</v>
      </c>
      <c r="Q222" s="8"/>
      <c r="R222" s="8"/>
      <c r="S222" s="8"/>
      <c r="T222" s="8"/>
      <c r="U222" s="8"/>
      <c r="V222" s="8"/>
      <c r="W222" s="8"/>
      <c r="X222" s="8"/>
      <c r="Y222" s="8"/>
      <c r="Z222" s="8"/>
      <c r="AA222" s="8"/>
      <c r="AB222" s="8"/>
      <c r="AC222" s="8"/>
      <c r="AD222" s="8"/>
      <c r="AE222" s="9" t="s">
        <v>544</v>
      </c>
      <c r="AF222" s="9" t="s">
        <v>291</v>
      </c>
      <c r="AG222" s="8"/>
      <c r="AH222" s="8"/>
      <c r="AI222" s="8" t="n">
        <v>0</v>
      </c>
      <c r="AJ222" s="8" t="n">
        <v>0</v>
      </c>
      <c r="AK222" s="8" t="n">
        <v>0</v>
      </c>
      <c r="AL222" s="8" t="n">
        <v>0</v>
      </c>
      <c r="AM222" s="8" t="n">
        <v>0</v>
      </c>
      <c r="AN222" s="8" t="n">
        <v>0</v>
      </c>
      <c r="AO222" s="8" t="n">
        <v>0</v>
      </c>
      <c r="AP222" s="8" t="n">
        <v>0</v>
      </c>
      <c r="AQ222" s="8" t="n">
        <v>0</v>
      </c>
      <c r="AR222" s="8" t="n">
        <v>0</v>
      </c>
      <c r="AS222" s="8" t="n">
        <v>0</v>
      </c>
      <c r="AT222" s="8" t="n">
        <v>0</v>
      </c>
      <c r="AU222" s="8" t="n">
        <v>0</v>
      </c>
      <c r="AV222" s="8" t="n">
        <v>0</v>
      </c>
      <c r="AW222" s="8" t="n">
        <v>0</v>
      </c>
      <c r="AX222" s="8" t="n">
        <v>0</v>
      </c>
      <c r="AY222" s="8" t="n">
        <v>0</v>
      </c>
      <c r="AZ222" s="8" t="n">
        <v>0</v>
      </c>
      <c r="BA222" s="8" t="n">
        <v>0</v>
      </c>
      <c r="BB222" s="8" t="n">
        <v>0</v>
      </c>
      <c r="BC222" s="8" t="n">
        <v>55</v>
      </c>
      <c r="BD222" s="8" t="n">
        <v>0</v>
      </c>
      <c r="BE222" s="8" t="n">
        <v>1</v>
      </c>
      <c r="BF222" s="8" t="n">
        <v>0</v>
      </c>
      <c r="BG222" s="10" t="s">
        <v>1836</v>
      </c>
      <c r="BH222" s="9" t="s">
        <v>1837</v>
      </c>
    </row>
    <row r="223" customFormat="false" ht="15" hidden="false" customHeight="false" outlineLevel="0" collapsed="false">
      <c r="A223" s="8" t="s">
        <v>1838</v>
      </c>
      <c r="B223" s="8" t="s">
        <v>1839</v>
      </c>
      <c r="C223" s="8" t="n">
        <v>1</v>
      </c>
      <c r="D223" s="8" t="n">
        <v>1841</v>
      </c>
      <c r="E223" s="8" t="n">
        <v>1841</v>
      </c>
      <c r="F223" s="8" t="str">
        <f aca="false">IF(D223="","?",IF(D223&lt;1796,"pre-1796",IF(D223&lt;1912,"1796-1911",IF(D223&lt;1949,"1912-1948","1949+"))))</f>
        <v>1796-1911</v>
      </c>
      <c r="G223" s="8" t="str">
        <f aca="false">IF(D223="","?",IF(D223&lt;1912,"Qing",IF(D223&lt;1949,"Republic","PRC")))</f>
        <v>Qing</v>
      </c>
      <c r="H223" s="8" t="s">
        <v>1840</v>
      </c>
      <c r="I223" s="8"/>
      <c r="J223" s="8"/>
      <c r="K223" s="8" t="s">
        <v>130</v>
      </c>
      <c r="L223" s="8"/>
      <c r="M223" s="9" t="s">
        <v>1841</v>
      </c>
      <c r="N223" s="9" t="s">
        <v>1842</v>
      </c>
      <c r="O223" s="8" t="s">
        <v>1843</v>
      </c>
      <c r="P223" s="8" t="s">
        <v>133</v>
      </c>
      <c r="Q223" s="9" t="s">
        <v>1844</v>
      </c>
      <c r="R223" s="9" t="s">
        <v>1845</v>
      </c>
      <c r="S223" s="9" t="s">
        <v>1846</v>
      </c>
      <c r="T223" s="8"/>
      <c r="U223" s="8"/>
      <c r="V223" s="9" t="s">
        <v>1847</v>
      </c>
      <c r="W223" s="8"/>
      <c r="X223" s="8"/>
      <c r="Y223" s="8"/>
      <c r="Z223" s="8"/>
      <c r="AA223" s="8"/>
      <c r="AB223" s="9" t="s">
        <v>1848</v>
      </c>
      <c r="AC223" s="8"/>
      <c r="AD223" s="8"/>
      <c r="AE223" s="8"/>
      <c r="AF223" s="8"/>
      <c r="AG223" s="8"/>
      <c r="AH223" s="8"/>
      <c r="AI223" s="8" t="n">
        <v>1</v>
      </c>
      <c r="AJ223" s="8" t="n">
        <v>1</v>
      </c>
      <c r="AK223" s="8" t="n">
        <v>0</v>
      </c>
      <c r="AL223" s="8" t="n">
        <v>0</v>
      </c>
      <c r="AM223" s="8" t="n">
        <v>0</v>
      </c>
      <c r="AN223" s="8" t="n">
        <v>0</v>
      </c>
      <c r="AO223" s="8" t="n">
        <v>0</v>
      </c>
      <c r="AP223" s="8" t="n">
        <v>0</v>
      </c>
      <c r="AQ223" s="8" t="n">
        <v>0</v>
      </c>
      <c r="AR223" s="8" t="n">
        <v>1</v>
      </c>
      <c r="AS223" s="8" t="n">
        <v>1</v>
      </c>
      <c r="AT223" s="8" t="n">
        <v>0</v>
      </c>
      <c r="AU223" s="8" t="n">
        <v>0</v>
      </c>
      <c r="AV223" s="8" t="n">
        <v>0</v>
      </c>
      <c r="AW223" s="8" t="n">
        <v>0</v>
      </c>
      <c r="AX223" s="8" t="n">
        <v>0</v>
      </c>
      <c r="AY223" s="8" t="n">
        <v>0</v>
      </c>
      <c r="AZ223" s="8" t="n">
        <v>0</v>
      </c>
      <c r="BA223" s="8" t="n">
        <v>0</v>
      </c>
      <c r="BB223" s="8" t="n">
        <v>0</v>
      </c>
      <c r="BC223" s="8" t="n">
        <v>170</v>
      </c>
      <c r="BD223" s="8" t="n">
        <v>0</v>
      </c>
      <c r="BE223" s="8" t="n">
        <v>0</v>
      </c>
      <c r="BF223" s="8" t="n">
        <v>0</v>
      </c>
      <c r="BG223" s="10" t="s">
        <v>1849</v>
      </c>
      <c r="BH223" s="9" t="s">
        <v>1850</v>
      </c>
    </row>
    <row r="224" customFormat="false" ht="15" hidden="false" customHeight="false" outlineLevel="0" collapsed="false">
      <c r="A224" s="8" t="s">
        <v>1851</v>
      </c>
      <c r="B224" s="8" t="s">
        <v>1852</v>
      </c>
      <c r="C224" s="8" t="n">
        <v>1</v>
      </c>
      <c r="D224" s="8"/>
      <c r="E224" s="8"/>
      <c r="F224" s="8" t="str">
        <f aca="false">IF(D224="","?",IF(D224&lt;1796,"pre-1796",IF(D224&lt;1912,"1796-1911",IF(D224&lt;1949,"1912-1948","1949+"))))</f>
        <v>?</v>
      </c>
      <c r="G224" s="8" t="str">
        <f aca="false">IF(D224="","?",IF(D224&lt;1912,"Qing",IF(D224&lt;1949,"Republic","PRC")))</f>
        <v>?</v>
      </c>
      <c r="H224" s="8"/>
      <c r="I224" s="9" t="s">
        <v>128</v>
      </c>
      <c r="J224" s="9" t="s">
        <v>175</v>
      </c>
      <c r="K224" s="8" t="s">
        <v>84</v>
      </c>
      <c r="L224" s="8"/>
      <c r="M224" s="9" t="s">
        <v>349</v>
      </c>
      <c r="N224" s="9" t="s">
        <v>1853</v>
      </c>
      <c r="O224" s="8" t="s">
        <v>1854</v>
      </c>
      <c r="P224" s="8" t="s">
        <v>97</v>
      </c>
      <c r="Q224" s="9" t="s">
        <v>352</v>
      </c>
      <c r="R224" s="9" t="s">
        <v>1855</v>
      </c>
      <c r="S224" s="9" t="s">
        <v>1856</v>
      </c>
      <c r="T224" s="8"/>
      <c r="U224" s="9" t="s">
        <v>1857</v>
      </c>
      <c r="V224" s="9" t="s">
        <v>1750</v>
      </c>
      <c r="W224" s="9" t="s">
        <v>1858</v>
      </c>
      <c r="X224" s="8"/>
      <c r="Y224" s="9" t="s">
        <v>198</v>
      </c>
      <c r="Z224" s="8"/>
      <c r="AA224" s="8"/>
      <c r="AB224" s="8"/>
      <c r="AC224" s="9" t="s">
        <v>1859</v>
      </c>
      <c r="AD224" s="8"/>
      <c r="AE224" s="8"/>
      <c r="AF224" s="8"/>
      <c r="AG224" s="8"/>
      <c r="AH224" s="8"/>
      <c r="AI224" s="8" t="n">
        <v>1</v>
      </c>
      <c r="AJ224" s="8" t="n">
        <v>0</v>
      </c>
      <c r="AK224" s="8" t="n">
        <v>1</v>
      </c>
      <c r="AL224" s="8" t="n">
        <v>0</v>
      </c>
      <c r="AM224" s="8" t="n">
        <v>1</v>
      </c>
      <c r="AN224" s="8" t="n">
        <v>1</v>
      </c>
      <c r="AO224" s="8" t="n">
        <v>1</v>
      </c>
      <c r="AP224" s="8" t="n">
        <v>1</v>
      </c>
      <c r="AQ224" s="8" t="n">
        <v>0</v>
      </c>
      <c r="AR224" s="8" t="n">
        <v>1</v>
      </c>
      <c r="AS224" s="8" t="n">
        <v>1</v>
      </c>
      <c r="AT224" s="8" t="n">
        <v>0</v>
      </c>
      <c r="AU224" s="8" t="n">
        <v>0</v>
      </c>
      <c r="AV224" s="8" t="n">
        <v>0</v>
      </c>
      <c r="AW224" s="8" t="n">
        <v>0</v>
      </c>
      <c r="AX224" s="8" t="n">
        <v>0</v>
      </c>
      <c r="AY224" s="8" t="n">
        <v>0</v>
      </c>
      <c r="AZ224" s="8" t="n">
        <v>0</v>
      </c>
      <c r="BA224" s="8" t="n">
        <v>0</v>
      </c>
      <c r="BB224" s="8" t="n">
        <v>0</v>
      </c>
      <c r="BC224" s="8" t="n">
        <v>300</v>
      </c>
      <c r="BD224" s="8" t="n">
        <v>1</v>
      </c>
      <c r="BE224" s="8" t="n">
        <v>0</v>
      </c>
      <c r="BF224" s="8" t="n">
        <v>0</v>
      </c>
      <c r="BG224" s="10" t="s">
        <v>1860</v>
      </c>
      <c r="BH224" s="9" t="s">
        <v>1861</v>
      </c>
    </row>
    <row r="225" customFormat="false" ht="15" hidden="false" customHeight="false" outlineLevel="0" collapsed="false">
      <c r="A225" s="8" t="s">
        <v>1862</v>
      </c>
      <c r="B225" s="8" t="s">
        <v>1863</v>
      </c>
      <c r="C225" s="8" t="n">
        <v>1</v>
      </c>
      <c r="D225" s="8" t="n">
        <v>1868</v>
      </c>
      <c r="E225" s="8" t="n">
        <v>1916</v>
      </c>
      <c r="F225" s="8" t="str">
        <f aca="false">IF(D225="","?",IF(D225&lt;1796,"pre-1796",IF(D225&lt;1912,"1796-1911",IF(D225&lt;1949,"1912-1948","1949+"))))</f>
        <v>1796-1911</v>
      </c>
      <c r="G225" s="8" t="str">
        <f aca="false">IF(D225="","?",IF(D225&lt;1912,"Qing",IF(D225&lt;1949,"Republic","PRC")))</f>
        <v>Qing</v>
      </c>
      <c r="H225" s="8" t="s">
        <v>1864</v>
      </c>
      <c r="I225" s="9" t="s">
        <v>128</v>
      </c>
      <c r="J225" s="9" t="s">
        <v>223</v>
      </c>
      <c r="K225" s="8" t="s">
        <v>84</v>
      </c>
      <c r="L225" s="8"/>
      <c r="M225" s="9" t="s">
        <v>1865</v>
      </c>
      <c r="N225" s="9" t="s">
        <v>1866</v>
      </c>
      <c r="O225" s="8" t="s">
        <v>1867</v>
      </c>
      <c r="P225" s="8" t="s">
        <v>133</v>
      </c>
      <c r="Q225" s="9" t="s">
        <v>300</v>
      </c>
      <c r="R225" s="9" t="s">
        <v>1868</v>
      </c>
      <c r="S225" s="9" t="s">
        <v>1865</v>
      </c>
      <c r="T225" s="9" t="s">
        <v>1869</v>
      </c>
      <c r="U225" s="9" t="s">
        <v>1870</v>
      </c>
      <c r="V225" s="8"/>
      <c r="W225" s="9" t="s">
        <v>1871</v>
      </c>
      <c r="X225" s="9" t="s">
        <v>1872</v>
      </c>
      <c r="Y225" s="8"/>
      <c r="Z225" s="9" t="s">
        <v>1873</v>
      </c>
      <c r="AA225" s="9" t="s">
        <v>1874</v>
      </c>
      <c r="AB225" s="9" t="s">
        <v>1875</v>
      </c>
      <c r="AC225" s="9" t="s">
        <v>1859</v>
      </c>
      <c r="AD225" s="9" t="s">
        <v>790</v>
      </c>
      <c r="AE225" s="8"/>
      <c r="AF225" s="8"/>
      <c r="AG225" s="8"/>
      <c r="AH225" s="8"/>
      <c r="AI225" s="8" t="n">
        <v>1</v>
      </c>
      <c r="AJ225" s="8" t="n">
        <v>0</v>
      </c>
      <c r="AK225" s="8" t="n">
        <v>1</v>
      </c>
      <c r="AL225" s="8" t="n">
        <v>1</v>
      </c>
      <c r="AM225" s="8" t="n">
        <v>1</v>
      </c>
      <c r="AN225" s="8" t="n">
        <v>1</v>
      </c>
      <c r="AO225" s="8" t="n">
        <v>1</v>
      </c>
      <c r="AP225" s="8" t="n">
        <v>1</v>
      </c>
      <c r="AQ225" s="8" t="n">
        <v>0</v>
      </c>
      <c r="AR225" s="8" t="n">
        <v>1</v>
      </c>
      <c r="AS225" s="8" t="n">
        <v>1</v>
      </c>
      <c r="AT225" s="8" t="n">
        <v>1</v>
      </c>
      <c r="AU225" s="8" t="n">
        <v>0</v>
      </c>
      <c r="AV225" s="8" t="n">
        <v>0</v>
      </c>
      <c r="AW225" s="8" t="n">
        <v>1</v>
      </c>
      <c r="AX225" s="8" t="n">
        <v>0</v>
      </c>
      <c r="AY225" s="8" t="n">
        <v>0</v>
      </c>
      <c r="AZ225" s="8" t="n">
        <v>0</v>
      </c>
      <c r="BA225" s="8" t="n">
        <v>0</v>
      </c>
      <c r="BB225" s="8" t="n">
        <v>0</v>
      </c>
      <c r="BC225" s="8" t="n">
        <v>382</v>
      </c>
      <c r="BD225" s="8" t="n">
        <v>0</v>
      </c>
      <c r="BE225" s="8" t="n">
        <v>0</v>
      </c>
      <c r="BF225" s="8" t="n">
        <v>0</v>
      </c>
      <c r="BG225" s="10" t="s">
        <v>1876</v>
      </c>
      <c r="BH225" s="9" t="s">
        <v>1877</v>
      </c>
    </row>
    <row r="226" customFormat="false" ht="15" hidden="false" customHeight="false" outlineLevel="0" collapsed="false">
      <c r="A226" s="8" t="s">
        <v>1878</v>
      </c>
      <c r="B226" s="8" t="s">
        <v>1863</v>
      </c>
      <c r="C226" s="8" t="n">
        <v>2</v>
      </c>
      <c r="D226" s="8" t="n">
        <v>1868</v>
      </c>
      <c r="E226" s="8" t="n">
        <v>1916</v>
      </c>
      <c r="F226" s="8" t="str">
        <f aca="false">IF(D226="","?",IF(D226&lt;1796,"pre-1796",IF(D226&lt;1912,"1796-1911",IF(D226&lt;1949,"1912-1948","1949+"))))</f>
        <v>1796-1911</v>
      </c>
      <c r="G226" s="8" t="str">
        <f aca="false">IF(D226="","?",IF(D226&lt;1912,"Qing",IF(D226&lt;1949,"Republic","PRC")))</f>
        <v>Qing</v>
      </c>
      <c r="H226" s="8" t="s">
        <v>1864</v>
      </c>
      <c r="I226" s="9" t="s">
        <v>128</v>
      </c>
      <c r="J226" s="9" t="s">
        <v>223</v>
      </c>
      <c r="K226" s="8" t="s">
        <v>84</v>
      </c>
      <c r="L226" s="8"/>
      <c r="M226" s="9" t="s">
        <v>1865</v>
      </c>
      <c r="N226" s="9" t="s">
        <v>1866</v>
      </c>
      <c r="O226" s="8" t="s">
        <v>1867</v>
      </c>
      <c r="P226" s="8" t="s">
        <v>133</v>
      </c>
      <c r="Q226" s="9" t="s">
        <v>1879</v>
      </c>
      <c r="R226" s="9" t="s">
        <v>1880</v>
      </c>
      <c r="S226" s="9" t="s">
        <v>1865</v>
      </c>
      <c r="T226" s="9" t="s">
        <v>1881</v>
      </c>
      <c r="U226" s="8"/>
      <c r="V226" s="8"/>
      <c r="W226" s="9" t="s">
        <v>1882</v>
      </c>
      <c r="X226" s="9" t="s">
        <v>1883</v>
      </c>
      <c r="Y226" s="8"/>
      <c r="Z226" s="9" t="s">
        <v>1884</v>
      </c>
      <c r="AA226" s="8"/>
      <c r="AB226" s="9" t="s">
        <v>1885</v>
      </c>
      <c r="AC226" s="9" t="s">
        <v>1886</v>
      </c>
      <c r="AD226" s="8"/>
      <c r="AE226" s="8"/>
      <c r="AF226" s="8"/>
      <c r="AG226" s="8"/>
      <c r="AH226" s="8"/>
      <c r="AI226" s="8" t="n">
        <v>1</v>
      </c>
      <c r="AJ226" s="8" t="n">
        <v>1</v>
      </c>
      <c r="AK226" s="8" t="n">
        <v>1</v>
      </c>
      <c r="AL226" s="8" t="n">
        <v>1</v>
      </c>
      <c r="AM226" s="8" t="n">
        <v>1</v>
      </c>
      <c r="AN226" s="8" t="n">
        <v>0</v>
      </c>
      <c r="AO226" s="8" t="n">
        <v>0</v>
      </c>
      <c r="AP226" s="8" t="n">
        <v>0</v>
      </c>
      <c r="AQ226" s="8" t="n">
        <v>1</v>
      </c>
      <c r="AR226" s="8" t="n">
        <v>1</v>
      </c>
      <c r="AS226" s="8" t="n">
        <v>1</v>
      </c>
      <c r="AT226" s="8" t="n">
        <v>0</v>
      </c>
      <c r="AU226" s="8" t="n">
        <v>0</v>
      </c>
      <c r="AV226" s="8" t="n">
        <v>0</v>
      </c>
      <c r="AW226" s="8" t="n">
        <v>0</v>
      </c>
      <c r="AX226" s="8" t="n">
        <v>0</v>
      </c>
      <c r="AY226" s="8" t="n">
        <v>0</v>
      </c>
      <c r="AZ226" s="8" t="n">
        <v>0</v>
      </c>
      <c r="BA226" s="8" t="n">
        <v>0</v>
      </c>
      <c r="BB226" s="8" t="n">
        <v>0</v>
      </c>
      <c r="BC226" s="8" t="n">
        <v>269</v>
      </c>
      <c r="BD226" s="8" t="n">
        <v>0</v>
      </c>
      <c r="BE226" s="8" t="n">
        <v>0</v>
      </c>
      <c r="BF226" s="8" t="n">
        <v>0</v>
      </c>
      <c r="BG226" s="10" t="s">
        <v>1876</v>
      </c>
      <c r="BH226" s="9" t="s">
        <v>1887</v>
      </c>
    </row>
    <row r="227" customFormat="false" ht="15" hidden="false" customHeight="false" outlineLevel="0" collapsed="false">
      <c r="A227" s="8" t="s">
        <v>1888</v>
      </c>
      <c r="B227" s="8" t="s">
        <v>1863</v>
      </c>
      <c r="C227" s="8" t="n">
        <v>3</v>
      </c>
      <c r="D227" s="8" t="n">
        <v>1868</v>
      </c>
      <c r="E227" s="8" t="n">
        <v>1916</v>
      </c>
      <c r="F227" s="8" t="str">
        <f aca="false">IF(D227="","?",IF(D227&lt;1796,"pre-1796",IF(D227&lt;1912,"1796-1911",IF(D227&lt;1949,"1912-1948","1949+"))))</f>
        <v>1796-1911</v>
      </c>
      <c r="G227" s="8" t="str">
        <f aca="false">IF(D227="","?",IF(D227&lt;1912,"Qing",IF(D227&lt;1949,"Republic","PRC")))</f>
        <v>Qing</v>
      </c>
      <c r="H227" s="8" t="s">
        <v>1864</v>
      </c>
      <c r="I227" s="9" t="s">
        <v>128</v>
      </c>
      <c r="J227" s="9" t="s">
        <v>223</v>
      </c>
      <c r="K227" s="8" t="s">
        <v>84</v>
      </c>
      <c r="L227" s="8"/>
      <c r="M227" s="9" t="s">
        <v>1865</v>
      </c>
      <c r="N227" s="9" t="s">
        <v>1866</v>
      </c>
      <c r="O227" s="8" t="s">
        <v>1867</v>
      </c>
      <c r="P227" s="8" t="s">
        <v>114</v>
      </c>
      <c r="Q227" s="8"/>
      <c r="R227" s="9" t="s">
        <v>1889</v>
      </c>
      <c r="S227" s="8"/>
      <c r="T227" s="8"/>
      <c r="U227" s="9" t="s">
        <v>1890</v>
      </c>
      <c r="V227" s="8"/>
      <c r="W227" s="9" t="s">
        <v>1891</v>
      </c>
      <c r="X227" s="8"/>
      <c r="Y227" s="8"/>
      <c r="Z227" s="9" t="s">
        <v>1892</v>
      </c>
      <c r="AA227" s="8"/>
      <c r="AB227" s="8"/>
      <c r="AC227" s="8"/>
      <c r="AD227" s="8"/>
      <c r="AE227" s="9" t="s">
        <v>120</v>
      </c>
      <c r="AF227" s="9" t="s">
        <v>120</v>
      </c>
      <c r="AG227" s="9" t="s">
        <v>1893</v>
      </c>
      <c r="AH227" s="9" t="s">
        <v>1894</v>
      </c>
      <c r="AI227" s="8" t="n">
        <v>0</v>
      </c>
      <c r="AJ227" s="8" t="n">
        <v>0</v>
      </c>
      <c r="AK227" s="8" t="n">
        <v>0</v>
      </c>
      <c r="AL227" s="8" t="n">
        <v>0</v>
      </c>
      <c r="AM227" s="8" t="n">
        <v>0</v>
      </c>
      <c r="AN227" s="8" t="n">
        <v>0</v>
      </c>
      <c r="AO227" s="8" t="n">
        <v>0</v>
      </c>
      <c r="AP227" s="8" t="n">
        <v>0</v>
      </c>
      <c r="AQ227" s="8" t="n">
        <v>0</v>
      </c>
      <c r="AR227" s="8" t="n">
        <v>0</v>
      </c>
      <c r="AS227" s="8" t="n">
        <v>0</v>
      </c>
      <c r="AT227" s="8" t="n">
        <v>0</v>
      </c>
      <c r="AU227" s="8" t="n">
        <v>0</v>
      </c>
      <c r="AV227" s="8" t="n">
        <v>0</v>
      </c>
      <c r="AW227" s="8" t="n">
        <v>1</v>
      </c>
      <c r="AX227" s="8" t="n">
        <v>1</v>
      </c>
      <c r="AY227" s="8" t="n">
        <v>1</v>
      </c>
      <c r="AZ227" s="8" t="n">
        <v>1</v>
      </c>
      <c r="BA227" s="8" t="n">
        <v>0</v>
      </c>
      <c r="BB227" s="8" t="n">
        <v>0</v>
      </c>
      <c r="BC227" s="8" t="n">
        <v>412</v>
      </c>
      <c r="BD227" s="8" t="n">
        <v>1</v>
      </c>
      <c r="BE227" s="8" t="n">
        <v>0</v>
      </c>
      <c r="BF227" s="8" t="n">
        <v>0</v>
      </c>
      <c r="BG227" s="10" t="s">
        <v>1876</v>
      </c>
      <c r="BH227" s="9" t="s">
        <v>1895</v>
      </c>
    </row>
    <row r="228" customFormat="false" ht="15" hidden="false" customHeight="false" outlineLevel="0" collapsed="false">
      <c r="A228" s="8" t="s">
        <v>1896</v>
      </c>
      <c r="B228" s="8" t="s">
        <v>1897</v>
      </c>
      <c r="C228" s="8" t="n">
        <v>1</v>
      </c>
      <c r="D228" s="8" t="n">
        <v>1945</v>
      </c>
      <c r="E228" s="8" t="n">
        <v>1945</v>
      </c>
      <c r="F228" s="8" t="str">
        <f aca="false">IF(D228="","?",IF(D228&lt;1796,"pre-1796",IF(D228&lt;1912,"1796-1911",IF(D228&lt;1949,"1912-1948","1949+"))))</f>
        <v>1912-1948</v>
      </c>
      <c r="G228" s="8" t="str">
        <f aca="false">IF(D228="","?",IF(D228&lt;1912,"Qing",IF(D228&lt;1949,"Republic","PRC")))</f>
        <v>Republic</v>
      </c>
      <c r="H228" s="8" t="s">
        <v>465</v>
      </c>
      <c r="I228" s="9" t="s">
        <v>128</v>
      </c>
      <c r="J228" s="9" t="s">
        <v>1517</v>
      </c>
      <c r="K228" s="8" t="s">
        <v>84</v>
      </c>
      <c r="L228" s="9" t="s">
        <v>1704</v>
      </c>
      <c r="M228" s="8"/>
      <c r="N228" s="8"/>
      <c r="O228" s="8" t="s">
        <v>1898</v>
      </c>
      <c r="P228" s="8" t="s">
        <v>87</v>
      </c>
      <c r="Q228" s="8"/>
      <c r="R228" s="9" t="s">
        <v>1899</v>
      </c>
      <c r="S228" s="8"/>
      <c r="T228" s="8"/>
      <c r="U228" s="8"/>
      <c r="V228" s="9" t="s">
        <v>1508</v>
      </c>
      <c r="W228" s="8"/>
      <c r="X228" s="8"/>
      <c r="Y228" s="8"/>
      <c r="Z228" s="8"/>
      <c r="AA228" s="8"/>
      <c r="AB228" s="8"/>
      <c r="AC228" s="8"/>
      <c r="AD228" s="8"/>
      <c r="AE228" s="8"/>
      <c r="AF228" s="8"/>
      <c r="AG228" s="8"/>
      <c r="AH228" s="8"/>
      <c r="AI228" s="8" t="n">
        <v>0</v>
      </c>
      <c r="AJ228" s="8" t="n">
        <v>0</v>
      </c>
      <c r="AK228" s="8" t="n">
        <v>0</v>
      </c>
      <c r="AL228" s="8" t="n">
        <v>0</v>
      </c>
      <c r="AM228" s="8" t="n">
        <v>0</v>
      </c>
      <c r="AN228" s="8" t="n">
        <v>0</v>
      </c>
      <c r="AO228" s="8" t="n">
        <v>0</v>
      </c>
      <c r="AP228" s="8" t="n">
        <v>0</v>
      </c>
      <c r="AQ228" s="8" t="n">
        <v>0</v>
      </c>
      <c r="AR228" s="8" t="n">
        <v>0</v>
      </c>
      <c r="AS228" s="8" t="n">
        <v>0</v>
      </c>
      <c r="AT228" s="8" t="n">
        <v>0</v>
      </c>
      <c r="AU228" s="8" t="n">
        <v>0</v>
      </c>
      <c r="AV228" s="8" t="n">
        <v>0</v>
      </c>
      <c r="AW228" s="8" t="n">
        <v>0</v>
      </c>
      <c r="AX228" s="8" t="n">
        <v>0</v>
      </c>
      <c r="AY228" s="8" t="n">
        <v>0</v>
      </c>
      <c r="AZ228" s="8" t="n">
        <v>0</v>
      </c>
      <c r="BA228" s="8" t="n">
        <v>0</v>
      </c>
      <c r="BB228" s="8" t="n">
        <v>0</v>
      </c>
      <c r="BC228" s="8" t="n">
        <v>353</v>
      </c>
      <c r="BD228" s="8" t="n">
        <v>0</v>
      </c>
      <c r="BE228" s="8" t="n">
        <v>0</v>
      </c>
      <c r="BF228" s="8" t="n">
        <v>0</v>
      </c>
      <c r="BG228" s="10" t="s">
        <v>1900</v>
      </c>
      <c r="BH228" s="8" t="s">
        <v>1901</v>
      </c>
    </row>
    <row r="229" customFormat="false" ht="15" hidden="false" customHeight="false" outlineLevel="0" collapsed="false">
      <c r="A229" s="8" t="s">
        <v>1902</v>
      </c>
      <c r="B229" s="8" t="s">
        <v>1903</v>
      </c>
      <c r="C229" s="8" t="n">
        <v>1</v>
      </c>
      <c r="D229" s="8" t="n">
        <v>1946</v>
      </c>
      <c r="E229" s="8" t="n">
        <v>1946</v>
      </c>
      <c r="F229" s="8" t="str">
        <f aca="false">IF(D229="","?",IF(D229&lt;1796,"pre-1796",IF(D229&lt;1912,"1796-1911",IF(D229&lt;1949,"1912-1948","1949+"))))</f>
        <v>1912-1948</v>
      </c>
      <c r="G229" s="8" t="str">
        <f aca="false">IF(D229="","?",IF(D229&lt;1912,"Qing",IF(D229&lt;1949,"Republic","PRC")))</f>
        <v>Republic</v>
      </c>
      <c r="H229" s="8" t="s">
        <v>1822</v>
      </c>
      <c r="I229" s="9" t="s">
        <v>128</v>
      </c>
      <c r="J229" s="9" t="s">
        <v>1517</v>
      </c>
      <c r="K229" s="8" t="s">
        <v>84</v>
      </c>
      <c r="L229" s="9" t="s">
        <v>1823</v>
      </c>
      <c r="M229" s="8"/>
      <c r="N229" s="8"/>
      <c r="O229" s="8" t="s">
        <v>1904</v>
      </c>
      <c r="P229" s="8" t="s">
        <v>114</v>
      </c>
      <c r="Q229" s="8"/>
      <c r="R229" s="8"/>
      <c r="S229" s="8"/>
      <c r="T229" s="8"/>
      <c r="U229" s="8"/>
      <c r="V229" s="9" t="s">
        <v>1508</v>
      </c>
      <c r="W229" s="8"/>
      <c r="X229" s="8"/>
      <c r="Y229" s="8"/>
      <c r="Z229" s="8"/>
      <c r="AA229" s="8"/>
      <c r="AB229" s="8"/>
      <c r="AC229" s="8"/>
      <c r="AD229" s="8"/>
      <c r="AE229" s="9" t="s">
        <v>1905</v>
      </c>
      <c r="AF229" s="8"/>
      <c r="AG229" s="8"/>
      <c r="AH229" s="8"/>
      <c r="AI229" s="8" t="n">
        <v>0</v>
      </c>
      <c r="AJ229" s="8" t="n">
        <v>0</v>
      </c>
      <c r="AK229" s="8" t="n">
        <v>0</v>
      </c>
      <c r="AL229" s="8" t="n">
        <v>0</v>
      </c>
      <c r="AM229" s="8" t="n">
        <v>0</v>
      </c>
      <c r="AN229" s="8" t="n">
        <v>0</v>
      </c>
      <c r="AO229" s="8" t="n">
        <v>0</v>
      </c>
      <c r="AP229" s="8" t="n">
        <v>0</v>
      </c>
      <c r="AQ229" s="8" t="n">
        <v>0</v>
      </c>
      <c r="AR229" s="8" t="n">
        <v>0</v>
      </c>
      <c r="AS229" s="8" t="n">
        <v>0</v>
      </c>
      <c r="AT229" s="8" t="n">
        <v>0</v>
      </c>
      <c r="AU229" s="8" t="n">
        <v>0</v>
      </c>
      <c r="AV229" s="8" t="n">
        <v>0</v>
      </c>
      <c r="AW229" s="8" t="n">
        <v>0</v>
      </c>
      <c r="AX229" s="8" t="n">
        <v>0</v>
      </c>
      <c r="AY229" s="8" t="n">
        <v>0</v>
      </c>
      <c r="AZ229" s="8" t="n">
        <v>0</v>
      </c>
      <c r="BA229" s="8" t="n">
        <v>1</v>
      </c>
      <c r="BB229" s="8" t="n">
        <v>0</v>
      </c>
      <c r="BC229" s="8" t="n">
        <v>387</v>
      </c>
      <c r="BD229" s="8" t="n">
        <v>0</v>
      </c>
      <c r="BE229" s="8" t="n">
        <v>0</v>
      </c>
      <c r="BF229" s="8" t="n">
        <v>0</v>
      </c>
      <c r="BG229" s="10" t="s">
        <v>1906</v>
      </c>
      <c r="BH229" s="9" t="s">
        <v>1907</v>
      </c>
    </row>
    <row r="230" customFormat="false" ht="15" hidden="false" customHeight="false" outlineLevel="0" collapsed="false">
      <c r="A230" s="8" t="s">
        <v>1908</v>
      </c>
      <c r="B230" s="8" t="s">
        <v>1909</v>
      </c>
      <c r="C230" s="8" t="n">
        <v>1</v>
      </c>
      <c r="D230" s="8" t="n">
        <v>1946</v>
      </c>
      <c r="E230" s="8" t="n">
        <v>1946</v>
      </c>
      <c r="F230" s="8" t="str">
        <f aca="false">IF(D230="","?",IF(D230&lt;1796,"pre-1796",IF(D230&lt;1912,"1796-1911",IF(D230&lt;1949,"1912-1948","1949+"))))</f>
        <v>1912-1948</v>
      </c>
      <c r="G230" s="8" t="str">
        <f aca="false">IF(D230="","?",IF(D230&lt;1912,"Qing",IF(D230&lt;1949,"Republic","PRC")))</f>
        <v>Republic</v>
      </c>
      <c r="H230" s="8" t="s">
        <v>1822</v>
      </c>
      <c r="I230" s="9" t="s">
        <v>128</v>
      </c>
      <c r="J230" s="9" t="s">
        <v>1517</v>
      </c>
      <c r="K230" s="8" t="s">
        <v>84</v>
      </c>
      <c r="L230" s="9" t="s">
        <v>1910</v>
      </c>
      <c r="M230" s="8"/>
      <c r="N230" s="8"/>
      <c r="O230" s="8" t="s">
        <v>1911</v>
      </c>
      <c r="P230" s="8" t="s">
        <v>87</v>
      </c>
      <c r="Q230" s="8"/>
      <c r="R230" s="8"/>
      <c r="S230" s="8"/>
      <c r="T230" s="8"/>
      <c r="U230" s="8"/>
      <c r="V230" s="9" t="s">
        <v>1508</v>
      </c>
      <c r="W230" s="8"/>
      <c r="X230" s="8"/>
      <c r="Y230" s="8"/>
      <c r="Z230" s="8"/>
      <c r="AA230" s="8"/>
      <c r="AB230" s="8"/>
      <c r="AC230" s="8"/>
      <c r="AD230" s="8"/>
      <c r="AE230" s="9" t="s">
        <v>1912</v>
      </c>
      <c r="AF230" s="8"/>
      <c r="AG230" s="8"/>
      <c r="AH230" s="8"/>
      <c r="AI230" s="8" t="n">
        <v>0</v>
      </c>
      <c r="AJ230" s="8" t="n">
        <v>0</v>
      </c>
      <c r="AK230" s="8" t="n">
        <v>0</v>
      </c>
      <c r="AL230" s="8" t="n">
        <v>0</v>
      </c>
      <c r="AM230" s="8" t="n">
        <v>0</v>
      </c>
      <c r="AN230" s="8" t="n">
        <v>0</v>
      </c>
      <c r="AO230" s="8" t="n">
        <v>0</v>
      </c>
      <c r="AP230" s="8" t="n">
        <v>0</v>
      </c>
      <c r="AQ230" s="8" t="n">
        <v>0</v>
      </c>
      <c r="AR230" s="8" t="n">
        <v>0</v>
      </c>
      <c r="AS230" s="8" t="n">
        <v>0</v>
      </c>
      <c r="AT230" s="8" t="n">
        <v>0</v>
      </c>
      <c r="AU230" s="8" t="n">
        <v>0</v>
      </c>
      <c r="AV230" s="8" t="n">
        <v>0</v>
      </c>
      <c r="AW230" s="8" t="n">
        <v>0</v>
      </c>
      <c r="AX230" s="8" t="n">
        <v>0</v>
      </c>
      <c r="AY230" s="8" t="n">
        <v>0</v>
      </c>
      <c r="AZ230" s="8" t="n">
        <v>0</v>
      </c>
      <c r="BA230" s="8" t="n">
        <v>1</v>
      </c>
      <c r="BB230" s="8" t="n">
        <v>0</v>
      </c>
      <c r="BC230" s="8" t="n">
        <v>346</v>
      </c>
      <c r="BD230" s="8" t="n">
        <v>0</v>
      </c>
      <c r="BE230" s="8" t="n">
        <v>0</v>
      </c>
      <c r="BF230" s="8" t="n">
        <v>0</v>
      </c>
      <c r="BG230" s="10" t="s">
        <v>1913</v>
      </c>
      <c r="BH230" s="9" t="s">
        <v>1914</v>
      </c>
    </row>
    <row r="231" customFormat="false" ht="15" hidden="false" customHeight="false" outlineLevel="0" collapsed="false">
      <c r="A231" s="8" t="s">
        <v>1915</v>
      </c>
      <c r="B231" s="8" t="s">
        <v>1916</v>
      </c>
      <c r="C231" s="8" t="n">
        <v>1</v>
      </c>
      <c r="D231" s="8" t="n">
        <v>1839</v>
      </c>
      <c r="E231" s="8" t="n">
        <v>1839</v>
      </c>
      <c r="F231" s="8" t="str">
        <f aca="false">IF(D231="","?",IF(D231&lt;1796,"pre-1796",IF(D231&lt;1912,"1796-1911",IF(D231&lt;1949,"1912-1948","1949+"))))</f>
        <v>1796-1911</v>
      </c>
      <c r="G231" s="8" t="str">
        <f aca="false">IF(D231="","?",IF(D231&lt;1912,"Qing",IF(D231&lt;1949,"Republic","PRC")))</f>
        <v>Qing</v>
      </c>
      <c r="H231" s="8" t="s">
        <v>1917</v>
      </c>
      <c r="I231" s="9" t="s">
        <v>110</v>
      </c>
      <c r="J231" s="9" t="s">
        <v>111</v>
      </c>
      <c r="K231" s="8" t="s">
        <v>84</v>
      </c>
      <c r="L231" s="8"/>
      <c r="M231" s="9" t="s">
        <v>1918</v>
      </c>
      <c r="N231" s="9" t="s">
        <v>1919</v>
      </c>
      <c r="O231" s="8" t="s">
        <v>1920</v>
      </c>
      <c r="P231" s="8" t="s">
        <v>133</v>
      </c>
      <c r="Q231" s="9" t="s">
        <v>300</v>
      </c>
      <c r="R231" s="9" t="s">
        <v>1921</v>
      </c>
      <c r="S231" s="9" t="s">
        <v>1918</v>
      </c>
      <c r="T231" s="8"/>
      <c r="U231" s="9" t="s">
        <v>1922</v>
      </c>
      <c r="V231" s="8"/>
      <c r="W231" s="9" t="s">
        <v>1923</v>
      </c>
      <c r="X231" s="9" t="s">
        <v>1924</v>
      </c>
      <c r="Y231" s="8"/>
      <c r="Z231" s="9" t="s">
        <v>1925</v>
      </c>
      <c r="AA231" s="8"/>
      <c r="AB231" s="9" t="s">
        <v>1926</v>
      </c>
      <c r="AC231" s="8"/>
      <c r="AD231" s="8"/>
      <c r="AE231" s="8"/>
      <c r="AF231" s="8"/>
      <c r="AG231" s="8"/>
      <c r="AH231" s="8"/>
      <c r="AI231" s="8" t="n">
        <v>1</v>
      </c>
      <c r="AJ231" s="8" t="n">
        <v>1</v>
      </c>
      <c r="AK231" s="8" t="n">
        <v>1</v>
      </c>
      <c r="AL231" s="8" t="n">
        <v>1</v>
      </c>
      <c r="AM231" s="8" t="n">
        <v>1</v>
      </c>
      <c r="AN231" s="8" t="n">
        <v>1</v>
      </c>
      <c r="AO231" s="8" t="n">
        <v>1</v>
      </c>
      <c r="AP231" s="8" t="n">
        <v>1</v>
      </c>
      <c r="AQ231" s="8" t="n">
        <v>0</v>
      </c>
      <c r="AR231" s="8" t="n">
        <v>0</v>
      </c>
      <c r="AS231" s="8" t="n">
        <v>1</v>
      </c>
      <c r="AT231" s="8" t="n">
        <v>1</v>
      </c>
      <c r="AU231" s="8" t="n">
        <v>0</v>
      </c>
      <c r="AV231" s="8" t="n">
        <v>0</v>
      </c>
      <c r="AW231" s="8" t="n">
        <v>0</v>
      </c>
      <c r="AX231" s="8" t="n">
        <v>0</v>
      </c>
      <c r="AY231" s="8" t="n">
        <v>0</v>
      </c>
      <c r="AZ231" s="8" t="n">
        <v>0</v>
      </c>
      <c r="BA231" s="8" t="n">
        <v>0</v>
      </c>
      <c r="BB231" s="8" t="n">
        <v>0</v>
      </c>
      <c r="BC231" s="8" t="n">
        <v>363</v>
      </c>
      <c r="BD231" s="8" t="n">
        <v>0</v>
      </c>
      <c r="BE231" s="8" t="n">
        <v>0</v>
      </c>
      <c r="BF231" s="8" t="n">
        <v>0</v>
      </c>
      <c r="BG231" s="10" t="s">
        <v>1927</v>
      </c>
      <c r="BH231" s="9" t="s">
        <v>1928</v>
      </c>
    </row>
    <row r="232" customFormat="false" ht="15" hidden="false" customHeight="false" outlineLevel="0" collapsed="false">
      <c r="A232" s="8" t="s">
        <v>1929</v>
      </c>
      <c r="B232" s="8" t="s">
        <v>1930</v>
      </c>
      <c r="C232" s="8" t="n">
        <v>1</v>
      </c>
      <c r="D232" s="8" t="n">
        <v>1802</v>
      </c>
      <c r="E232" s="8" t="n">
        <v>1802</v>
      </c>
      <c r="F232" s="8" t="str">
        <f aca="false">IF(D232="","?",IF(D232&lt;1796,"pre-1796",IF(D232&lt;1912,"1796-1911",IF(D232&lt;1949,"1912-1948","1949+"))))</f>
        <v>1796-1911</v>
      </c>
      <c r="G232" s="8" t="str">
        <f aca="false">IF(D232="","?",IF(D232&lt;1912,"Qing",IF(D232&lt;1949,"Republic","PRC")))</f>
        <v>Qing</v>
      </c>
      <c r="H232" s="8" t="s">
        <v>1931</v>
      </c>
      <c r="I232" s="9" t="s">
        <v>296</v>
      </c>
      <c r="J232" s="9" t="s">
        <v>297</v>
      </c>
      <c r="K232" s="8" t="s">
        <v>130</v>
      </c>
      <c r="L232" s="8"/>
      <c r="M232" s="9" t="s">
        <v>1932</v>
      </c>
      <c r="N232" s="8"/>
      <c r="O232" s="8" t="s">
        <v>1933</v>
      </c>
      <c r="P232" s="8" t="s">
        <v>133</v>
      </c>
      <c r="Q232" s="9" t="s">
        <v>1934</v>
      </c>
      <c r="R232" s="9" t="s">
        <v>1935</v>
      </c>
      <c r="S232" s="9" t="s">
        <v>1936</v>
      </c>
      <c r="T232" s="9" t="s">
        <v>1937</v>
      </c>
      <c r="U232" s="9" t="s">
        <v>1938</v>
      </c>
      <c r="V232" s="9" t="s">
        <v>1750</v>
      </c>
      <c r="W232" s="9" t="s">
        <v>1939</v>
      </c>
      <c r="X232" s="9" t="s">
        <v>1940</v>
      </c>
      <c r="Y232" s="9" t="s">
        <v>306</v>
      </c>
      <c r="Z232" s="9" t="s">
        <v>1941</v>
      </c>
      <c r="AA232" s="8"/>
      <c r="AB232" s="8"/>
      <c r="AC232" s="8"/>
      <c r="AD232" s="8"/>
      <c r="AE232" s="8"/>
      <c r="AF232" s="8"/>
      <c r="AG232" s="8"/>
      <c r="AH232" s="8"/>
      <c r="AI232" s="8" t="n">
        <v>1</v>
      </c>
      <c r="AJ232" s="8" t="n">
        <v>0</v>
      </c>
      <c r="AK232" s="8" t="n">
        <v>1</v>
      </c>
      <c r="AL232" s="8" t="n">
        <v>0</v>
      </c>
      <c r="AM232" s="8" t="n">
        <v>1</v>
      </c>
      <c r="AN232" s="8" t="n">
        <v>0</v>
      </c>
      <c r="AO232" s="8" t="n">
        <v>0</v>
      </c>
      <c r="AP232" s="8" t="n">
        <v>1</v>
      </c>
      <c r="AQ232" s="8" t="n">
        <v>0</v>
      </c>
      <c r="AR232" s="8" t="n">
        <v>0</v>
      </c>
      <c r="AS232" s="8" t="n">
        <v>1</v>
      </c>
      <c r="AT232" s="8" t="n">
        <v>0</v>
      </c>
      <c r="AU232" s="8" t="n">
        <v>0</v>
      </c>
      <c r="AV232" s="8" t="n">
        <v>0</v>
      </c>
      <c r="AW232" s="8" t="n">
        <v>0</v>
      </c>
      <c r="AX232" s="8" t="n">
        <v>0</v>
      </c>
      <c r="AY232" s="8" t="n">
        <v>0</v>
      </c>
      <c r="AZ232" s="8" t="n">
        <v>0</v>
      </c>
      <c r="BA232" s="8" t="n">
        <v>0</v>
      </c>
      <c r="BB232" s="8" t="n">
        <v>0</v>
      </c>
      <c r="BC232" s="8" t="n">
        <v>192</v>
      </c>
      <c r="BD232" s="8" t="n">
        <v>0</v>
      </c>
      <c r="BE232" s="8" t="n">
        <v>0</v>
      </c>
      <c r="BF232" s="8" t="n">
        <v>0</v>
      </c>
      <c r="BG232" s="10" t="s">
        <v>1942</v>
      </c>
      <c r="BH232" s="9" t="s">
        <v>1943</v>
      </c>
    </row>
    <row r="233" customFormat="false" ht="15" hidden="false" customHeight="false" outlineLevel="0" collapsed="false">
      <c r="A233" s="8" t="s">
        <v>1944</v>
      </c>
      <c r="B233" s="8" t="s">
        <v>1945</v>
      </c>
      <c r="C233" s="8" t="n">
        <v>1</v>
      </c>
      <c r="D233" s="8" t="n">
        <v>1913</v>
      </c>
      <c r="E233" s="8" t="n">
        <v>1913</v>
      </c>
      <c r="F233" s="8" t="str">
        <f aca="false">IF(D233="","?",IF(D233&lt;1796,"pre-1796",IF(D233&lt;1912,"1796-1911",IF(D233&lt;1949,"1912-1948","1949+"))))</f>
        <v>1912-1948</v>
      </c>
      <c r="G233" s="8" t="str">
        <f aca="false">IF(D233="","?",IF(D233&lt;1912,"Qing",IF(D233&lt;1949,"Republic","PRC")))</f>
        <v>Republic</v>
      </c>
      <c r="H233" s="8" t="s">
        <v>573</v>
      </c>
      <c r="I233" s="9" t="s">
        <v>296</v>
      </c>
      <c r="J233" s="9" t="s">
        <v>297</v>
      </c>
      <c r="K233" s="8" t="s">
        <v>84</v>
      </c>
      <c r="L233" s="8"/>
      <c r="M233" s="9" t="s">
        <v>1946</v>
      </c>
      <c r="N233" s="9" t="s">
        <v>1947</v>
      </c>
      <c r="O233" s="8" t="s">
        <v>1948</v>
      </c>
      <c r="P233" s="8" t="s">
        <v>114</v>
      </c>
      <c r="Q233" s="9" t="s">
        <v>115</v>
      </c>
      <c r="R233" s="9" t="s">
        <v>1949</v>
      </c>
      <c r="S233" s="8"/>
      <c r="T233" s="8"/>
      <c r="U233" s="9" t="s">
        <v>1950</v>
      </c>
      <c r="V233" s="8"/>
      <c r="W233" s="9" t="s">
        <v>1951</v>
      </c>
      <c r="X233" s="8"/>
      <c r="Y233" s="8"/>
      <c r="Z233" s="8"/>
      <c r="AA233" s="8"/>
      <c r="AB233" s="8"/>
      <c r="AC233" s="8"/>
      <c r="AD233" s="8"/>
      <c r="AE233" s="9" t="s">
        <v>1952</v>
      </c>
      <c r="AF233" s="9" t="s">
        <v>399</v>
      </c>
      <c r="AG233" s="9" t="s">
        <v>1947</v>
      </c>
      <c r="AH233" s="9" t="s">
        <v>1953</v>
      </c>
      <c r="AI233" s="8" t="n">
        <v>0</v>
      </c>
      <c r="AJ233" s="8" t="n">
        <v>0</v>
      </c>
      <c r="AK233" s="8" t="n">
        <v>0</v>
      </c>
      <c r="AL233" s="8" t="n">
        <v>0</v>
      </c>
      <c r="AM233" s="8" t="n">
        <v>0</v>
      </c>
      <c r="AN233" s="8" t="n">
        <v>0</v>
      </c>
      <c r="AO233" s="8" t="n">
        <v>0</v>
      </c>
      <c r="AP233" s="8" t="n">
        <v>0</v>
      </c>
      <c r="AQ233" s="8" t="n">
        <v>0</v>
      </c>
      <c r="AR233" s="8" t="n">
        <v>0</v>
      </c>
      <c r="AS233" s="8" t="n">
        <v>1</v>
      </c>
      <c r="AT233" s="8" t="n">
        <v>0</v>
      </c>
      <c r="AU233" s="8" t="n">
        <v>0</v>
      </c>
      <c r="AV233" s="8" t="n">
        <v>0</v>
      </c>
      <c r="AW233" s="8" t="n">
        <v>0</v>
      </c>
      <c r="AX233" s="8" t="n">
        <v>1</v>
      </c>
      <c r="AY233" s="8" t="n">
        <v>1</v>
      </c>
      <c r="AZ233" s="8" t="n">
        <v>1</v>
      </c>
      <c r="BA233" s="8" t="n">
        <v>1</v>
      </c>
      <c r="BB233" s="8" t="n">
        <v>1</v>
      </c>
      <c r="BC233" s="8" t="n">
        <v>353</v>
      </c>
      <c r="BD233" s="8" t="n">
        <v>0</v>
      </c>
      <c r="BE233" s="8" t="n">
        <v>0</v>
      </c>
      <c r="BF233" s="8" t="n">
        <v>0</v>
      </c>
      <c r="BG233" s="10" t="s">
        <v>1954</v>
      </c>
      <c r="BH233" s="9" t="s">
        <v>1955</v>
      </c>
    </row>
    <row r="234" customFormat="false" ht="15" hidden="false" customHeight="false" outlineLevel="0" collapsed="false">
      <c r="A234" s="8" t="s">
        <v>1956</v>
      </c>
      <c r="B234" s="8" t="s">
        <v>1957</v>
      </c>
      <c r="C234" s="8" t="n">
        <v>1</v>
      </c>
      <c r="D234" s="8" t="n">
        <v>1927</v>
      </c>
      <c r="E234" s="8" t="n">
        <v>1928</v>
      </c>
      <c r="F234" s="8" t="str">
        <f aca="false">IF(D234="","?",IF(D234&lt;1796,"pre-1796",IF(D234&lt;1912,"1796-1911",IF(D234&lt;1949,"1912-1948","1949+"))))</f>
        <v>1912-1948</v>
      </c>
      <c r="G234" s="8" t="str">
        <f aca="false">IF(D234="","?",IF(D234&lt;1912,"Qing",IF(D234&lt;1949,"Republic","PRC")))</f>
        <v>Republic</v>
      </c>
      <c r="H234" s="8" t="s">
        <v>1958</v>
      </c>
      <c r="I234" s="9" t="s">
        <v>296</v>
      </c>
      <c r="J234" s="9" t="s">
        <v>297</v>
      </c>
      <c r="K234" s="8" t="s">
        <v>84</v>
      </c>
      <c r="L234" s="8"/>
      <c r="M234" s="9" t="s">
        <v>1959</v>
      </c>
      <c r="N234" s="8"/>
      <c r="O234" s="8" t="s">
        <v>1960</v>
      </c>
      <c r="P234" s="8" t="s">
        <v>97</v>
      </c>
      <c r="Q234" s="9" t="s">
        <v>98</v>
      </c>
      <c r="R234" s="9" t="s">
        <v>1961</v>
      </c>
      <c r="S234" s="8"/>
      <c r="T234" s="8"/>
      <c r="U234" s="9" t="s">
        <v>1962</v>
      </c>
      <c r="V234" s="9" t="s">
        <v>229</v>
      </c>
      <c r="W234" s="8"/>
      <c r="X234" s="8"/>
      <c r="Y234" s="9" t="s">
        <v>306</v>
      </c>
      <c r="Z234" s="8"/>
      <c r="AA234" s="8"/>
      <c r="AB234" s="8"/>
      <c r="AC234" s="8"/>
      <c r="AD234" s="8"/>
      <c r="AE234" s="9" t="s">
        <v>1963</v>
      </c>
      <c r="AF234" s="8"/>
      <c r="AG234" s="8"/>
      <c r="AH234" s="8"/>
      <c r="AI234" s="8" t="n">
        <v>0</v>
      </c>
      <c r="AJ234" s="8" t="n">
        <v>0</v>
      </c>
      <c r="AK234" s="8" t="n">
        <v>0</v>
      </c>
      <c r="AL234" s="8" t="n">
        <v>0</v>
      </c>
      <c r="AM234" s="8" t="n">
        <v>0</v>
      </c>
      <c r="AN234" s="8" t="n">
        <v>0</v>
      </c>
      <c r="AO234" s="8" t="n">
        <v>0</v>
      </c>
      <c r="AP234" s="8" t="n">
        <v>0</v>
      </c>
      <c r="AQ234" s="8" t="n">
        <v>0</v>
      </c>
      <c r="AR234" s="8" t="n">
        <v>0</v>
      </c>
      <c r="AS234" s="8" t="n">
        <v>1</v>
      </c>
      <c r="AT234" s="8" t="n">
        <v>1</v>
      </c>
      <c r="AU234" s="8" t="n">
        <v>0</v>
      </c>
      <c r="AV234" s="8" t="n">
        <v>0</v>
      </c>
      <c r="AW234" s="8" t="n">
        <v>0</v>
      </c>
      <c r="AX234" s="8" t="n">
        <v>0</v>
      </c>
      <c r="AY234" s="8" t="n">
        <v>0</v>
      </c>
      <c r="AZ234" s="8" t="n">
        <v>0</v>
      </c>
      <c r="BA234" s="8" t="n">
        <v>1</v>
      </c>
      <c r="BB234" s="8" t="n">
        <v>1</v>
      </c>
      <c r="BC234" s="8" t="n">
        <v>572</v>
      </c>
      <c r="BD234" s="8" t="n">
        <v>0</v>
      </c>
      <c r="BE234" s="8" t="n">
        <v>0</v>
      </c>
      <c r="BF234" s="8" t="n">
        <v>0</v>
      </c>
      <c r="BG234" s="10" t="s">
        <v>1964</v>
      </c>
      <c r="BH234" s="9" t="s">
        <v>1965</v>
      </c>
    </row>
    <row r="235" customFormat="false" ht="15" hidden="false" customHeight="false" outlineLevel="0" collapsed="false">
      <c r="A235" s="8" t="s">
        <v>1966</v>
      </c>
      <c r="B235" s="8" t="s">
        <v>1957</v>
      </c>
      <c r="C235" s="8" t="n">
        <v>2</v>
      </c>
      <c r="D235" s="8" t="n">
        <v>1927</v>
      </c>
      <c r="E235" s="8" t="n">
        <v>1928</v>
      </c>
      <c r="F235" s="8" t="str">
        <f aca="false">IF(D235="","?",IF(D235&lt;1796,"pre-1796",IF(D235&lt;1912,"1796-1911",IF(D235&lt;1949,"1912-1948","1949+"))))</f>
        <v>1912-1948</v>
      </c>
      <c r="G235" s="8" t="str">
        <f aca="false">IF(D235="","?",IF(D235&lt;1912,"Qing",IF(D235&lt;1949,"Republic","PRC")))</f>
        <v>Republic</v>
      </c>
      <c r="H235" s="8" t="s">
        <v>1958</v>
      </c>
      <c r="I235" s="9" t="s">
        <v>296</v>
      </c>
      <c r="J235" s="9" t="s">
        <v>297</v>
      </c>
      <c r="K235" s="8" t="s">
        <v>84</v>
      </c>
      <c r="L235" s="8"/>
      <c r="M235" s="9" t="s">
        <v>1959</v>
      </c>
      <c r="N235" s="8"/>
      <c r="O235" s="8" t="s">
        <v>1960</v>
      </c>
      <c r="P235" s="8" t="s">
        <v>114</v>
      </c>
      <c r="Q235" s="9" t="s">
        <v>1967</v>
      </c>
      <c r="R235" s="9" t="s">
        <v>951</v>
      </c>
      <c r="S235" s="8"/>
      <c r="T235" s="8"/>
      <c r="U235" s="9" t="s">
        <v>1968</v>
      </c>
      <c r="V235" s="8"/>
      <c r="W235" s="9" t="s">
        <v>1969</v>
      </c>
      <c r="X235" s="8"/>
      <c r="Y235" s="8"/>
      <c r="Z235" s="8"/>
      <c r="AA235" s="8"/>
      <c r="AB235" s="8"/>
      <c r="AC235" s="8"/>
      <c r="AD235" s="8"/>
      <c r="AE235" s="9" t="s">
        <v>1970</v>
      </c>
      <c r="AF235" s="9" t="s">
        <v>120</v>
      </c>
      <c r="AG235" s="9" t="s">
        <v>1971</v>
      </c>
      <c r="AH235" s="8"/>
      <c r="AI235" s="8" t="n">
        <v>0</v>
      </c>
      <c r="AJ235" s="8" t="n">
        <v>0</v>
      </c>
      <c r="AK235" s="8" t="n">
        <v>0</v>
      </c>
      <c r="AL235" s="8" t="n">
        <v>0</v>
      </c>
      <c r="AM235" s="8" t="n">
        <v>0</v>
      </c>
      <c r="AN235" s="8" t="n">
        <v>0</v>
      </c>
      <c r="AO235" s="8" t="n">
        <v>0</v>
      </c>
      <c r="AP235" s="8" t="n">
        <v>0</v>
      </c>
      <c r="AQ235" s="8" t="n">
        <v>0</v>
      </c>
      <c r="AR235" s="8" t="n">
        <v>0</v>
      </c>
      <c r="AS235" s="8" t="n">
        <v>1</v>
      </c>
      <c r="AT235" s="8" t="n">
        <v>0</v>
      </c>
      <c r="AU235" s="8" t="n">
        <v>0</v>
      </c>
      <c r="AV235" s="8" t="n">
        <v>0</v>
      </c>
      <c r="AW235" s="8" t="n">
        <v>1</v>
      </c>
      <c r="AX235" s="8" t="n">
        <v>1</v>
      </c>
      <c r="AY235" s="8" t="n">
        <v>1</v>
      </c>
      <c r="AZ235" s="8" t="n">
        <v>1</v>
      </c>
      <c r="BA235" s="8" t="n">
        <v>1</v>
      </c>
      <c r="BB235" s="8" t="n">
        <v>1</v>
      </c>
      <c r="BC235" s="8" t="n">
        <v>300</v>
      </c>
      <c r="BD235" s="8" t="n">
        <v>1</v>
      </c>
      <c r="BE235" s="8" t="n">
        <v>0</v>
      </c>
      <c r="BF235" s="8" t="n">
        <v>0</v>
      </c>
      <c r="BG235" s="10" t="s">
        <v>1964</v>
      </c>
      <c r="BH235" s="9" t="s">
        <v>1972</v>
      </c>
    </row>
    <row r="236" customFormat="false" ht="15" hidden="false" customHeight="false" outlineLevel="0" collapsed="false">
      <c r="A236" s="8" t="s">
        <v>1973</v>
      </c>
      <c r="B236" s="8" t="s">
        <v>1974</v>
      </c>
      <c r="C236" s="8" t="n">
        <v>1</v>
      </c>
      <c r="D236" s="8" t="n">
        <v>1840</v>
      </c>
      <c r="E236" s="8" t="n">
        <v>1937</v>
      </c>
      <c r="F236" s="8" t="str">
        <f aca="false">IF(D236="","?",IF(D236&lt;1796,"pre-1796",IF(D236&lt;1912,"1796-1911",IF(D236&lt;1949,"1912-1948","1949+"))))</f>
        <v>1796-1911</v>
      </c>
      <c r="G236" s="8" t="str">
        <f aca="false">IF(D236="","?",IF(D236&lt;1912,"Qing",IF(D236&lt;1949,"Republic","PRC")))</f>
        <v>Qing</v>
      </c>
      <c r="H236" s="8" t="s">
        <v>1975</v>
      </c>
      <c r="I236" s="9" t="s">
        <v>296</v>
      </c>
      <c r="J236" s="9" t="s">
        <v>297</v>
      </c>
      <c r="K236" s="8" t="s">
        <v>84</v>
      </c>
      <c r="L236" s="8"/>
      <c r="M236" s="9" t="s">
        <v>1976</v>
      </c>
      <c r="N236" s="9" t="s">
        <v>1977</v>
      </c>
      <c r="O236" s="8" t="s">
        <v>1978</v>
      </c>
      <c r="P236" s="8" t="s">
        <v>97</v>
      </c>
      <c r="Q236" s="9" t="s">
        <v>1979</v>
      </c>
      <c r="R236" s="9" t="s">
        <v>1980</v>
      </c>
      <c r="S236" s="9" t="s">
        <v>1976</v>
      </c>
      <c r="T236" s="8"/>
      <c r="U236" s="9" t="s">
        <v>1981</v>
      </c>
      <c r="V236" s="8"/>
      <c r="W236" s="9" t="s">
        <v>1982</v>
      </c>
      <c r="X236" s="9" t="s">
        <v>1983</v>
      </c>
      <c r="Y236" s="9" t="s">
        <v>1984</v>
      </c>
      <c r="Z236" s="8"/>
      <c r="AA236" s="9" t="s">
        <v>1985</v>
      </c>
      <c r="AB236" s="9" t="s">
        <v>1986</v>
      </c>
      <c r="AC236" s="8"/>
      <c r="AD236" s="8"/>
      <c r="AE236" s="8"/>
      <c r="AF236" s="8"/>
      <c r="AG236" s="8"/>
      <c r="AH236" s="8"/>
      <c r="AI236" s="8" t="n">
        <v>1</v>
      </c>
      <c r="AJ236" s="8" t="n">
        <v>1</v>
      </c>
      <c r="AK236" s="8" t="n">
        <v>1</v>
      </c>
      <c r="AL236" s="8" t="n">
        <v>1</v>
      </c>
      <c r="AM236" s="8" t="n">
        <v>1</v>
      </c>
      <c r="AN236" s="8" t="n">
        <v>1</v>
      </c>
      <c r="AO236" s="8" t="n">
        <v>1</v>
      </c>
      <c r="AP236" s="8" t="n">
        <v>0</v>
      </c>
      <c r="AQ236" s="8" t="n">
        <v>1</v>
      </c>
      <c r="AR236" s="8" t="n">
        <v>1</v>
      </c>
      <c r="AS236" s="8" t="n">
        <v>1</v>
      </c>
      <c r="AT236" s="8" t="n">
        <v>0</v>
      </c>
      <c r="AU236" s="8" t="n">
        <v>0</v>
      </c>
      <c r="AV236" s="8" t="n">
        <v>0</v>
      </c>
      <c r="AW236" s="8" t="n">
        <v>0</v>
      </c>
      <c r="AX236" s="8" t="n">
        <v>0</v>
      </c>
      <c r="AY236" s="8" t="n">
        <v>0</v>
      </c>
      <c r="AZ236" s="8" t="n">
        <v>0</v>
      </c>
      <c r="BA236" s="8" t="n">
        <v>0</v>
      </c>
      <c r="BB236" s="8" t="n">
        <v>0</v>
      </c>
      <c r="BC236" s="8" t="n">
        <v>481</v>
      </c>
      <c r="BD236" s="8" t="n">
        <v>1</v>
      </c>
      <c r="BE236" s="8" t="n">
        <v>0</v>
      </c>
      <c r="BF236" s="8" t="n">
        <v>0</v>
      </c>
      <c r="BG236" s="10" t="s">
        <v>1987</v>
      </c>
      <c r="BH236" s="9" t="s">
        <v>1988</v>
      </c>
    </row>
    <row r="237" customFormat="false" ht="15" hidden="false" customHeight="false" outlineLevel="0" collapsed="false">
      <c r="A237" s="8" t="s">
        <v>1989</v>
      </c>
      <c r="B237" s="8" t="s">
        <v>1974</v>
      </c>
      <c r="C237" s="8" t="n">
        <v>2</v>
      </c>
      <c r="D237" s="8" t="n">
        <v>1840</v>
      </c>
      <c r="E237" s="8" t="n">
        <v>1937</v>
      </c>
      <c r="F237" s="8" t="str">
        <f aca="false">IF(D237="","?",IF(D237&lt;1796,"pre-1796",IF(D237&lt;1912,"1796-1911",IF(D237&lt;1949,"1912-1948","1949+"))))</f>
        <v>1796-1911</v>
      </c>
      <c r="G237" s="8" t="str">
        <f aca="false">IF(D237="","?",IF(D237&lt;1912,"Qing",IF(D237&lt;1949,"Republic","PRC")))</f>
        <v>Qing</v>
      </c>
      <c r="H237" s="8" t="s">
        <v>1975</v>
      </c>
      <c r="I237" s="9" t="s">
        <v>296</v>
      </c>
      <c r="J237" s="9" t="s">
        <v>297</v>
      </c>
      <c r="K237" s="8" t="s">
        <v>84</v>
      </c>
      <c r="L237" s="8"/>
      <c r="M237" s="9" t="s">
        <v>1976</v>
      </c>
      <c r="N237" s="9" t="s">
        <v>1977</v>
      </c>
      <c r="O237" s="8" t="s">
        <v>1978</v>
      </c>
      <c r="P237" s="8" t="s">
        <v>114</v>
      </c>
      <c r="Q237" s="9" t="s">
        <v>98</v>
      </c>
      <c r="R237" s="9" t="s">
        <v>1990</v>
      </c>
      <c r="S237" s="8"/>
      <c r="T237" s="8"/>
      <c r="U237" s="9" t="s">
        <v>1991</v>
      </c>
      <c r="V237" s="8"/>
      <c r="W237" s="9" t="s">
        <v>1992</v>
      </c>
      <c r="X237" s="8"/>
      <c r="Y237" s="8"/>
      <c r="Z237" s="8"/>
      <c r="AA237" s="8"/>
      <c r="AB237" s="8"/>
      <c r="AC237" s="8"/>
      <c r="AD237" s="8"/>
      <c r="AE237" s="9" t="s">
        <v>1993</v>
      </c>
      <c r="AF237" s="9" t="s">
        <v>1994</v>
      </c>
      <c r="AG237" s="8"/>
      <c r="AH237" s="8"/>
      <c r="AI237" s="8" t="n">
        <v>0</v>
      </c>
      <c r="AJ237" s="8" t="n">
        <v>0</v>
      </c>
      <c r="AK237" s="8" t="n">
        <v>0</v>
      </c>
      <c r="AL237" s="8" t="n">
        <v>0</v>
      </c>
      <c r="AM237" s="8" t="n">
        <v>0</v>
      </c>
      <c r="AN237" s="8" t="n">
        <v>0</v>
      </c>
      <c r="AO237" s="8" t="n">
        <v>0</v>
      </c>
      <c r="AP237" s="8" t="n">
        <v>0</v>
      </c>
      <c r="AQ237" s="8" t="n">
        <v>0</v>
      </c>
      <c r="AR237" s="8" t="n">
        <v>0</v>
      </c>
      <c r="AS237" s="8" t="n">
        <v>0</v>
      </c>
      <c r="AT237" s="8" t="n">
        <v>1</v>
      </c>
      <c r="AU237" s="8" t="n">
        <v>0</v>
      </c>
      <c r="AV237" s="8" t="n">
        <v>0</v>
      </c>
      <c r="AW237" s="8" t="n">
        <v>0</v>
      </c>
      <c r="AX237" s="8" t="n">
        <v>0</v>
      </c>
      <c r="AY237" s="8" t="n">
        <v>0</v>
      </c>
      <c r="AZ237" s="8" t="n">
        <v>1</v>
      </c>
      <c r="BA237" s="8" t="n">
        <v>1</v>
      </c>
      <c r="BB237" s="8" t="n">
        <v>0</v>
      </c>
      <c r="BC237" s="8" t="n">
        <v>708</v>
      </c>
      <c r="BD237" s="8" t="n">
        <v>0</v>
      </c>
      <c r="BE237" s="8" t="n">
        <v>0</v>
      </c>
      <c r="BF237" s="8" t="n">
        <v>0</v>
      </c>
      <c r="BG237" s="10" t="s">
        <v>1987</v>
      </c>
      <c r="BH237" s="9" t="s">
        <v>1995</v>
      </c>
    </row>
    <row r="238" customFormat="false" ht="15" hidden="false" customHeight="false" outlineLevel="0" collapsed="false">
      <c r="A238" s="8" t="s">
        <v>1996</v>
      </c>
      <c r="B238" s="8" t="s">
        <v>1997</v>
      </c>
      <c r="C238" s="8" t="n">
        <v>1</v>
      </c>
      <c r="D238" s="8" t="n">
        <v>1934</v>
      </c>
      <c r="E238" s="8" t="n">
        <v>1940</v>
      </c>
      <c r="F238" s="8" t="str">
        <f aca="false">IF(D238="","?",IF(D238&lt;1796,"pre-1796",IF(D238&lt;1912,"1796-1911",IF(D238&lt;1949,"1912-1948","1949+"))))</f>
        <v>1912-1948</v>
      </c>
      <c r="G238" s="8" t="str">
        <f aca="false">IF(D238="","?",IF(D238&lt;1912,"Qing",IF(D238&lt;1949,"Republic","PRC")))</f>
        <v>Republic</v>
      </c>
      <c r="H238" s="8" t="s">
        <v>1998</v>
      </c>
      <c r="I238" s="9" t="s">
        <v>128</v>
      </c>
      <c r="J238" s="9" t="s">
        <v>223</v>
      </c>
      <c r="K238" s="8" t="s">
        <v>84</v>
      </c>
      <c r="L238" s="8"/>
      <c r="M238" s="9" t="s">
        <v>1999</v>
      </c>
      <c r="N238" s="9" t="s">
        <v>2000</v>
      </c>
      <c r="O238" s="8" t="s">
        <v>2001</v>
      </c>
      <c r="P238" s="8" t="s">
        <v>97</v>
      </c>
      <c r="Q238" s="9" t="s">
        <v>2002</v>
      </c>
      <c r="R238" s="9" t="s">
        <v>2003</v>
      </c>
      <c r="S238" s="9" t="s">
        <v>1999</v>
      </c>
      <c r="T238" s="8"/>
      <c r="U238" s="9" t="s">
        <v>2004</v>
      </c>
      <c r="V238" s="9" t="s">
        <v>2005</v>
      </c>
      <c r="W238" s="8"/>
      <c r="X238" s="8"/>
      <c r="Y238" s="9" t="s">
        <v>214</v>
      </c>
      <c r="Z238" s="9" t="s">
        <v>2006</v>
      </c>
      <c r="AA238" s="9" t="s">
        <v>2007</v>
      </c>
      <c r="AB238" s="9" t="s">
        <v>2008</v>
      </c>
      <c r="AC238" s="9" t="s">
        <v>2009</v>
      </c>
      <c r="AD238" s="9" t="s">
        <v>2010</v>
      </c>
      <c r="AE238" s="8"/>
      <c r="AF238" s="8"/>
      <c r="AG238" s="8"/>
      <c r="AH238" s="8"/>
      <c r="AI238" s="8" t="n">
        <v>1</v>
      </c>
      <c r="AJ238" s="8" t="n">
        <v>0</v>
      </c>
      <c r="AK238" s="8" t="n">
        <v>0</v>
      </c>
      <c r="AL238" s="8" t="n">
        <v>1</v>
      </c>
      <c r="AM238" s="8" t="n">
        <v>1</v>
      </c>
      <c r="AN238" s="8" t="n">
        <v>1</v>
      </c>
      <c r="AO238" s="8" t="n">
        <v>1</v>
      </c>
      <c r="AP238" s="8" t="n">
        <v>1</v>
      </c>
      <c r="AQ238" s="8" t="n">
        <v>0</v>
      </c>
      <c r="AR238" s="8" t="n">
        <v>1</v>
      </c>
      <c r="AS238" s="8" t="n">
        <v>1</v>
      </c>
      <c r="AT238" s="8" t="n">
        <v>1</v>
      </c>
      <c r="AU238" s="8" t="n">
        <v>0</v>
      </c>
      <c r="AV238" s="8" t="n">
        <v>0</v>
      </c>
      <c r="AW238" s="8" t="n">
        <v>0</v>
      </c>
      <c r="AX238" s="8" t="n">
        <v>0</v>
      </c>
      <c r="AY238" s="8" t="n">
        <v>0</v>
      </c>
      <c r="AZ238" s="8" t="n">
        <v>0</v>
      </c>
      <c r="BA238" s="8" t="n">
        <v>1</v>
      </c>
      <c r="BB238" s="8" t="n">
        <v>0</v>
      </c>
      <c r="BC238" s="8" t="n">
        <v>664</v>
      </c>
      <c r="BD238" s="8" t="n">
        <v>4</v>
      </c>
      <c r="BE238" s="8" t="n">
        <v>0</v>
      </c>
      <c r="BF238" s="8" t="n">
        <v>0</v>
      </c>
      <c r="BG238" s="10" t="s">
        <v>2011</v>
      </c>
      <c r="BH238" s="9" t="s">
        <v>2012</v>
      </c>
    </row>
    <row r="239" customFormat="false" ht="15" hidden="false" customHeight="false" outlineLevel="0" collapsed="false">
      <c r="A239" s="8" t="s">
        <v>2013</v>
      </c>
      <c r="B239" s="8" t="s">
        <v>1997</v>
      </c>
      <c r="C239" s="8" t="n">
        <v>2</v>
      </c>
      <c r="D239" s="8" t="n">
        <v>1934</v>
      </c>
      <c r="E239" s="8" t="n">
        <v>1940</v>
      </c>
      <c r="F239" s="8" t="str">
        <f aca="false">IF(D239="","?",IF(D239&lt;1796,"pre-1796",IF(D239&lt;1912,"1796-1911",IF(D239&lt;1949,"1912-1948","1949+"))))</f>
        <v>1912-1948</v>
      </c>
      <c r="G239" s="8" t="str">
        <f aca="false">IF(D239="","?",IF(D239&lt;1912,"Qing",IF(D239&lt;1949,"Republic","PRC")))</f>
        <v>Republic</v>
      </c>
      <c r="H239" s="8" t="s">
        <v>1998</v>
      </c>
      <c r="I239" s="9" t="s">
        <v>128</v>
      </c>
      <c r="J239" s="9" t="s">
        <v>223</v>
      </c>
      <c r="K239" s="8" t="s">
        <v>84</v>
      </c>
      <c r="L239" s="8"/>
      <c r="M239" s="9" t="s">
        <v>1999</v>
      </c>
      <c r="N239" s="9" t="s">
        <v>2000</v>
      </c>
      <c r="O239" s="8" t="s">
        <v>2001</v>
      </c>
      <c r="P239" s="8" t="s">
        <v>114</v>
      </c>
      <c r="Q239" s="9" t="s">
        <v>98</v>
      </c>
      <c r="R239" s="9" t="s">
        <v>984</v>
      </c>
      <c r="S239" s="8"/>
      <c r="T239" s="8"/>
      <c r="U239" s="8"/>
      <c r="V239" s="8"/>
      <c r="W239" s="8"/>
      <c r="X239" s="8"/>
      <c r="Y239" s="8"/>
      <c r="Z239" s="8"/>
      <c r="AA239" s="8"/>
      <c r="AB239" s="8"/>
      <c r="AC239" s="8"/>
      <c r="AD239" s="8"/>
      <c r="AE239" s="9" t="s">
        <v>2014</v>
      </c>
      <c r="AF239" s="9" t="s">
        <v>2015</v>
      </c>
      <c r="AG239" s="8"/>
      <c r="AH239" s="9" t="s">
        <v>2016</v>
      </c>
      <c r="AI239" s="8" t="n">
        <v>0</v>
      </c>
      <c r="AJ239" s="8" t="n">
        <v>0</v>
      </c>
      <c r="AK239" s="8" t="n">
        <v>0</v>
      </c>
      <c r="AL239" s="8" t="n">
        <v>0</v>
      </c>
      <c r="AM239" s="8" t="n">
        <v>0</v>
      </c>
      <c r="AN239" s="8" t="n">
        <v>0</v>
      </c>
      <c r="AO239" s="8" t="n">
        <v>0</v>
      </c>
      <c r="AP239" s="8" t="n">
        <v>0</v>
      </c>
      <c r="AQ239" s="8" t="n">
        <v>0</v>
      </c>
      <c r="AR239" s="8" t="n">
        <v>0</v>
      </c>
      <c r="AS239" s="8" t="n">
        <v>0</v>
      </c>
      <c r="AT239" s="8" t="n">
        <v>1</v>
      </c>
      <c r="AU239" s="8" t="n">
        <v>0</v>
      </c>
      <c r="AV239" s="8" t="n">
        <v>0</v>
      </c>
      <c r="AW239" s="8" t="n">
        <v>0</v>
      </c>
      <c r="AX239" s="8" t="n">
        <v>0</v>
      </c>
      <c r="AY239" s="8" t="n">
        <v>0</v>
      </c>
      <c r="AZ239" s="8" t="n">
        <v>1</v>
      </c>
      <c r="BA239" s="8" t="n">
        <v>1</v>
      </c>
      <c r="BB239" s="8" t="n">
        <v>0</v>
      </c>
      <c r="BC239" s="8" t="n">
        <v>616</v>
      </c>
      <c r="BD239" s="8" t="n">
        <v>1</v>
      </c>
      <c r="BE239" s="8" t="n">
        <v>0</v>
      </c>
      <c r="BF239" s="8" t="n">
        <v>0</v>
      </c>
      <c r="BG239" s="10" t="s">
        <v>2011</v>
      </c>
      <c r="BH239" s="8" t="s">
        <v>2017</v>
      </c>
    </row>
    <row r="240" customFormat="false" ht="15" hidden="false" customHeight="false" outlineLevel="0" collapsed="false">
      <c r="A240" s="8" t="s">
        <v>2018</v>
      </c>
      <c r="B240" s="8" t="s">
        <v>2019</v>
      </c>
      <c r="C240" s="8" t="n">
        <v>1</v>
      </c>
      <c r="D240" s="8" t="n">
        <v>1829</v>
      </c>
      <c r="E240" s="8" t="n">
        <v>1829</v>
      </c>
      <c r="F240" s="8" t="str">
        <f aca="false">IF(D240="","?",IF(D240&lt;1796,"pre-1796",IF(D240&lt;1912,"1796-1911",IF(D240&lt;1949,"1912-1948","1949+"))))</f>
        <v>1796-1911</v>
      </c>
      <c r="G240" s="8" t="str">
        <f aca="false">IF(D240="","?",IF(D240&lt;1912,"Qing",IF(D240&lt;1949,"Republic","PRC")))</f>
        <v>Qing</v>
      </c>
      <c r="H240" s="8" t="s">
        <v>1458</v>
      </c>
      <c r="I240" s="8"/>
      <c r="J240" s="8"/>
      <c r="K240" s="8" t="s">
        <v>130</v>
      </c>
      <c r="L240" s="8"/>
      <c r="M240" s="9" t="s">
        <v>1460</v>
      </c>
      <c r="N240" s="9" t="s">
        <v>2020</v>
      </c>
      <c r="O240" s="8" t="s">
        <v>2021</v>
      </c>
      <c r="P240" s="8" t="s">
        <v>87</v>
      </c>
      <c r="Q240" s="8"/>
      <c r="R240" s="8"/>
      <c r="S240" s="8"/>
      <c r="T240" s="8"/>
      <c r="U240" s="8"/>
      <c r="V240" s="8"/>
      <c r="W240" s="8"/>
      <c r="X240" s="8"/>
      <c r="Y240" s="8"/>
      <c r="Z240" s="8"/>
      <c r="AA240" s="9" t="s">
        <v>2022</v>
      </c>
      <c r="AB240" s="8"/>
      <c r="AC240" s="8"/>
      <c r="AD240" s="8"/>
      <c r="AE240" s="8"/>
      <c r="AF240" s="8"/>
      <c r="AG240" s="8"/>
      <c r="AH240" s="8"/>
      <c r="AI240" s="8" t="n">
        <v>0</v>
      </c>
      <c r="AJ240" s="8" t="n">
        <v>0</v>
      </c>
      <c r="AK240" s="8" t="n">
        <v>0</v>
      </c>
      <c r="AL240" s="8" t="n">
        <v>0</v>
      </c>
      <c r="AM240" s="8" t="n">
        <v>0</v>
      </c>
      <c r="AN240" s="8" t="n">
        <v>0</v>
      </c>
      <c r="AO240" s="8" t="n">
        <v>0</v>
      </c>
      <c r="AP240" s="8" t="n">
        <v>0</v>
      </c>
      <c r="AQ240" s="8" t="n">
        <v>0</v>
      </c>
      <c r="AR240" s="8" t="n">
        <v>0</v>
      </c>
      <c r="AS240" s="8" t="n">
        <v>0</v>
      </c>
      <c r="AT240" s="8" t="n">
        <v>0</v>
      </c>
      <c r="AU240" s="8" t="n">
        <v>0</v>
      </c>
      <c r="AV240" s="8" t="n">
        <v>0</v>
      </c>
      <c r="AW240" s="8" t="n">
        <v>0</v>
      </c>
      <c r="AX240" s="8" t="n">
        <v>0</v>
      </c>
      <c r="AY240" s="8" t="n">
        <v>0</v>
      </c>
      <c r="AZ240" s="8" t="n">
        <v>0</v>
      </c>
      <c r="BA240" s="8" t="n">
        <v>1</v>
      </c>
      <c r="BB240" s="8" t="n">
        <v>0</v>
      </c>
      <c r="BC240" s="8" t="n">
        <v>248</v>
      </c>
      <c r="BD240" s="8" t="n">
        <v>0</v>
      </c>
      <c r="BE240" s="8" t="n">
        <v>0</v>
      </c>
      <c r="BF240" s="8" t="n">
        <v>0</v>
      </c>
      <c r="BG240" s="10" t="s">
        <v>2023</v>
      </c>
      <c r="BH240" s="9" t="s">
        <v>2024</v>
      </c>
    </row>
    <row r="241" customFormat="false" ht="15" hidden="false" customHeight="false" outlineLevel="0" collapsed="false">
      <c r="A241" s="8" t="s">
        <v>2025</v>
      </c>
      <c r="B241" s="8" t="s">
        <v>2026</v>
      </c>
      <c r="C241" s="8" t="n">
        <v>1</v>
      </c>
      <c r="D241" s="8" t="n">
        <v>1829</v>
      </c>
      <c r="E241" s="8" t="n">
        <v>1829</v>
      </c>
      <c r="F241" s="8" t="str">
        <f aca="false">IF(D241="","?",IF(D241&lt;1796,"pre-1796",IF(D241&lt;1912,"1796-1911",IF(D241&lt;1949,"1912-1948","1949+"))))</f>
        <v>1796-1911</v>
      </c>
      <c r="G241" s="8" t="str">
        <f aca="false">IF(D241="","?",IF(D241&lt;1912,"Qing",IF(D241&lt;1949,"Republic","PRC")))</f>
        <v>Qing</v>
      </c>
      <c r="H241" s="8" t="s">
        <v>1458</v>
      </c>
      <c r="I241" s="8"/>
      <c r="J241" s="8"/>
      <c r="K241" s="8" t="s">
        <v>130</v>
      </c>
      <c r="L241" s="8"/>
      <c r="M241" s="9" t="s">
        <v>1460</v>
      </c>
      <c r="N241" s="9" t="s">
        <v>2020</v>
      </c>
      <c r="O241" s="8" t="s">
        <v>2027</v>
      </c>
      <c r="P241" s="8" t="s">
        <v>87</v>
      </c>
      <c r="Q241" s="8"/>
      <c r="R241" s="8"/>
      <c r="S241" s="8"/>
      <c r="T241" s="8"/>
      <c r="U241" s="8"/>
      <c r="V241" s="8"/>
      <c r="W241" s="8"/>
      <c r="X241" s="8"/>
      <c r="Y241" s="8"/>
      <c r="Z241" s="8"/>
      <c r="AA241" s="9" t="s">
        <v>2022</v>
      </c>
      <c r="AB241" s="8"/>
      <c r="AC241" s="8"/>
      <c r="AD241" s="8"/>
      <c r="AE241" s="8"/>
      <c r="AF241" s="8"/>
      <c r="AG241" s="8"/>
      <c r="AH241" s="8"/>
      <c r="AI241" s="8" t="n">
        <v>0</v>
      </c>
      <c r="AJ241" s="8" t="n">
        <v>0</v>
      </c>
      <c r="AK241" s="8" t="n">
        <v>0</v>
      </c>
      <c r="AL241" s="8" t="n">
        <v>0</v>
      </c>
      <c r="AM241" s="8" t="n">
        <v>0</v>
      </c>
      <c r="AN241" s="8" t="n">
        <v>0</v>
      </c>
      <c r="AO241" s="8" t="n">
        <v>0</v>
      </c>
      <c r="AP241" s="8" t="n">
        <v>0</v>
      </c>
      <c r="AQ241" s="8" t="n">
        <v>0</v>
      </c>
      <c r="AR241" s="8" t="n">
        <v>0</v>
      </c>
      <c r="AS241" s="8" t="n">
        <v>0</v>
      </c>
      <c r="AT241" s="8" t="n">
        <v>0</v>
      </c>
      <c r="AU241" s="8" t="n">
        <v>0</v>
      </c>
      <c r="AV241" s="8" t="n">
        <v>0</v>
      </c>
      <c r="AW241" s="8" t="n">
        <v>0</v>
      </c>
      <c r="AX241" s="8" t="n">
        <v>0</v>
      </c>
      <c r="AY241" s="8" t="n">
        <v>0</v>
      </c>
      <c r="AZ241" s="8" t="n">
        <v>0</v>
      </c>
      <c r="BA241" s="8" t="n">
        <v>0</v>
      </c>
      <c r="BB241" s="8" t="n">
        <v>0</v>
      </c>
      <c r="BC241" s="8" t="n">
        <v>164</v>
      </c>
      <c r="BD241" s="8" t="n">
        <v>0</v>
      </c>
      <c r="BE241" s="8" t="n">
        <v>0</v>
      </c>
      <c r="BF241" s="8" t="n">
        <v>0</v>
      </c>
      <c r="BG241" s="10" t="s">
        <v>2028</v>
      </c>
      <c r="BH241" s="9" t="s">
        <v>2029</v>
      </c>
    </row>
    <row r="242" customFormat="false" ht="15" hidden="false" customHeight="false" outlineLevel="0" collapsed="false">
      <c r="A242" s="8" t="s">
        <v>2030</v>
      </c>
      <c r="B242" s="8" t="s">
        <v>2031</v>
      </c>
      <c r="C242" s="8" t="n">
        <v>1</v>
      </c>
      <c r="D242" s="8" t="n">
        <v>1945</v>
      </c>
      <c r="E242" s="8" t="n">
        <v>1945</v>
      </c>
      <c r="F242" s="8" t="str">
        <f aca="false">IF(D242="","?",IF(D242&lt;1796,"pre-1796",IF(D242&lt;1912,"1796-1911",IF(D242&lt;1949,"1912-1948","1949+"))))</f>
        <v>1912-1948</v>
      </c>
      <c r="G242" s="8" t="str">
        <f aca="false">IF(D242="","?",IF(D242&lt;1912,"Qing",IF(D242&lt;1949,"Republic","PRC")))</f>
        <v>Republic</v>
      </c>
      <c r="H242" s="8" t="s">
        <v>465</v>
      </c>
      <c r="I242" s="8"/>
      <c r="J242" s="9" t="s">
        <v>2032</v>
      </c>
      <c r="K242" s="8" t="s">
        <v>130</v>
      </c>
      <c r="L242" s="8"/>
      <c r="M242" s="9" t="s">
        <v>2033</v>
      </c>
      <c r="N242" s="9" t="s">
        <v>2034</v>
      </c>
      <c r="O242" s="8" t="s">
        <v>2035</v>
      </c>
      <c r="P242" s="8" t="s">
        <v>97</v>
      </c>
      <c r="Q242" s="9" t="s">
        <v>2036</v>
      </c>
      <c r="R242" s="9" t="s">
        <v>2037</v>
      </c>
      <c r="S242" s="9" t="s">
        <v>2038</v>
      </c>
      <c r="T242" s="8"/>
      <c r="U242" s="8"/>
      <c r="V242" s="8"/>
      <c r="W242" s="8"/>
      <c r="X242" s="9" t="s">
        <v>2039</v>
      </c>
      <c r="Y242" s="9" t="s">
        <v>2040</v>
      </c>
      <c r="Z242" s="9" t="s">
        <v>2041</v>
      </c>
      <c r="AA242" s="9" t="s">
        <v>2042</v>
      </c>
      <c r="AB242" s="8"/>
      <c r="AC242" s="8"/>
      <c r="AD242" s="8"/>
      <c r="AE242" s="8"/>
      <c r="AF242" s="8"/>
      <c r="AG242" s="8"/>
      <c r="AH242" s="8"/>
      <c r="AI242" s="8" t="n">
        <v>1</v>
      </c>
      <c r="AJ242" s="8" t="n">
        <v>0</v>
      </c>
      <c r="AK242" s="8" t="n">
        <v>1</v>
      </c>
      <c r="AL242" s="8" t="n">
        <v>1</v>
      </c>
      <c r="AM242" s="8" t="n">
        <v>1</v>
      </c>
      <c r="AN242" s="8" t="n">
        <v>1</v>
      </c>
      <c r="AO242" s="8" t="n">
        <v>0</v>
      </c>
      <c r="AP242" s="8" t="n">
        <v>0</v>
      </c>
      <c r="AQ242" s="8" t="n">
        <v>1</v>
      </c>
      <c r="AR242" s="8" t="n">
        <v>1</v>
      </c>
      <c r="AS242" s="8" t="n">
        <v>1</v>
      </c>
      <c r="AT242" s="8" t="n">
        <v>0</v>
      </c>
      <c r="AU242" s="8" t="n">
        <v>0</v>
      </c>
      <c r="AV242" s="8" t="n">
        <v>0</v>
      </c>
      <c r="AW242" s="8" t="n">
        <v>0</v>
      </c>
      <c r="AX242" s="8" t="n">
        <v>0</v>
      </c>
      <c r="AY242" s="8" t="n">
        <v>0</v>
      </c>
      <c r="AZ242" s="8" t="n">
        <v>0</v>
      </c>
      <c r="BA242" s="8" t="n">
        <v>0</v>
      </c>
      <c r="BB242" s="8" t="n">
        <v>0</v>
      </c>
      <c r="BC242" s="8" t="n">
        <v>232</v>
      </c>
      <c r="BD242" s="8" t="n">
        <v>0</v>
      </c>
      <c r="BE242" s="8" t="n">
        <v>0</v>
      </c>
      <c r="BF242" s="8" t="n">
        <v>0</v>
      </c>
      <c r="BG242" s="10" t="s">
        <v>2043</v>
      </c>
      <c r="BH242" s="9" t="s">
        <v>2044</v>
      </c>
    </row>
    <row r="243" customFormat="false" ht="15" hidden="false" customHeight="false" outlineLevel="0" collapsed="false">
      <c r="A243" s="8" t="s">
        <v>2045</v>
      </c>
      <c r="B243" s="8" t="s">
        <v>2046</v>
      </c>
      <c r="C243" s="8" t="n">
        <v>1</v>
      </c>
      <c r="D243" s="8"/>
      <c r="E243" s="8"/>
      <c r="F243" s="8" t="str">
        <f aca="false">IF(D243="","?",IF(D243&lt;1796,"pre-1796",IF(D243&lt;1912,"1796-1911",IF(D243&lt;1949,"1912-1948","1949+"))))</f>
        <v>?</v>
      </c>
      <c r="G243" s="8" t="str">
        <f aca="false">IF(D243="","?",IF(D243&lt;1912,"Qing",IF(D243&lt;1949,"Republic","PRC")))</f>
        <v>?</v>
      </c>
      <c r="H243" s="8"/>
      <c r="I243" s="8"/>
      <c r="J243" s="9" t="s">
        <v>2047</v>
      </c>
      <c r="K243" s="8" t="s">
        <v>130</v>
      </c>
      <c r="L243" s="8"/>
      <c r="M243" s="9" t="s">
        <v>2048</v>
      </c>
      <c r="N243" s="9" t="s">
        <v>2049</v>
      </c>
      <c r="O243" s="8" t="s">
        <v>2050</v>
      </c>
      <c r="P243" s="8" t="s">
        <v>87</v>
      </c>
      <c r="Q243" s="8"/>
      <c r="R243" s="9" t="s">
        <v>2051</v>
      </c>
      <c r="S243" s="8"/>
      <c r="T243" s="8"/>
      <c r="U243" s="9" t="s">
        <v>2052</v>
      </c>
      <c r="V243" s="8"/>
      <c r="W243" s="8"/>
      <c r="X243" s="8"/>
      <c r="Y243" s="9" t="s">
        <v>1429</v>
      </c>
      <c r="Z243" s="8"/>
      <c r="AA243" s="8"/>
      <c r="AB243" s="8"/>
      <c r="AC243" s="8"/>
      <c r="AD243" s="8"/>
      <c r="AE243" s="8"/>
      <c r="AF243" s="8"/>
      <c r="AG243" s="8"/>
      <c r="AH243" s="8"/>
      <c r="AI243" s="8" t="n">
        <v>0</v>
      </c>
      <c r="AJ243" s="8" t="n">
        <v>0</v>
      </c>
      <c r="AK243" s="8" t="n">
        <v>0</v>
      </c>
      <c r="AL243" s="8" t="n">
        <v>1</v>
      </c>
      <c r="AM243" s="8" t="n">
        <v>1</v>
      </c>
      <c r="AN243" s="8" t="n">
        <v>1</v>
      </c>
      <c r="AO243" s="8" t="n">
        <v>0</v>
      </c>
      <c r="AP243" s="8" t="n">
        <v>0</v>
      </c>
      <c r="AQ243" s="8" t="n">
        <v>0</v>
      </c>
      <c r="AR243" s="8" t="n">
        <v>1</v>
      </c>
      <c r="AS243" s="8" t="n">
        <v>0</v>
      </c>
      <c r="AT243" s="8" t="n">
        <v>0</v>
      </c>
      <c r="AU243" s="8" t="n">
        <v>0</v>
      </c>
      <c r="AV243" s="8" t="n">
        <v>0</v>
      </c>
      <c r="AW243" s="8" t="n">
        <v>0</v>
      </c>
      <c r="AX243" s="8" t="n">
        <v>0</v>
      </c>
      <c r="AY243" s="8" t="n">
        <v>0</v>
      </c>
      <c r="AZ243" s="8" t="n">
        <v>0</v>
      </c>
      <c r="BA243" s="8" t="n">
        <v>0</v>
      </c>
      <c r="BB243" s="8" t="n">
        <v>0</v>
      </c>
      <c r="BC243" s="8" t="n">
        <v>230</v>
      </c>
      <c r="BD243" s="8" t="n">
        <v>1</v>
      </c>
      <c r="BE243" s="8" t="n">
        <v>0</v>
      </c>
      <c r="BF243" s="8" t="n">
        <v>0</v>
      </c>
      <c r="BG243" s="10" t="s">
        <v>2053</v>
      </c>
      <c r="BH243" s="9" t="s">
        <v>2054</v>
      </c>
    </row>
    <row r="244" customFormat="false" ht="15" hidden="false" customHeight="false" outlineLevel="0" collapsed="false">
      <c r="A244" s="8" t="s">
        <v>2055</v>
      </c>
      <c r="B244" s="8" t="s">
        <v>2056</v>
      </c>
      <c r="C244" s="8" t="n">
        <v>1</v>
      </c>
      <c r="D244" s="8"/>
      <c r="E244" s="8"/>
      <c r="F244" s="8" t="str">
        <f aca="false">IF(D244="","?",IF(D244&lt;1796,"pre-1796",IF(D244&lt;1912,"1796-1911",IF(D244&lt;1949,"1912-1948","1949+"))))</f>
        <v>?</v>
      </c>
      <c r="G244" s="8" t="str">
        <f aca="false">IF(D244="","?",IF(D244&lt;1912,"Qing",IF(D244&lt;1949,"Republic","PRC")))</f>
        <v>?</v>
      </c>
      <c r="H244" s="8"/>
      <c r="I244" s="8"/>
      <c r="J244" s="9" t="s">
        <v>2047</v>
      </c>
      <c r="K244" s="8" t="s">
        <v>130</v>
      </c>
      <c r="L244" s="8"/>
      <c r="M244" s="9" t="s">
        <v>2057</v>
      </c>
      <c r="N244" s="9" t="s">
        <v>2049</v>
      </c>
      <c r="O244" s="8" t="s">
        <v>2058</v>
      </c>
      <c r="P244" s="8" t="s">
        <v>87</v>
      </c>
      <c r="Q244" s="8"/>
      <c r="R244" s="9" t="s">
        <v>2051</v>
      </c>
      <c r="S244" s="8"/>
      <c r="T244" s="9" t="s">
        <v>2059</v>
      </c>
      <c r="U244" s="9" t="s">
        <v>2060</v>
      </c>
      <c r="V244" s="8"/>
      <c r="W244" s="9" t="s">
        <v>1091</v>
      </c>
      <c r="X244" s="8"/>
      <c r="Y244" s="9" t="s">
        <v>306</v>
      </c>
      <c r="Z244" s="8"/>
      <c r="AA244" s="8"/>
      <c r="AB244" s="8"/>
      <c r="AC244" s="8"/>
      <c r="AD244" s="8"/>
      <c r="AE244" s="8"/>
      <c r="AF244" s="8"/>
      <c r="AG244" s="8"/>
      <c r="AH244" s="8"/>
      <c r="AI244" s="8" t="n">
        <v>0</v>
      </c>
      <c r="AJ244" s="8" t="n">
        <v>0</v>
      </c>
      <c r="AK244" s="8" t="n">
        <v>0</v>
      </c>
      <c r="AL244" s="8" t="n">
        <v>1</v>
      </c>
      <c r="AM244" s="8" t="n">
        <v>1</v>
      </c>
      <c r="AN244" s="8" t="n">
        <v>1</v>
      </c>
      <c r="AO244" s="8" t="n">
        <v>0</v>
      </c>
      <c r="AP244" s="8" t="n">
        <v>0</v>
      </c>
      <c r="AQ244" s="8" t="n">
        <v>1</v>
      </c>
      <c r="AR244" s="8" t="n">
        <v>1</v>
      </c>
      <c r="AS244" s="8" t="n">
        <v>1</v>
      </c>
      <c r="AT244" s="8" t="n">
        <v>0</v>
      </c>
      <c r="AU244" s="8" t="n">
        <v>1</v>
      </c>
      <c r="AV244" s="8" t="n">
        <v>0</v>
      </c>
      <c r="AW244" s="8" t="n">
        <v>0</v>
      </c>
      <c r="AX244" s="8" t="n">
        <v>0</v>
      </c>
      <c r="AY244" s="8" t="n">
        <v>0</v>
      </c>
      <c r="AZ244" s="8" t="n">
        <v>0</v>
      </c>
      <c r="BA244" s="8" t="n">
        <v>0</v>
      </c>
      <c r="BB244" s="8" t="n">
        <v>0</v>
      </c>
      <c r="BC244" s="8" t="n">
        <v>237</v>
      </c>
      <c r="BD244" s="8" t="n">
        <v>0</v>
      </c>
      <c r="BE244" s="8" t="n">
        <v>0</v>
      </c>
      <c r="BF244" s="8" t="n">
        <v>0</v>
      </c>
      <c r="BG244" s="10" t="s">
        <v>2061</v>
      </c>
      <c r="BH244" s="9" t="s">
        <v>2062</v>
      </c>
    </row>
    <row r="245" customFormat="false" ht="15" hidden="false" customHeight="false" outlineLevel="0" collapsed="false">
      <c r="A245" s="8" t="s">
        <v>2063</v>
      </c>
      <c r="B245" s="8" t="s">
        <v>2064</v>
      </c>
      <c r="C245" s="8" t="n">
        <v>1</v>
      </c>
      <c r="D245" s="8" t="n">
        <v>1936</v>
      </c>
      <c r="E245" s="8" t="n">
        <v>1936</v>
      </c>
      <c r="F245" s="8" t="str">
        <f aca="false">IF(D245="","?",IF(D245&lt;1796,"pre-1796",IF(D245&lt;1912,"1796-1911",IF(D245&lt;1949,"1912-1948","1949+"))))</f>
        <v>1912-1948</v>
      </c>
      <c r="G245" s="8" t="str">
        <f aca="false">IF(D245="","?",IF(D245&lt;1912,"Qing",IF(D245&lt;1949,"Republic","PRC")))</f>
        <v>Republic</v>
      </c>
      <c r="H245" s="8" t="s">
        <v>1436</v>
      </c>
      <c r="I245" s="9" t="s">
        <v>128</v>
      </c>
      <c r="J245" s="9" t="s">
        <v>223</v>
      </c>
      <c r="K245" s="8" t="s">
        <v>130</v>
      </c>
      <c r="L245" s="8"/>
      <c r="M245" s="9" t="s">
        <v>1437</v>
      </c>
      <c r="N245" s="9" t="s">
        <v>1438</v>
      </c>
      <c r="O245" s="8" t="s">
        <v>2065</v>
      </c>
      <c r="P245" s="8" t="s">
        <v>133</v>
      </c>
      <c r="Q245" s="9" t="s">
        <v>2066</v>
      </c>
      <c r="R245" s="8"/>
      <c r="S245" s="9" t="s">
        <v>2067</v>
      </c>
      <c r="T245" s="9" t="s">
        <v>1441</v>
      </c>
      <c r="U245" s="9" t="s">
        <v>2068</v>
      </c>
      <c r="V245" s="9" t="s">
        <v>229</v>
      </c>
      <c r="W245" s="8"/>
      <c r="X245" s="9" t="s">
        <v>2069</v>
      </c>
      <c r="Y245" s="8"/>
      <c r="Z245" s="8"/>
      <c r="AA245" s="9" t="s">
        <v>2070</v>
      </c>
      <c r="AB245" s="8"/>
      <c r="AC245" s="9" t="s">
        <v>1444</v>
      </c>
      <c r="AD245" s="8"/>
      <c r="AE245" s="8"/>
      <c r="AF245" s="8"/>
      <c r="AG245" s="8"/>
      <c r="AH245" s="8"/>
      <c r="AI245" s="8" t="n">
        <v>1</v>
      </c>
      <c r="AJ245" s="8" t="n">
        <v>1</v>
      </c>
      <c r="AK245" s="8" t="n">
        <v>1</v>
      </c>
      <c r="AL245" s="8" t="n">
        <v>1</v>
      </c>
      <c r="AM245" s="8" t="n">
        <v>1</v>
      </c>
      <c r="AN245" s="8" t="n">
        <v>1</v>
      </c>
      <c r="AO245" s="8" t="n">
        <v>1</v>
      </c>
      <c r="AP245" s="8" t="n">
        <v>1</v>
      </c>
      <c r="AQ245" s="8" t="n">
        <v>1</v>
      </c>
      <c r="AR245" s="8" t="n">
        <v>1</v>
      </c>
      <c r="AS245" s="8" t="n">
        <v>1</v>
      </c>
      <c r="AT245" s="8" t="n">
        <v>0</v>
      </c>
      <c r="AU245" s="8" t="n">
        <v>0</v>
      </c>
      <c r="AV245" s="8" t="n">
        <v>0</v>
      </c>
      <c r="AW245" s="8" t="n">
        <v>0</v>
      </c>
      <c r="AX245" s="8" t="n">
        <v>0</v>
      </c>
      <c r="AY245" s="8" t="n">
        <v>0</v>
      </c>
      <c r="AZ245" s="8" t="n">
        <v>0</v>
      </c>
      <c r="BA245" s="8" t="n">
        <v>0</v>
      </c>
      <c r="BB245" s="8" t="n">
        <v>0</v>
      </c>
      <c r="BC245" s="8" t="n">
        <v>390</v>
      </c>
      <c r="BD245" s="8" t="n">
        <v>1</v>
      </c>
      <c r="BE245" s="8" t="n">
        <v>0</v>
      </c>
      <c r="BF245" s="8" t="n">
        <v>0</v>
      </c>
      <c r="BG245" s="10" t="s">
        <v>2071</v>
      </c>
      <c r="BH245" s="9" t="s">
        <v>2072</v>
      </c>
    </row>
    <row r="246" customFormat="false" ht="15" hidden="false" customHeight="false" outlineLevel="0" collapsed="false">
      <c r="A246" s="8" t="s">
        <v>2073</v>
      </c>
      <c r="B246" s="8" t="s">
        <v>2074</v>
      </c>
      <c r="C246" s="8" t="n">
        <v>1</v>
      </c>
      <c r="D246" s="8" t="n">
        <v>1941</v>
      </c>
      <c r="E246" s="8" t="n">
        <v>1941</v>
      </c>
      <c r="F246" s="8" t="str">
        <f aca="false">IF(D246="","?",IF(D246&lt;1796,"pre-1796",IF(D246&lt;1912,"1796-1911",IF(D246&lt;1949,"1912-1948","1949+"))))</f>
        <v>1912-1948</v>
      </c>
      <c r="G246" s="8" t="str">
        <f aca="false">IF(D246="","?",IF(D246&lt;1912,"Qing",IF(D246&lt;1949,"Republic","PRC")))</f>
        <v>Republic</v>
      </c>
      <c r="H246" s="8" t="s">
        <v>2075</v>
      </c>
      <c r="I246" s="8"/>
      <c r="J246" s="9" t="s">
        <v>426</v>
      </c>
      <c r="K246" s="8" t="s">
        <v>130</v>
      </c>
      <c r="L246" s="8"/>
      <c r="M246" s="9" t="s">
        <v>2076</v>
      </c>
      <c r="N246" s="9" t="s">
        <v>2077</v>
      </c>
      <c r="O246" s="8" t="s">
        <v>2078</v>
      </c>
      <c r="P246" s="8" t="s">
        <v>133</v>
      </c>
      <c r="Q246" s="9" t="s">
        <v>2066</v>
      </c>
      <c r="R246" s="9" t="s">
        <v>2079</v>
      </c>
      <c r="S246" s="9" t="s">
        <v>2080</v>
      </c>
      <c r="T246" s="9" t="s">
        <v>2077</v>
      </c>
      <c r="U246" s="8"/>
      <c r="V246" s="9" t="s">
        <v>327</v>
      </c>
      <c r="W246" s="8"/>
      <c r="X246" s="8"/>
      <c r="Y246" s="8"/>
      <c r="Z246" s="9" t="s">
        <v>2081</v>
      </c>
      <c r="AA246" s="9" t="s">
        <v>2082</v>
      </c>
      <c r="AB246" s="8"/>
      <c r="AC246" s="8"/>
      <c r="AD246" s="8"/>
      <c r="AE246" s="8"/>
      <c r="AF246" s="8"/>
      <c r="AG246" s="8"/>
      <c r="AH246" s="8"/>
      <c r="AI246" s="8" t="n">
        <v>1</v>
      </c>
      <c r="AJ246" s="8" t="n">
        <v>0</v>
      </c>
      <c r="AK246" s="8" t="n">
        <v>1</v>
      </c>
      <c r="AL246" s="8" t="n">
        <v>1</v>
      </c>
      <c r="AM246" s="8" t="n">
        <v>1</v>
      </c>
      <c r="AN246" s="8" t="n">
        <v>1</v>
      </c>
      <c r="AO246" s="8" t="n">
        <v>1</v>
      </c>
      <c r="AP246" s="8" t="n">
        <v>1</v>
      </c>
      <c r="AQ246" s="8" t="n">
        <v>0</v>
      </c>
      <c r="AR246" s="8" t="n">
        <v>1</v>
      </c>
      <c r="AS246" s="8" t="n">
        <v>1</v>
      </c>
      <c r="AT246" s="8" t="n">
        <v>0</v>
      </c>
      <c r="AU246" s="8" t="n">
        <v>1</v>
      </c>
      <c r="AV246" s="8" t="n">
        <v>0</v>
      </c>
      <c r="AW246" s="8" t="n">
        <v>0</v>
      </c>
      <c r="AX246" s="8" t="n">
        <v>0</v>
      </c>
      <c r="AY246" s="8" t="n">
        <v>0</v>
      </c>
      <c r="AZ246" s="8" t="n">
        <v>0</v>
      </c>
      <c r="BA246" s="8" t="n">
        <v>0</v>
      </c>
      <c r="BB246" s="8" t="n">
        <v>0</v>
      </c>
      <c r="BC246" s="8" t="n">
        <v>428</v>
      </c>
      <c r="BD246" s="8" t="n">
        <v>1</v>
      </c>
      <c r="BE246" s="8" t="n">
        <v>0</v>
      </c>
      <c r="BF246" s="8" t="n">
        <v>0</v>
      </c>
      <c r="BG246" s="10" t="s">
        <v>2083</v>
      </c>
      <c r="BH246" s="9" t="s">
        <v>2084</v>
      </c>
    </row>
    <row r="247" customFormat="false" ht="15" hidden="false" customHeight="false" outlineLevel="0" collapsed="false">
      <c r="A247" s="8" t="s">
        <v>2085</v>
      </c>
      <c r="B247" s="8" t="s">
        <v>2086</v>
      </c>
      <c r="C247" s="8" t="n">
        <v>1</v>
      </c>
      <c r="D247" s="8" t="n">
        <v>1879</v>
      </c>
      <c r="E247" s="8" t="n">
        <v>1879</v>
      </c>
      <c r="F247" s="8" t="str">
        <f aca="false">IF(D247="","?",IF(D247&lt;1796,"pre-1796",IF(D247&lt;1912,"1796-1911",IF(D247&lt;1949,"1912-1948","1949+"))))</f>
        <v>1796-1911</v>
      </c>
      <c r="G247" s="8" t="str">
        <f aca="false">IF(D247="","?",IF(D247&lt;1912,"Qing",IF(D247&lt;1949,"Republic","PRC")))</f>
        <v>Qing</v>
      </c>
      <c r="H247" s="8" t="s">
        <v>2087</v>
      </c>
      <c r="I247" s="8"/>
      <c r="J247" s="8"/>
      <c r="K247" s="8" t="s">
        <v>130</v>
      </c>
      <c r="L247" s="8"/>
      <c r="M247" s="9" t="s">
        <v>2088</v>
      </c>
      <c r="N247" s="9" t="s">
        <v>2089</v>
      </c>
      <c r="O247" s="8" t="s">
        <v>2090</v>
      </c>
      <c r="P247" s="8" t="s">
        <v>133</v>
      </c>
      <c r="Q247" s="9" t="s">
        <v>1440</v>
      </c>
      <c r="R247" s="8"/>
      <c r="S247" s="9" t="s">
        <v>2091</v>
      </c>
      <c r="T247" s="9" t="s">
        <v>2089</v>
      </c>
      <c r="U247" s="9" t="s">
        <v>2092</v>
      </c>
      <c r="V247" s="8"/>
      <c r="W247" s="8"/>
      <c r="X247" s="8"/>
      <c r="Y247" s="8"/>
      <c r="Z247" s="8"/>
      <c r="AA247" s="9" t="s">
        <v>2093</v>
      </c>
      <c r="AB247" s="8"/>
      <c r="AC247" s="8"/>
      <c r="AD247" s="8"/>
      <c r="AE247" s="8"/>
      <c r="AF247" s="8"/>
      <c r="AG247" s="8"/>
      <c r="AH247" s="8"/>
      <c r="AI247" s="8" t="n">
        <v>1</v>
      </c>
      <c r="AJ247" s="8" t="n">
        <v>1</v>
      </c>
      <c r="AK247" s="8" t="n">
        <v>1</v>
      </c>
      <c r="AL247" s="8" t="n">
        <v>1</v>
      </c>
      <c r="AM247" s="8" t="n">
        <v>0</v>
      </c>
      <c r="AN247" s="8" t="n">
        <v>1</v>
      </c>
      <c r="AO247" s="8" t="n">
        <v>1</v>
      </c>
      <c r="AP247" s="8" t="n">
        <v>1</v>
      </c>
      <c r="AQ247" s="8" t="n">
        <v>1</v>
      </c>
      <c r="AR247" s="8" t="n">
        <v>1</v>
      </c>
      <c r="AS247" s="8" t="n">
        <v>1</v>
      </c>
      <c r="AT247" s="8" t="n">
        <v>0</v>
      </c>
      <c r="AU247" s="8" t="n">
        <v>0</v>
      </c>
      <c r="AV247" s="8" t="n">
        <v>0</v>
      </c>
      <c r="AW247" s="8" t="n">
        <v>0</v>
      </c>
      <c r="AX247" s="8" t="n">
        <v>0</v>
      </c>
      <c r="AY247" s="8" t="n">
        <v>0</v>
      </c>
      <c r="AZ247" s="8" t="n">
        <v>0</v>
      </c>
      <c r="BA247" s="8" t="n">
        <v>0</v>
      </c>
      <c r="BB247" s="8" t="n">
        <v>0</v>
      </c>
      <c r="BC247" s="8" t="n">
        <v>290</v>
      </c>
      <c r="BD247" s="8" t="n">
        <v>1</v>
      </c>
      <c r="BE247" s="8" t="n">
        <v>0</v>
      </c>
      <c r="BF247" s="8" t="n">
        <v>0</v>
      </c>
      <c r="BG247" s="10" t="s">
        <v>2094</v>
      </c>
      <c r="BH247" s="9" t="s">
        <v>2095</v>
      </c>
    </row>
    <row r="248" customFormat="false" ht="15" hidden="false" customHeight="false" outlineLevel="0" collapsed="false">
      <c r="A248" s="8" t="s">
        <v>2096</v>
      </c>
      <c r="B248" s="8" t="s">
        <v>2097</v>
      </c>
      <c r="C248" s="8" t="n">
        <v>1</v>
      </c>
      <c r="D248" s="8" t="n">
        <v>1932</v>
      </c>
      <c r="E248" s="8" t="n">
        <v>1932</v>
      </c>
      <c r="F248" s="8" t="str">
        <f aca="false">IF(D248="","?",IF(D248&lt;1796,"pre-1796",IF(D248&lt;1912,"1796-1911",IF(D248&lt;1949,"1912-1948","1949+"))))</f>
        <v>1912-1948</v>
      </c>
      <c r="G248" s="8" t="str">
        <f aca="false">IF(D248="","?",IF(D248&lt;1912,"Qing",IF(D248&lt;1949,"Republic","PRC")))</f>
        <v>Republic</v>
      </c>
      <c r="H248" s="8" t="s">
        <v>409</v>
      </c>
      <c r="I248" s="9" t="s">
        <v>82</v>
      </c>
      <c r="J248" s="9" t="s">
        <v>83</v>
      </c>
      <c r="K248" s="8" t="s">
        <v>130</v>
      </c>
      <c r="L248" s="8"/>
      <c r="M248" s="9" t="s">
        <v>2098</v>
      </c>
      <c r="N248" s="9" t="s">
        <v>1438</v>
      </c>
      <c r="O248" s="8" t="s">
        <v>2099</v>
      </c>
      <c r="P248" s="8" t="s">
        <v>133</v>
      </c>
      <c r="Q248" s="9" t="s">
        <v>1440</v>
      </c>
      <c r="R248" s="8"/>
      <c r="S248" s="8"/>
      <c r="T248" s="8"/>
      <c r="U248" s="9" t="s">
        <v>2100</v>
      </c>
      <c r="V248" s="9" t="s">
        <v>1471</v>
      </c>
      <c r="W248" s="8"/>
      <c r="X248" s="8"/>
      <c r="Y248" s="8"/>
      <c r="Z248" s="8"/>
      <c r="AA248" s="9" t="s">
        <v>2101</v>
      </c>
      <c r="AB248" s="8"/>
      <c r="AC248" s="9" t="s">
        <v>2102</v>
      </c>
      <c r="AD248" s="8"/>
      <c r="AE248" s="8"/>
      <c r="AF248" s="8"/>
      <c r="AG248" s="8"/>
      <c r="AH248" s="8"/>
      <c r="AI248" s="8" t="n">
        <v>1</v>
      </c>
      <c r="AJ248" s="8" t="n">
        <v>1</v>
      </c>
      <c r="AK248" s="8" t="n">
        <v>1</v>
      </c>
      <c r="AL248" s="8" t="n">
        <v>1</v>
      </c>
      <c r="AM248" s="8" t="n">
        <v>1</v>
      </c>
      <c r="AN248" s="8" t="n">
        <v>1</v>
      </c>
      <c r="AO248" s="8" t="n">
        <v>1</v>
      </c>
      <c r="AP248" s="8" t="n">
        <v>1</v>
      </c>
      <c r="AQ248" s="8" t="n">
        <v>1</v>
      </c>
      <c r="AR248" s="8" t="n">
        <v>1</v>
      </c>
      <c r="AS248" s="8" t="n">
        <v>1</v>
      </c>
      <c r="AT248" s="8" t="n">
        <v>0</v>
      </c>
      <c r="AU248" s="8" t="n">
        <v>0</v>
      </c>
      <c r="AV248" s="8" t="n">
        <v>0</v>
      </c>
      <c r="AW248" s="8" t="n">
        <v>0</v>
      </c>
      <c r="AX248" s="8" t="n">
        <v>0</v>
      </c>
      <c r="AY248" s="8" t="n">
        <v>0</v>
      </c>
      <c r="AZ248" s="8" t="n">
        <v>0</v>
      </c>
      <c r="BA248" s="8" t="n">
        <v>0</v>
      </c>
      <c r="BB248" s="8" t="n">
        <v>0</v>
      </c>
      <c r="BC248" s="8" t="n">
        <v>407</v>
      </c>
      <c r="BD248" s="8" t="n">
        <v>0</v>
      </c>
      <c r="BE248" s="8" t="n">
        <v>0</v>
      </c>
      <c r="BF248" s="8" t="n">
        <v>0</v>
      </c>
      <c r="BG248" s="10" t="s">
        <v>2103</v>
      </c>
      <c r="BH248" s="9" t="s">
        <v>2104</v>
      </c>
    </row>
    <row r="249" customFormat="false" ht="15" hidden="false" customHeight="false" outlineLevel="0" collapsed="false">
      <c r="A249" s="8" t="s">
        <v>2105</v>
      </c>
      <c r="B249" s="8" t="s">
        <v>2106</v>
      </c>
      <c r="C249" s="8" t="n">
        <v>1</v>
      </c>
      <c r="D249" s="8" t="n">
        <v>1936</v>
      </c>
      <c r="E249" s="8" t="n">
        <v>1936</v>
      </c>
      <c r="F249" s="8" t="str">
        <f aca="false">IF(D249="","?",IF(D249&lt;1796,"pre-1796",IF(D249&lt;1912,"1796-1911",IF(D249&lt;1949,"1912-1948","1949+"))))</f>
        <v>1912-1948</v>
      </c>
      <c r="G249" s="8" t="str">
        <f aca="false">IF(D249="","?",IF(D249&lt;1912,"Qing",IF(D249&lt;1949,"Republic","PRC")))</f>
        <v>Republic</v>
      </c>
      <c r="H249" s="8" t="s">
        <v>1436</v>
      </c>
      <c r="I249" s="8"/>
      <c r="J249" s="9" t="s">
        <v>426</v>
      </c>
      <c r="K249" s="8" t="s">
        <v>130</v>
      </c>
      <c r="L249" s="8"/>
      <c r="M249" s="9" t="s">
        <v>1437</v>
      </c>
      <c r="N249" s="9" t="s">
        <v>1438</v>
      </c>
      <c r="O249" s="8" t="s">
        <v>2107</v>
      </c>
      <c r="P249" s="8" t="s">
        <v>133</v>
      </c>
      <c r="Q249" s="9" t="s">
        <v>2066</v>
      </c>
      <c r="R249" s="8"/>
      <c r="S249" s="9" t="s">
        <v>2067</v>
      </c>
      <c r="T249" s="9" t="s">
        <v>1441</v>
      </c>
      <c r="U249" s="9" t="s">
        <v>2108</v>
      </c>
      <c r="V249" s="9" t="s">
        <v>1443</v>
      </c>
      <c r="W249" s="8"/>
      <c r="X249" s="8"/>
      <c r="Y249" s="9" t="s">
        <v>306</v>
      </c>
      <c r="Z249" s="8"/>
      <c r="AA249" s="8"/>
      <c r="AB249" s="8"/>
      <c r="AC249" s="9" t="s">
        <v>1444</v>
      </c>
      <c r="AD249" s="8"/>
      <c r="AE249" s="8"/>
      <c r="AF249" s="8"/>
      <c r="AG249" s="8"/>
      <c r="AH249" s="8"/>
      <c r="AI249" s="8" t="n">
        <v>1</v>
      </c>
      <c r="AJ249" s="8" t="n">
        <v>1</v>
      </c>
      <c r="AK249" s="8" t="n">
        <v>1</v>
      </c>
      <c r="AL249" s="8" t="n">
        <v>1</v>
      </c>
      <c r="AM249" s="8" t="n">
        <v>1</v>
      </c>
      <c r="AN249" s="8" t="n">
        <v>1</v>
      </c>
      <c r="AO249" s="8" t="n">
        <v>1</v>
      </c>
      <c r="AP249" s="8" t="n">
        <v>1</v>
      </c>
      <c r="AQ249" s="8" t="n">
        <v>1</v>
      </c>
      <c r="AR249" s="8" t="n">
        <v>1</v>
      </c>
      <c r="AS249" s="8" t="n">
        <v>1</v>
      </c>
      <c r="AT249" s="8" t="n">
        <v>0</v>
      </c>
      <c r="AU249" s="8" t="n">
        <v>0</v>
      </c>
      <c r="AV249" s="8" t="n">
        <v>0</v>
      </c>
      <c r="AW249" s="8" t="n">
        <v>0</v>
      </c>
      <c r="AX249" s="8" t="n">
        <v>0</v>
      </c>
      <c r="AY249" s="8" t="n">
        <v>0</v>
      </c>
      <c r="AZ249" s="8" t="n">
        <v>0</v>
      </c>
      <c r="BA249" s="8" t="n">
        <v>0</v>
      </c>
      <c r="BB249" s="8" t="n">
        <v>0</v>
      </c>
      <c r="BC249" s="8" t="n">
        <v>390</v>
      </c>
      <c r="BD249" s="8" t="n">
        <v>0</v>
      </c>
      <c r="BE249" s="8" t="n">
        <v>0</v>
      </c>
      <c r="BF249" s="8" t="n">
        <v>0</v>
      </c>
      <c r="BG249" s="10" t="s">
        <v>2109</v>
      </c>
      <c r="BH249" s="9" t="s">
        <v>2110</v>
      </c>
    </row>
    <row r="250" customFormat="false" ht="15" hidden="false" customHeight="false" outlineLevel="0" collapsed="false">
      <c r="A250" s="8" t="s">
        <v>2111</v>
      </c>
      <c r="B250" s="8" t="s">
        <v>2112</v>
      </c>
      <c r="C250" s="8" t="n">
        <v>1</v>
      </c>
      <c r="D250" s="8" t="n">
        <v>1936</v>
      </c>
      <c r="E250" s="8" t="n">
        <v>1936</v>
      </c>
      <c r="F250" s="8" t="str">
        <f aca="false">IF(D250="","?",IF(D250&lt;1796,"pre-1796",IF(D250&lt;1912,"1796-1911",IF(D250&lt;1949,"1912-1948","1949+"))))</f>
        <v>1912-1948</v>
      </c>
      <c r="G250" s="8" t="str">
        <f aca="false">IF(D250="","?",IF(D250&lt;1912,"Qing",IF(D250&lt;1949,"Republic","PRC")))</f>
        <v>Republic</v>
      </c>
      <c r="H250" s="8" t="s">
        <v>1436</v>
      </c>
      <c r="I250" s="8"/>
      <c r="J250" s="9" t="s">
        <v>426</v>
      </c>
      <c r="K250" s="8" t="s">
        <v>130</v>
      </c>
      <c r="L250" s="8"/>
      <c r="M250" s="9" t="s">
        <v>1437</v>
      </c>
      <c r="N250" s="9" t="s">
        <v>1438</v>
      </c>
      <c r="O250" s="8" t="s">
        <v>2113</v>
      </c>
      <c r="P250" s="8" t="s">
        <v>133</v>
      </c>
      <c r="Q250" s="9" t="s">
        <v>2066</v>
      </c>
      <c r="R250" s="8"/>
      <c r="S250" s="9" t="s">
        <v>2067</v>
      </c>
      <c r="T250" s="9" t="s">
        <v>1441</v>
      </c>
      <c r="U250" s="9" t="s">
        <v>2114</v>
      </c>
      <c r="V250" s="9" t="s">
        <v>229</v>
      </c>
      <c r="W250" s="8"/>
      <c r="X250" s="8"/>
      <c r="Y250" s="9" t="s">
        <v>306</v>
      </c>
      <c r="Z250" s="8"/>
      <c r="AA250" s="9" t="s">
        <v>2070</v>
      </c>
      <c r="AB250" s="8"/>
      <c r="AC250" s="9" t="s">
        <v>1444</v>
      </c>
      <c r="AD250" s="8"/>
      <c r="AE250" s="8"/>
      <c r="AF250" s="8"/>
      <c r="AG250" s="8"/>
      <c r="AH250" s="8"/>
      <c r="AI250" s="8" t="n">
        <v>1</v>
      </c>
      <c r="AJ250" s="8" t="n">
        <v>1</v>
      </c>
      <c r="AK250" s="8" t="n">
        <v>1</v>
      </c>
      <c r="AL250" s="8" t="n">
        <v>1</v>
      </c>
      <c r="AM250" s="8" t="n">
        <v>1</v>
      </c>
      <c r="AN250" s="8" t="n">
        <v>1</v>
      </c>
      <c r="AO250" s="8" t="n">
        <v>1</v>
      </c>
      <c r="AP250" s="8" t="n">
        <v>0</v>
      </c>
      <c r="AQ250" s="8" t="n">
        <v>1</v>
      </c>
      <c r="AR250" s="8" t="n">
        <v>1</v>
      </c>
      <c r="AS250" s="8" t="n">
        <v>1</v>
      </c>
      <c r="AT250" s="8" t="n">
        <v>0</v>
      </c>
      <c r="AU250" s="8" t="n">
        <v>0</v>
      </c>
      <c r="AV250" s="8" t="n">
        <v>0</v>
      </c>
      <c r="AW250" s="8" t="n">
        <v>0</v>
      </c>
      <c r="AX250" s="8" t="n">
        <v>0</v>
      </c>
      <c r="AY250" s="8" t="n">
        <v>0</v>
      </c>
      <c r="AZ250" s="8" t="n">
        <v>0</v>
      </c>
      <c r="BA250" s="8" t="n">
        <v>0</v>
      </c>
      <c r="BB250" s="8" t="n">
        <v>0</v>
      </c>
      <c r="BC250" s="8" t="n">
        <v>397</v>
      </c>
      <c r="BD250" s="8" t="n">
        <v>0</v>
      </c>
      <c r="BE250" s="8" t="n">
        <v>0</v>
      </c>
      <c r="BF250" s="8" t="n">
        <v>0</v>
      </c>
      <c r="BG250" s="10" t="s">
        <v>2115</v>
      </c>
      <c r="BH250" s="9" t="s">
        <v>2116</v>
      </c>
    </row>
    <row r="251" customFormat="false" ht="15" hidden="false" customHeight="false" outlineLevel="0" collapsed="false">
      <c r="A251" s="8" t="s">
        <v>2117</v>
      </c>
      <c r="B251" s="8" t="s">
        <v>2118</v>
      </c>
      <c r="C251" s="8" t="n">
        <v>1</v>
      </c>
      <c r="D251" s="8" t="n">
        <v>1926</v>
      </c>
      <c r="E251" s="8" t="n">
        <v>1926</v>
      </c>
      <c r="F251" s="8" t="str">
        <f aca="false">IF(D251="","?",IF(D251&lt;1796,"pre-1796",IF(D251&lt;1912,"1796-1911",IF(D251&lt;1949,"1912-1948","1949+"))))</f>
        <v>1912-1948</v>
      </c>
      <c r="G251" s="8" t="str">
        <f aca="false">IF(D251="","?",IF(D251&lt;1912,"Qing",IF(D251&lt;1949,"Republic","PRC")))</f>
        <v>Republic</v>
      </c>
      <c r="H251" s="8" t="s">
        <v>2119</v>
      </c>
      <c r="I251" s="8"/>
      <c r="J251" s="9" t="s">
        <v>426</v>
      </c>
      <c r="K251" s="8" t="s">
        <v>84</v>
      </c>
      <c r="L251" s="8"/>
      <c r="M251" s="9" t="s">
        <v>2120</v>
      </c>
      <c r="N251" s="9" t="s">
        <v>1959</v>
      </c>
      <c r="O251" s="8" t="s">
        <v>2121</v>
      </c>
      <c r="P251" s="8" t="s">
        <v>133</v>
      </c>
      <c r="Q251" s="9" t="s">
        <v>2122</v>
      </c>
      <c r="R251" s="9" t="s">
        <v>2123</v>
      </c>
      <c r="S251" s="9" t="s">
        <v>2124</v>
      </c>
      <c r="T251" s="9" t="s">
        <v>2125</v>
      </c>
      <c r="U251" s="9" t="s">
        <v>2126</v>
      </c>
      <c r="V251" s="9" t="s">
        <v>2127</v>
      </c>
      <c r="W251" s="9" t="s">
        <v>2128</v>
      </c>
      <c r="X251" s="9" t="s">
        <v>2129</v>
      </c>
      <c r="Y251" s="9" t="s">
        <v>715</v>
      </c>
      <c r="Z251" s="9" t="s">
        <v>2130</v>
      </c>
      <c r="AA251" s="9" t="s">
        <v>2131</v>
      </c>
      <c r="AB251" s="9" t="s">
        <v>2132</v>
      </c>
      <c r="AC251" s="9" t="s">
        <v>704</v>
      </c>
      <c r="AD251" s="9" t="s">
        <v>790</v>
      </c>
      <c r="AE251" s="8"/>
      <c r="AF251" s="8"/>
      <c r="AG251" s="8"/>
      <c r="AH251" s="8"/>
      <c r="AI251" s="8" t="n">
        <v>1</v>
      </c>
      <c r="AJ251" s="8" t="n">
        <v>1</v>
      </c>
      <c r="AK251" s="8" t="n">
        <v>1</v>
      </c>
      <c r="AL251" s="8" t="n">
        <v>1</v>
      </c>
      <c r="AM251" s="8" t="n">
        <v>1</v>
      </c>
      <c r="AN251" s="8" t="n">
        <v>0</v>
      </c>
      <c r="AO251" s="8" t="n">
        <v>1</v>
      </c>
      <c r="AP251" s="8" t="n">
        <v>1</v>
      </c>
      <c r="AQ251" s="8" t="n">
        <v>0</v>
      </c>
      <c r="AR251" s="8" t="n">
        <v>0</v>
      </c>
      <c r="AS251" s="8" t="n">
        <v>1</v>
      </c>
      <c r="AT251" s="8" t="n">
        <v>0</v>
      </c>
      <c r="AU251" s="8" t="n">
        <v>1</v>
      </c>
      <c r="AV251" s="8" t="n">
        <v>0</v>
      </c>
      <c r="AW251" s="8" t="n">
        <v>0</v>
      </c>
      <c r="AX251" s="8" t="n">
        <v>0</v>
      </c>
      <c r="AY251" s="8" t="n">
        <v>0</v>
      </c>
      <c r="AZ251" s="8" t="n">
        <v>0</v>
      </c>
      <c r="BA251" s="8" t="n">
        <v>0</v>
      </c>
      <c r="BB251" s="8" t="n">
        <v>0</v>
      </c>
      <c r="BC251" s="8" t="n">
        <v>249</v>
      </c>
      <c r="BD251" s="8" t="n">
        <v>0</v>
      </c>
      <c r="BE251" s="8" t="n">
        <v>0</v>
      </c>
      <c r="BF251" s="8" t="n">
        <v>0</v>
      </c>
      <c r="BG251" s="10" t="s">
        <v>2133</v>
      </c>
      <c r="BH251" s="9" t="s">
        <v>2134</v>
      </c>
    </row>
    <row r="252" customFormat="false" ht="15" hidden="false" customHeight="false" outlineLevel="0" collapsed="false">
      <c r="A252" s="8" t="s">
        <v>2135</v>
      </c>
      <c r="B252" s="8" t="s">
        <v>2136</v>
      </c>
      <c r="C252" s="8" t="n">
        <v>1</v>
      </c>
      <c r="D252" s="8" t="n">
        <v>1927</v>
      </c>
      <c r="E252" s="8" t="n">
        <v>1927</v>
      </c>
      <c r="F252" s="8" t="str">
        <f aca="false">IF(D252="","?",IF(D252&lt;1796,"pre-1796",IF(D252&lt;1912,"1796-1911",IF(D252&lt;1949,"1912-1948","1949+"))))</f>
        <v>1912-1948</v>
      </c>
      <c r="G252" s="8" t="str">
        <f aca="false">IF(D252="","?",IF(D252&lt;1912,"Qing",IF(D252&lt;1949,"Republic","PRC")))</f>
        <v>Republic</v>
      </c>
      <c r="H252" s="8" t="s">
        <v>1694</v>
      </c>
      <c r="I252" s="8"/>
      <c r="J252" s="8"/>
      <c r="K252" s="8" t="s">
        <v>130</v>
      </c>
      <c r="L252" s="8"/>
      <c r="M252" s="9" t="s">
        <v>2137</v>
      </c>
      <c r="N252" s="9" t="s">
        <v>2138</v>
      </c>
      <c r="O252" s="8" t="s">
        <v>2139</v>
      </c>
      <c r="P252" s="8" t="s">
        <v>87</v>
      </c>
      <c r="Q252" s="8"/>
      <c r="R252" s="9" t="s">
        <v>2140</v>
      </c>
      <c r="S252" s="8"/>
      <c r="T252" s="8"/>
      <c r="U252" s="8"/>
      <c r="V252" s="8"/>
      <c r="W252" s="8"/>
      <c r="X252" s="9" t="s">
        <v>2141</v>
      </c>
      <c r="Y252" s="8"/>
      <c r="Z252" s="8"/>
      <c r="AA252" s="8"/>
      <c r="AB252" s="8"/>
      <c r="AC252" s="8"/>
      <c r="AD252" s="8"/>
      <c r="AE252" s="8"/>
      <c r="AF252" s="8"/>
      <c r="AG252" s="8"/>
      <c r="AH252" s="8"/>
      <c r="AI252" s="8" t="n">
        <v>0</v>
      </c>
      <c r="AJ252" s="8" t="n">
        <v>0</v>
      </c>
      <c r="AK252" s="8" t="n">
        <v>0</v>
      </c>
      <c r="AL252" s="8" t="n">
        <v>0</v>
      </c>
      <c r="AM252" s="8" t="n">
        <v>0</v>
      </c>
      <c r="AN252" s="8" t="n">
        <v>0</v>
      </c>
      <c r="AO252" s="8" t="n">
        <v>0</v>
      </c>
      <c r="AP252" s="8" t="n">
        <v>0</v>
      </c>
      <c r="AQ252" s="8" t="n">
        <v>0</v>
      </c>
      <c r="AR252" s="8" t="n">
        <v>0</v>
      </c>
      <c r="AS252" s="8" t="n">
        <v>0</v>
      </c>
      <c r="AT252" s="8" t="n">
        <v>0</v>
      </c>
      <c r="AU252" s="8" t="n">
        <v>0</v>
      </c>
      <c r="AV252" s="8" t="n">
        <v>0</v>
      </c>
      <c r="AW252" s="8" t="n">
        <v>0</v>
      </c>
      <c r="AX252" s="8" t="n">
        <v>0</v>
      </c>
      <c r="AY252" s="8" t="n">
        <v>0</v>
      </c>
      <c r="AZ252" s="8" t="n">
        <v>0</v>
      </c>
      <c r="BA252" s="8" t="n">
        <v>0</v>
      </c>
      <c r="BB252" s="8" t="n">
        <v>0</v>
      </c>
      <c r="BC252" s="8" t="n">
        <v>38</v>
      </c>
      <c r="BD252" s="8" t="n">
        <v>0</v>
      </c>
      <c r="BE252" s="8" t="n">
        <v>0</v>
      </c>
      <c r="BF252" s="8" t="n">
        <v>0</v>
      </c>
      <c r="BG252" s="10" t="s">
        <v>2142</v>
      </c>
      <c r="BH252" s="9" t="s">
        <v>2143</v>
      </c>
    </row>
    <row r="253" customFormat="false" ht="15" hidden="false" customHeight="false" outlineLevel="0" collapsed="false">
      <c r="A253" s="8" t="s">
        <v>2144</v>
      </c>
      <c r="B253" s="8" t="s">
        <v>2145</v>
      </c>
      <c r="C253" s="8" t="n">
        <v>1</v>
      </c>
      <c r="D253" s="8" t="n">
        <v>1805</v>
      </c>
      <c r="E253" s="8" t="n">
        <v>1808</v>
      </c>
      <c r="F253" s="8" t="str">
        <f aca="false">IF(D253="","?",IF(D253&lt;1796,"pre-1796",IF(D253&lt;1912,"1796-1911",IF(D253&lt;1949,"1912-1948","1949+"))))</f>
        <v>1796-1911</v>
      </c>
      <c r="G253" s="8" t="str">
        <f aca="false">IF(D253="","?",IF(D253&lt;1912,"Qing",IF(D253&lt;1949,"Republic","PRC")))</f>
        <v>Qing</v>
      </c>
      <c r="H253" s="8" t="s">
        <v>2146</v>
      </c>
      <c r="I253" s="8"/>
      <c r="J253" s="8"/>
      <c r="K253" s="8" t="s">
        <v>130</v>
      </c>
      <c r="L253" s="8"/>
      <c r="M253" s="9" t="s">
        <v>1459</v>
      </c>
      <c r="N253" s="9" t="s">
        <v>2147</v>
      </c>
      <c r="O253" s="8" t="s">
        <v>2148</v>
      </c>
      <c r="P253" s="8" t="s">
        <v>87</v>
      </c>
      <c r="Q253" s="8"/>
      <c r="R253" s="9" t="s">
        <v>2149</v>
      </c>
      <c r="S253" s="8"/>
      <c r="T253" s="8"/>
      <c r="U253" s="8"/>
      <c r="V253" s="8"/>
      <c r="W253" s="8"/>
      <c r="X253" s="8"/>
      <c r="Y253" s="8"/>
      <c r="Z253" s="8"/>
      <c r="AA253" s="8"/>
      <c r="AB253" s="8"/>
      <c r="AC253" s="8"/>
      <c r="AD253" s="8"/>
      <c r="AE253" s="8"/>
      <c r="AF253" s="8"/>
      <c r="AG253" s="8"/>
      <c r="AH253" s="8"/>
      <c r="AI253" s="8" t="n">
        <v>0</v>
      </c>
      <c r="AJ253" s="8" t="n">
        <v>0</v>
      </c>
      <c r="AK253" s="8" t="n">
        <v>0</v>
      </c>
      <c r="AL253" s="8" t="n">
        <v>0</v>
      </c>
      <c r="AM253" s="8" t="n">
        <v>0</v>
      </c>
      <c r="AN253" s="8" t="n">
        <v>0</v>
      </c>
      <c r="AO253" s="8" t="n">
        <v>0</v>
      </c>
      <c r="AP253" s="8" t="n">
        <v>0</v>
      </c>
      <c r="AQ253" s="8" t="n">
        <v>0</v>
      </c>
      <c r="AR253" s="8" t="n">
        <v>0</v>
      </c>
      <c r="AS253" s="8" t="n">
        <v>0</v>
      </c>
      <c r="AT253" s="8" t="n">
        <v>0</v>
      </c>
      <c r="AU253" s="8" t="n">
        <v>0</v>
      </c>
      <c r="AV253" s="8" t="n">
        <v>0</v>
      </c>
      <c r="AW253" s="8" t="n">
        <v>0</v>
      </c>
      <c r="AX253" s="8" t="n">
        <v>0</v>
      </c>
      <c r="AY253" s="8" t="n">
        <v>0</v>
      </c>
      <c r="AZ253" s="8" t="n">
        <v>0</v>
      </c>
      <c r="BA253" s="8" t="n">
        <v>0</v>
      </c>
      <c r="BB253" s="8" t="n">
        <v>0</v>
      </c>
      <c r="BC253" s="8" t="n">
        <v>22</v>
      </c>
      <c r="BD253" s="8" t="n">
        <v>1</v>
      </c>
      <c r="BE253" s="8" t="n">
        <v>0</v>
      </c>
      <c r="BF253" s="8" t="n">
        <v>0</v>
      </c>
      <c r="BG253" s="10" t="s">
        <v>2150</v>
      </c>
      <c r="BH253" s="9" t="s">
        <v>2151</v>
      </c>
    </row>
    <row r="254" customFormat="false" ht="15" hidden="false" customHeight="false" outlineLevel="0" collapsed="false">
      <c r="A254" s="8" t="s">
        <v>2152</v>
      </c>
      <c r="B254" s="8" t="s">
        <v>2145</v>
      </c>
      <c r="C254" s="8" t="n">
        <v>2</v>
      </c>
      <c r="D254" s="8" t="n">
        <v>1805</v>
      </c>
      <c r="E254" s="8" t="n">
        <v>1808</v>
      </c>
      <c r="F254" s="8" t="str">
        <f aca="false">IF(D254="","?",IF(D254&lt;1796,"pre-1796",IF(D254&lt;1912,"1796-1911",IF(D254&lt;1949,"1912-1948","1949+"))))</f>
        <v>1796-1911</v>
      </c>
      <c r="G254" s="8" t="str">
        <f aca="false">IF(D254="","?",IF(D254&lt;1912,"Qing",IF(D254&lt;1949,"Republic","PRC")))</f>
        <v>Qing</v>
      </c>
      <c r="H254" s="8" t="s">
        <v>2146</v>
      </c>
      <c r="I254" s="8"/>
      <c r="J254" s="8"/>
      <c r="K254" s="8" t="s">
        <v>130</v>
      </c>
      <c r="L254" s="8"/>
      <c r="M254" s="9" t="s">
        <v>1459</v>
      </c>
      <c r="N254" s="9" t="s">
        <v>2147</v>
      </c>
      <c r="O254" s="8" t="s">
        <v>2148</v>
      </c>
      <c r="P254" s="8" t="s">
        <v>87</v>
      </c>
      <c r="Q254" s="8"/>
      <c r="R254" s="9" t="s">
        <v>2153</v>
      </c>
      <c r="S254" s="8"/>
      <c r="T254" s="8"/>
      <c r="U254" s="8"/>
      <c r="V254" s="8"/>
      <c r="W254" s="8"/>
      <c r="X254" s="8"/>
      <c r="Y254" s="8"/>
      <c r="Z254" s="8"/>
      <c r="AA254" s="8"/>
      <c r="AB254" s="8"/>
      <c r="AC254" s="8"/>
      <c r="AD254" s="8"/>
      <c r="AE254" s="8"/>
      <c r="AF254" s="8"/>
      <c r="AG254" s="8"/>
      <c r="AH254" s="8"/>
      <c r="AI254" s="8" t="n">
        <v>0</v>
      </c>
      <c r="AJ254" s="8" t="n">
        <v>0</v>
      </c>
      <c r="AK254" s="8" t="n">
        <v>0</v>
      </c>
      <c r="AL254" s="8" t="n">
        <v>0</v>
      </c>
      <c r="AM254" s="8" t="n">
        <v>0</v>
      </c>
      <c r="AN254" s="8" t="n">
        <v>0</v>
      </c>
      <c r="AO254" s="8" t="n">
        <v>0</v>
      </c>
      <c r="AP254" s="8" t="n">
        <v>0</v>
      </c>
      <c r="AQ254" s="8" t="n">
        <v>0</v>
      </c>
      <c r="AR254" s="8" t="n">
        <v>0</v>
      </c>
      <c r="AS254" s="8" t="n">
        <v>0</v>
      </c>
      <c r="AT254" s="8" t="n">
        <v>0</v>
      </c>
      <c r="AU254" s="8" t="n">
        <v>0</v>
      </c>
      <c r="AV254" s="8" t="n">
        <v>0</v>
      </c>
      <c r="AW254" s="8" t="n">
        <v>0</v>
      </c>
      <c r="AX254" s="8" t="n">
        <v>0</v>
      </c>
      <c r="AY254" s="8" t="n">
        <v>0</v>
      </c>
      <c r="AZ254" s="8" t="n">
        <v>0</v>
      </c>
      <c r="BA254" s="8" t="n">
        <v>0</v>
      </c>
      <c r="BB254" s="8" t="n">
        <v>0</v>
      </c>
      <c r="BC254" s="8" t="n">
        <v>53</v>
      </c>
      <c r="BD254" s="8" t="n">
        <v>0</v>
      </c>
      <c r="BE254" s="8" t="n">
        <v>0</v>
      </c>
      <c r="BF254" s="8" t="n">
        <v>0</v>
      </c>
      <c r="BG254" s="10" t="s">
        <v>2150</v>
      </c>
      <c r="BH254" s="9" t="s">
        <v>2154</v>
      </c>
    </row>
    <row r="255" customFormat="false" ht="15" hidden="false" customHeight="false" outlineLevel="0" collapsed="false">
      <c r="A255" s="8" t="s">
        <v>2155</v>
      </c>
      <c r="B255" s="8" t="s">
        <v>2145</v>
      </c>
      <c r="C255" s="8" t="n">
        <v>3</v>
      </c>
      <c r="D255" s="8" t="n">
        <v>1805</v>
      </c>
      <c r="E255" s="8" t="n">
        <v>1808</v>
      </c>
      <c r="F255" s="8" t="str">
        <f aca="false">IF(D255="","?",IF(D255&lt;1796,"pre-1796",IF(D255&lt;1912,"1796-1911",IF(D255&lt;1949,"1912-1948","1949+"))))</f>
        <v>1796-1911</v>
      </c>
      <c r="G255" s="8" t="str">
        <f aca="false">IF(D255="","?",IF(D255&lt;1912,"Qing",IF(D255&lt;1949,"Republic","PRC")))</f>
        <v>Qing</v>
      </c>
      <c r="H255" s="8" t="s">
        <v>2146</v>
      </c>
      <c r="I255" s="8"/>
      <c r="J255" s="8"/>
      <c r="K255" s="8" t="s">
        <v>130</v>
      </c>
      <c r="L255" s="8"/>
      <c r="M255" s="9" t="s">
        <v>1459</v>
      </c>
      <c r="N255" s="9" t="s">
        <v>2147</v>
      </c>
      <c r="O255" s="8" t="s">
        <v>2148</v>
      </c>
      <c r="P255" s="8" t="s">
        <v>87</v>
      </c>
      <c r="Q255" s="8"/>
      <c r="R255" s="9" t="s">
        <v>2156</v>
      </c>
      <c r="S255" s="8"/>
      <c r="T255" s="8"/>
      <c r="U255" s="8"/>
      <c r="V255" s="8"/>
      <c r="W255" s="8"/>
      <c r="X255" s="8"/>
      <c r="Y255" s="8"/>
      <c r="Z255" s="8"/>
      <c r="AA255" s="8"/>
      <c r="AB255" s="8"/>
      <c r="AC255" s="8"/>
      <c r="AD255" s="8"/>
      <c r="AE255" s="8"/>
      <c r="AF255" s="8"/>
      <c r="AG255" s="8"/>
      <c r="AH255" s="8"/>
      <c r="AI255" s="8" t="n">
        <v>0</v>
      </c>
      <c r="AJ255" s="8" t="n">
        <v>0</v>
      </c>
      <c r="AK255" s="8" t="n">
        <v>0</v>
      </c>
      <c r="AL255" s="8" t="n">
        <v>0</v>
      </c>
      <c r="AM255" s="8" t="n">
        <v>0</v>
      </c>
      <c r="AN255" s="8" t="n">
        <v>0</v>
      </c>
      <c r="AO255" s="8" t="n">
        <v>0</v>
      </c>
      <c r="AP255" s="8" t="n">
        <v>0</v>
      </c>
      <c r="AQ255" s="8" t="n">
        <v>0</v>
      </c>
      <c r="AR255" s="8" t="n">
        <v>0</v>
      </c>
      <c r="AS255" s="8" t="n">
        <v>0</v>
      </c>
      <c r="AT255" s="8" t="n">
        <v>0</v>
      </c>
      <c r="AU255" s="8" t="n">
        <v>0</v>
      </c>
      <c r="AV255" s="8" t="n">
        <v>0</v>
      </c>
      <c r="AW255" s="8" t="n">
        <v>0</v>
      </c>
      <c r="AX255" s="8" t="n">
        <v>0</v>
      </c>
      <c r="AY255" s="8" t="n">
        <v>0</v>
      </c>
      <c r="AZ255" s="8" t="n">
        <v>0</v>
      </c>
      <c r="BA255" s="8" t="n">
        <v>0</v>
      </c>
      <c r="BB255" s="8" t="n">
        <v>0</v>
      </c>
      <c r="BC255" s="8" t="n">
        <v>53</v>
      </c>
      <c r="BD255" s="8" t="n">
        <v>2</v>
      </c>
      <c r="BE255" s="8" t="n">
        <v>0</v>
      </c>
      <c r="BF255" s="8" t="n">
        <v>0</v>
      </c>
      <c r="BG255" s="10" t="s">
        <v>2150</v>
      </c>
      <c r="BH255" s="9" t="s">
        <v>2157</v>
      </c>
    </row>
    <row r="256" customFormat="false" ht="15" hidden="false" customHeight="false" outlineLevel="0" collapsed="false">
      <c r="A256" s="8" t="s">
        <v>2158</v>
      </c>
      <c r="B256" s="8" t="s">
        <v>2159</v>
      </c>
      <c r="C256" s="8" t="n">
        <v>1</v>
      </c>
      <c r="D256" s="8" t="n">
        <v>1928</v>
      </c>
      <c r="E256" s="8" t="n">
        <v>1928</v>
      </c>
      <c r="F256" s="8" t="str">
        <f aca="false">IF(D256="","?",IF(D256&lt;1796,"pre-1796",IF(D256&lt;1912,"1796-1911",IF(D256&lt;1949,"1912-1948","1949+"))))</f>
        <v>1912-1948</v>
      </c>
      <c r="G256" s="8" t="str">
        <f aca="false">IF(D256="","?",IF(D256&lt;1912,"Qing",IF(D256&lt;1949,"Republic","PRC")))</f>
        <v>Republic</v>
      </c>
      <c r="H256" s="8" t="s">
        <v>948</v>
      </c>
      <c r="I256" s="9" t="s">
        <v>466</v>
      </c>
      <c r="J256" s="9" t="s">
        <v>467</v>
      </c>
      <c r="K256" s="8" t="s">
        <v>84</v>
      </c>
      <c r="L256" s="9" t="s">
        <v>2160</v>
      </c>
      <c r="M256" s="8"/>
      <c r="N256" s="8"/>
      <c r="O256" s="8" t="s">
        <v>2161</v>
      </c>
      <c r="P256" s="8" t="s">
        <v>114</v>
      </c>
      <c r="Q256" s="8"/>
      <c r="R256" s="8"/>
      <c r="S256" s="8"/>
      <c r="T256" s="8"/>
      <c r="U256" s="8"/>
      <c r="V256" s="8"/>
      <c r="W256" s="8"/>
      <c r="X256" s="8"/>
      <c r="Y256" s="8"/>
      <c r="Z256" s="8"/>
      <c r="AA256" s="8"/>
      <c r="AB256" s="8"/>
      <c r="AC256" s="8"/>
      <c r="AD256" s="8"/>
      <c r="AE256" s="8"/>
      <c r="AF256" s="9" t="s">
        <v>2162</v>
      </c>
      <c r="AG256" s="8"/>
      <c r="AH256" s="8"/>
      <c r="AI256" s="8" t="n">
        <v>0</v>
      </c>
      <c r="AJ256" s="8" t="n">
        <v>0</v>
      </c>
      <c r="AK256" s="8" t="n">
        <v>0</v>
      </c>
      <c r="AL256" s="8" t="n">
        <v>0</v>
      </c>
      <c r="AM256" s="8" t="n">
        <v>0</v>
      </c>
      <c r="AN256" s="8" t="n">
        <v>0</v>
      </c>
      <c r="AO256" s="8" t="n">
        <v>0</v>
      </c>
      <c r="AP256" s="8" t="n">
        <v>0</v>
      </c>
      <c r="AQ256" s="8" t="n">
        <v>0</v>
      </c>
      <c r="AR256" s="8" t="n">
        <v>0</v>
      </c>
      <c r="AS256" s="8" t="n">
        <v>0</v>
      </c>
      <c r="AT256" s="8" t="n">
        <v>0</v>
      </c>
      <c r="AU256" s="8" t="n">
        <v>0</v>
      </c>
      <c r="AV256" s="8" t="n">
        <v>0</v>
      </c>
      <c r="AW256" s="8" t="n">
        <v>0</v>
      </c>
      <c r="AX256" s="8" t="n">
        <v>0</v>
      </c>
      <c r="AY256" s="8" t="n">
        <v>0</v>
      </c>
      <c r="AZ256" s="8" t="n">
        <v>0</v>
      </c>
      <c r="BA256" s="8" t="n">
        <v>0</v>
      </c>
      <c r="BB256" s="8" t="n">
        <v>0</v>
      </c>
      <c r="BC256" s="8" t="n">
        <v>100</v>
      </c>
      <c r="BD256" s="8" t="n">
        <v>0</v>
      </c>
      <c r="BE256" s="8" t="n">
        <v>9</v>
      </c>
      <c r="BF256" s="8" t="n">
        <v>0</v>
      </c>
      <c r="BG256" s="10" t="s">
        <v>2163</v>
      </c>
      <c r="BH256" s="9" t="s">
        <v>2164</v>
      </c>
    </row>
    <row r="257" customFormat="false" ht="15" hidden="false" customHeight="false" outlineLevel="0" collapsed="false">
      <c r="A257" s="8" t="s">
        <v>2165</v>
      </c>
      <c r="B257" s="8" t="s">
        <v>2166</v>
      </c>
      <c r="C257" s="8" t="n">
        <v>1</v>
      </c>
      <c r="D257" s="8" t="n">
        <v>1931</v>
      </c>
      <c r="E257" s="8" t="n">
        <v>1931</v>
      </c>
      <c r="F257" s="8" t="str">
        <f aca="false">IF(D257="","?",IF(D257&lt;1796,"pre-1796",IF(D257&lt;1912,"1796-1911",IF(D257&lt;1949,"1912-1948","1949+"))))</f>
        <v>1912-1948</v>
      </c>
      <c r="G257" s="8" t="str">
        <f aca="false">IF(D257="","?",IF(D257&lt;1912,"Qing",IF(D257&lt;1949,"Republic","PRC")))</f>
        <v>Republic</v>
      </c>
      <c r="H257" s="8" t="s">
        <v>159</v>
      </c>
      <c r="I257" s="9" t="s">
        <v>466</v>
      </c>
      <c r="J257" s="9" t="s">
        <v>467</v>
      </c>
      <c r="K257" s="8" t="s">
        <v>84</v>
      </c>
      <c r="L257" s="9" t="s">
        <v>2160</v>
      </c>
      <c r="M257" s="8"/>
      <c r="N257" s="8"/>
      <c r="O257" s="8" t="s">
        <v>2167</v>
      </c>
      <c r="P257" s="8" t="s">
        <v>114</v>
      </c>
      <c r="Q257" s="8"/>
      <c r="R257" s="8"/>
      <c r="S257" s="8"/>
      <c r="T257" s="8"/>
      <c r="U257" s="8"/>
      <c r="V257" s="8"/>
      <c r="W257" s="8"/>
      <c r="X257" s="8"/>
      <c r="Y257" s="8"/>
      <c r="Z257" s="8"/>
      <c r="AA257" s="8"/>
      <c r="AB257" s="8"/>
      <c r="AC257" s="8"/>
      <c r="AD257" s="8"/>
      <c r="AE257" s="8"/>
      <c r="AF257" s="8"/>
      <c r="AG257" s="8"/>
      <c r="AH257" s="8"/>
      <c r="AI257" s="8" t="n">
        <v>0</v>
      </c>
      <c r="AJ257" s="8" t="n">
        <v>0</v>
      </c>
      <c r="AK257" s="8" t="n">
        <v>0</v>
      </c>
      <c r="AL257" s="8" t="n">
        <v>0</v>
      </c>
      <c r="AM257" s="8" t="n">
        <v>0</v>
      </c>
      <c r="AN257" s="8" t="n">
        <v>0</v>
      </c>
      <c r="AO257" s="8" t="n">
        <v>0</v>
      </c>
      <c r="AP257" s="8" t="n">
        <v>0</v>
      </c>
      <c r="AQ257" s="8" t="n">
        <v>0</v>
      </c>
      <c r="AR257" s="8" t="n">
        <v>0</v>
      </c>
      <c r="AS257" s="8" t="n">
        <v>0</v>
      </c>
      <c r="AT257" s="8" t="n">
        <v>0</v>
      </c>
      <c r="AU257" s="8" t="n">
        <v>0</v>
      </c>
      <c r="AV257" s="8" t="n">
        <v>0</v>
      </c>
      <c r="AW257" s="8" t="n">
        <v>0</v>
      </c>
      <c r="AX257" s="8" t="n">
        <v>0</v>
      </c>
      <c r="AY257" s="8" t="n">
        <v>0</v>
      </c>
      <c r="AZ257" s="8" t="n">
        <v>0</v>
      </c>
      <c r="BA257" s="8" t="n">
        <v>0</v>
      </c>
      <c r="BB257" s="8" t="n">
        <v>0</v>
      </c>
      <c r="BC257" s="8" t="n">
        <v>34</v>
      </c>
      <c r="BD257" s="8" t="n">
        <v>0</v>
      </c>
      <c r="BE257" s="8" t="n">
        <v>2</v>
      </c>
      <c r="BF257" s="8" t="n">
        <v>0</v>
      </c>
      <c r="BG257" s="10" t="s">
        <v>2168</v>
      </c>
      <c r="BH257" s="9" t="s">
        <v>2169</v>
      </c>
    </row>
    <row r="258" customFormat="false" ht="15" hidden="false" customHeight="false" outlineLevel="0" collapsed="false">
      <c r="A258" s="8" t="s">
        <v>2170</v>
      </c>
      <c r="B258" s="8" t="s">
        <v>2171</v>
      </c>
      <c r="C258" s="8" t="n">
        <v>1</v>
      </c>
      <c r="D258" s="8" t="n">
        <v>1900</v>
      </c>
      <c r="E258" s="8" t="n">
        <v>1900</v>
      </c>
      <c r="F258" s="8" t="str">
        <f aca="false">IF(D258="","?",IF(D258&lt;1796,"pre-1796",IF(D258&lt;1912,"1796-1911",IF(D258&lt;1949,"1912-1948","1949+"))))</f>
        <v>1796-1911</v>
      </c>
      <c r="G258" s="8" t="str">
        <f aca="false">IF(D258="","?",IF(D258&lt;1912,"Qing",IF(D258&lt;1949,"Republic","PRC")))</f>
        <v>Qing</v>
      </c>
      <c r="H258" s="8" t="s">
        <v>207</v>
      </c>
      <c r="I258" s="9" t="s">
        <v>259</v>
      </c>
      <c r="J258" s="9" t="s">
        <v>260</v>
      </c>
      <c r="K258" s="8" t="s">
        <v>84</v>
      </c>
      <c r="L258" s="9" t="s">
        <v>2172</v>
      </c>
      <c r="M258" s="8"/>
      <c r="N258" s="8"/>
      <c r="O258" s="8" t="s">
        <v>2173</v>
      </c>
      <c r="P258" s="8" t="s">
        <v>114</v>
      </c>
      <c r="Q258" s="8"/>
      <c r="R258" s="9" t="s">
        <v>2174</v>
      </c>
      <c r="S258" s="8"/>
      <c r="T258" s="8"/>
      <c r="U258" s="8"/>
      <c r="V258" s="8"/>
      <c r="W258" s="8"/>
      <c r="X258" s="8"/>
      <c r="Y258" s="8"/>
      <c r="Z258" s="8"/>
      <c r="AA258" s="8"/>
      <c r="AB258" s="8"/>
      <c r="AC258" s="8"/>
      <c r="AD258" s="8"/>
      <c r="AE258" s="9" t="s">
        <v>2175</v>
      </c>
      <c r="AF258" s="8"/>
      <c r="AG258" s="8"/>
      <c r="AH258" s="8"/>
      <c r="AI258" s="8" t="n">
        <v>0</v>
      </c>
      <c r="AJ258" s="8" t="n">
        <v>0</v>
      </c>
      <c r="AK258" s="8" t="n">
        <v>0</v>
      </c>
      <c r="AL258" s="8" t="n">
        <v>0</v>
      </c>
      <c r="AM258" s="8" t="n">
        <v>0</v>
      </c>
      <c r="AN258" s="8" t="n">
        <v>0</v>
      </c>
      <c r="AO258" s="8" t="n">
        <v>0</v>
      </c>
      <c r="AP258" s="8" t="n">
        <v>0</v>
      </c>
      <c r="AQ258" s="8" t="n">
        <v>0</v>
      </c>
      <c r="AR258" s="8" t="n">
        <v>0</v>
      </c>
      <c r="AS258" s="8" t="n">
        <v>0</v>
      </c>
      <c r="AT258" s="8" t="n">
        <v>0</v>
      </c>
      <c r="AU258" s="8" t="n">
        <v>0</v>
      </c>
      <c r="AV258" s="8" t="n">
        <v>0</v>
      </c>
      <c r="AW258" s="8" t="n">
        <v>0</v>
      </c>
      <c r="AX258" s="8" t="n">
        <v>0</v>
      </c>
      <c r="AY258" s="8" t="n">
        <v>0</v>
      </c>
      <c r="AZ258" s="8" t="n">
        <v>0</v>
      </c>
      <c r="BA258" s="8" t="n">
        <v>0</v>
      </c>
      <c r="BB258" s="8" t="n">
        <v>0</v>
      </c>
      <c r="BC258" s="8" t="n">
        <v>98</v>
      </c>
      <c r="BD258" s="8" t="n">
        <v>0</v>
      </c>
      <c r="BE258" s="8" t="n">
        <v>2</v>
      </c>
      <c r="BF258" s="8" t="n">
        <v>0</v>
      </c>
      <c r="BG258" s="10" t="s">
        <v>2176</v>
      </c>
      <c r="BH258" s="9" t="s">
        <v>2177</v>
      </c>
    </row>
    <row r="259" customFormat="false" ht="15" hidden="false" customHeight="false" outlineLevel="0" collapsed="false">
      <c r="A259" s="8" t="s">
        <v>2178</v>
      </c>
      <c r="B259" s="8" t="s">
        <v>2179</v>
      </c>
      <c r="C259" s="8" t="n">
        <v>1</v>
      </c>
      <c r="D259" s="8" t="n">
        <v>1926</v>
      </c>
      <c r="E259" s="8" t="n">
        <v>1926</v>
      </c>
      <c r="F259" s="8" t="str">
        <f aca="false">IF(D259="","?",IF(D259&lt;1796,"pre-1796",IF(D259&lt;1912,"1796-1911",IF(D259&lt;1949,"1912-1948","1949+"))))</f>
        <v>1912-1948</v>
      </c>
      <c r="G259" s="8" t="str">
        <f aca="false">IF(D259="","?",IF(D259&lt;1912,"Qing",IF(D259&lt;1949,"Republic","PRC")))</f>
        <v>Republic</v>
      </c>
      <c r="H259" s="8" t="s">
        <v>2119</v>
      </c>
      <c r="I259" s="9" t="s">
        <v>466</v>
      </c>
      <c r="J259" s="9" t="s">
        <v>467</v>
      </c>
      <c r="K259" s="8" t="s">
        <v>84</v>
      </c>
      <c r="L259" s="9" t="s">
        <v>1305</v>
      </c>
      <c r="M259" s="8"/>
      <c r="N259" s="8"/>
      <c r="O259" s="8" t="s">
        <v>2180</v>
      </c>
      <c r="P259" s="8" t="s">
        <v>114</v>
      </c>
      <c r="Q259" s="8"/>
      <c r="R259" s="8"/>
      <c r="S259" s="8"/>
      <c r="T259" s="8"/>
      <c r="U259" s="8"/>
      <c r="V259" s="8"/>
      <c r="W259" s="8"/>
      <c r="X259" s="8"/>
      <c r="Y259" s="8"/>
      <c r="Z259" s="8"/>
      <c r="AA259" s="8"/>
      <c r="AB259" s="8"/>
      <c r="AC259" s="8"/>
      <c r="AD259" s="8"/>
      <c r="AE259" s="9" t="s">
        <v>1154</v>
      </c>
      <c r="AF259" s="8"/>
      <c r="AG259" s="9" t="s">
        <v>1156</v>
      </c>
      <c r="AH259" s="8"/>
      <c r="AI259" s="8" t="n">
        <v>0</v>
      </c>
      <c r="AJ259" s="8" t="n">
        <v>0</v>
      </c>
      <c r="AK259" s="8" t="n">
        <v>0</v>
      </c>
      <c r="AL259" s="8" t="n">
        <v>0</v>
      </c>
      <c r="AM259" s="8" t="n">
        <v>0</v>
      </c>
      <c r="AN259" s="8" t="n">
        <v>0</v>
      </c>
      <c r="AO259" s="8" t="n">
        <v>0</v>
      </c>
      <c r="AP259" s="8" t="n">
        <v>0</v>
      </c>
      <c r="AQ259" s="8" t="n">
        <v>0</v>
      </c>
      <c r="AR259" s="8" t="n">
        <v>0</v>
      </c>
      <c r="AS259" s="8" t="n">
        <v>0</v>
      </c>
      <c r="AT259" s="8" t="n">
        <v>0</v>
      </c>
      <c r="AU259" s="8" t="n">
        <v>0</v>
      </c>
      <c r="AV259" s="8" t="n">
        <v>0</v>
      </c>
      <c r="AW259" s="8" t="n">
        <v>0</v>
      </c>
      <c r="AX259" s="8" t="n">
        <v>0</v>
      </c>
      <c r="AY259" s="8" t="n">
        <v>0</v>
      </c>
      <c r="AZ259" s="8" t="n">
        <v>0</v>
      </c>
      <c r="BA259" s="8" t="n">
        <v>0</v>
      </c>
      <c r="BB259" s="8" t="n">
        <v>0</v>
      </c>
      <c r="BC259" s="8" t="n">
        <v>64</v>
      </c>
      <c r="BD259" s="8" t="n">
        <v>0</v>
      </c>
      <c r="BE259" s="8" t="n">
        <v>1</v>
      </c>
      <c r="BF259" s="8" t="n">
        <v>0</v>
      </c>
      <c r="BG259" s="10" t="s">
        <v>2181</v>
      </c>
      <c r="BH259" s="9" t="s">
        <v>2182</v>
      </c>
    </row>
    <row r="260" customFormat="false" ht="15" hidden="false" customHeight="false" outlineLevel="0" collapsed="false">
      <c r="A260" s="8" t="s">
        <v>2183</v>
      </c>
      <c r="B260" s="8" t="s">
        <v>2184</v>
      </c>
      <c r="C260" s="8" t="n">
        <v>1</v>
      </c>
      <c r="D260" s="8" t="n">
        <v>1952</v>
      </c>
      <c r="E260" s="8" t="n">
        <v>1952</v>
      </c>
      <c r="F260" s="8" t="str">
        <f aca="false">IF(D260="","?",IF(D260&lt;1796,"pre-1796",IF(D260&lt;1912,"1796-1911",IF(D260&lt;1949,"1912-1948","1949+"))))</f>
        <v>1949+</v>
      </c>
      <c r="G260" s="8" t="str">
        <f aca="false">IF(D260="","?",IF(D260&lt;1912,"Qing",IF(D260&lt;1949,"Republic","PRC")))</f>
        <v>PRC</v>
      </c>
      <c r="H260" s="8" t="s">
        <v>2185</v>
      </c>
      <c r="I260" s="9" t="s">
        <v>1502</v>
      </c>
      <c r="J260" s="9" t="s">
        <v>1503</v>
      </c>
      <c r="K260" s="8" t="s">
        <v>84</v>
      </c>
      <c r="L260" s="9" t="s">
        <v>2186</v>
      </c>
      <c r="M260" s="8"/>
      <c r="N260" s="8"/>
      <c r="O260" s="8" t="s">
        <v>2187</v>
      </c>
      <c r="P260" s="8" t="s">
        <v>114</v>
      </c>
      <c r="Q260" s="8"/>
      <c r="R260" s="8"/>
      <c r="S260" s="8"/>
      <c r="T260" s="8"/>
      <c r="U260" s="8"/>
      <c r="V260" s="8"/>
      <c r="W260" s="8"/>
      <c r="X260" s="8"/>
      <c r="Y260" s="8"/>
      <c r="Z260" s="8"/>
      <c r="AA260" s="8"/>
      <c r="AB260" s="8"/>
      <c r="AC260" s="8"/>
      <c r="AD260" s="8"/>
      <c r="AE260" s="9" t="s">
        <v>2188</v>
      </c>
      <c r="AF260" s="8"/>
      <c r="AG260" s="8"/>
      <c r="AH260" s="9" t="s">
        <v>2189</v>
      </c>
      <c r="AI260" s="8" t="n">
        <v>0</v>
      </c>
      <c r="AJ260" s="8" t="n">
        <v>0</v>
      </c>
      <c r="AK260" s="8" t="n">
        <v>0</v>
      </c>
      <c r="AL260" s="8" t="n">
        <v>0</v>
      </c>
      <c r="AM260" s="8" t="n">
        <v>0</v>
      </c>
      <c r="AN260" s="8" t="n">
        <v>0</v>
      </c>
      <c r="AO260" s="8" t="n">
        <v>0</v>
      </c>
      <c r="AP260" s="8" t="n">
        <v>0</v>
      </c>
      <c r="AQ260" s="8" t="n">
        <v>0</v>
      </c>
      <c r="AR260" s="8" t="n">
        <v>0</v>
      </c>
      <c r="AS260" s="8" t="n">
        <v>0</v>
      </c>
      <c r="AT260" s="8" t="n">
        <v>0</v>
      </c>
      <c r="AU260" s="8" t="n">
        <v>0</v>
      </c>
      <c r="AV260" s="8" t="n">
        <v>0</v>
      </c>
      <c r="AW260" s="8" t="n">
        <v>0</v>
      </c>
      <c r="AX260" s="8" t="n">
        <v>0</v>
      </c>
      <c r="AY260" s="8" t="n">
        <v>0</v>
      </c>
      <c r="AZ260" s="8" t="n">
        <v>0</v>
      </c>
      <c r="BA260" s="8" t="n">
        <v>0</v>
      </c>
      <c r="BB260" s="8" t="n">
        <v>0</v>
      </c>
      <c r="BC260" s="8" t="n">
        <v>223</v>
      </c>
      <c r="BD260" s="8" t="n">
        <v>0</v>
      </c>
      <c r="BE260" s="8" t="n">
        <v>0</v>
      </c>
      <c r="BF260" s="8" t="n">
        <v>0</v>
      </c>
      <c r="BG260" s="10" t="s">
        <v>2190</v>
      </c>
      <c r="BH260" s="9" t="s">
        <v>2191</v>
      </c>
    </row>
    <row r="261" customFormat="false" ht="15" hidden="false" customHeight="false" outlineLevel="0" collapsed="false">
      <c r="A261" s="8" t="s">
        <v>2192</v>
      </c>
      <c r="B261" s="8" t="s">
        <v>2193</v>
      </c>
      <c r="C261" s="8" t="n">
        <v>1</v>
      </c>
      <c r="D261" s="8" t="n">
        <v>1935</v>
      </c>
      <c r="E261" s="8" t="n">
        <v>1935</v>
      </c>
      <c r="F261" s="8" t="str">
        <f aca="false">IF(D261="","?",IF(D261&lt;1796,"pre-1796",IF(D261&lt;1912,"1796-1911",IF(D261&lt;1949,"1912-1948","1949+"))))</f>
        <v>1912-1948</v>
      </c>
      <c r="G261" s="8" t="str">
        <f aca="false">IF(D261="","?",IF(D261&lt;1912,"Qing",IF(D261&lt;1949,"Republic","PRC")))</f>
        <v>Republic</v>
      </c>
      <c r="H261" s="8" t="s">
        <v>1490</v>
      </c>
      <c r="I261" s="9" t="s">
        <v>527</v>
      </c>
      <c r="J261" s="9" t="s">
        <v>528</v>
      </c>
      <c r="K261" s="8" t="s">
        <v>84</v>
      </c>
      <c r="L261" s="9" t="s">
        <v>2194</v>
      </c>
      <c r="M261" s="8"/>
      <c r="N261" s="8"/>
      <c r="O261" s="8" t="s">
        <v>2195</v>
      </c>
      <c r="P261" s="8" t="s">
        <v>87</v>
      </c>
      <c r="Q261" s="9" t="s">
        <v>98</v>
      </c>
      <c r="R261" s="8"/>
      <c r="S261" s="8"/>
      <c r="T261" s="8"/>
      <c r="U261" s="8"/>
      <c r="V261" s="8"/>
      <c r="W261" s="8"/>
      <c r="X261" s="8"/>
      <c r="Y261" s="8"/>
      <c r="Z261" s="8"/>
      <c r="AA261" s="8"/>
      <c r="AB261" s="8"/>
      <c r="AC261" s="8"/>
      <c r="AD261" s="8"/>
      <c r="AE261" s="9" t="s">
        <v>2196</v>
      </c>
      <c r="AF261" s="8"/>
      <c r="AG261" s="8"/>
      <c r="AH261" s="8"/>
      <c r="AI261" s="8" t="n">
        <v>0</v>
      </c>
      <c r="AJ261" s="8" t="n">
        <v>0</v>
      </c>
      <c r="AK261" s="8" t="n">
        <v>0</v>
      </c>
      <c r="AL261" s="8" t="n">
        <v>0</v>
      </c>
      <c r="AM261" s="8" t="n">
        <v>0</v>
      </c>
      <c r="AN261" s="8" t="n">
        <v>0</v>
      </c>
      <c r="AO261" s="8" t="n">
        <v>0</v>
      </c>
      <c r="AP261" s="8" t="n">
        <v>0</v>
      </c>
      <c r="AQ261" s="8" t="n">
        <v>0</v>
      </c>
      <c r="AR261" s="8" t="n">
        <v>0</v>
      </c>
      <c r="AS261" s="8" t="n">
        <v>0</v>
      </c>
      <c r="AT261" s="8" t="n">
        <v>0</v>
      </c>
      <c r="AU261" s="8" t="n">
        <v>0</v>
      </c>
      <c r="AV261" s="8" t="n">
        <v>0</v>
      </c>
      <c r="AW261" s="8" t="n">
        <v>0</v>
      </c>
      <c r="AX261" s="8" t="n">
        <v>0</v>
      </c>
      <c r="AY261" s="8" t="n">
        <v>0</v>
      </c>
      <c r="AZ261" s="8" t="n">
        <v>0</v>
      </c>
      <c r="BA261" s="8" t="n">
        <v>0</v>
      </c>
      <c r="BB261" s="8" t="n">
        <v>0</v>
      </c>
      <c r="BC261" s="8" t="n">
        <v>59</v>
      </c>
      <c r="BD261" s="8" t="n">
        <v>0</v>
      </c>
      <c r="BE261" s="8" t="n">
        <v>0</v>
      </c>
      <c r="BF261" s="8" t="n">
        <v>0</v>
      </c>
      <c r="BG261" s="10" t="s">
        <v>2197</v>
      </c>
      <c r="BH261" s="9" t="s">
        <v>2198</v>
      </c>
    </row>
    <row r="262" customFormat="false" ht="15" hidden="false" customHeight="false" outlineLevel="0" collapsed="false">
      <c r="A262" s="8" t="s">
        <v>2199</v>
      </c>
      <c r="B262" s="8" t="s">
        <v>2200</v>
      </c>
      <c r="C262" s="8" t="n">
        <v>1</v>
      </c>
      <c r="D262" s="8" t="n">
        <v>1953</v>
      </c>
      <c r="E262" s="8" t="n">
        <v>1953</v>
      </c>
      <c r="F262" s="8" t="str">
        <f aca="false">IF(D262="","?",IF(D262&lt;1796,"pre-1796",IF(D262&lt;1912,"1796-1911",IF(D262&lt;1949,"1912-1948","1949+"))))</f>
        <v>1949+</v>
      </c>
      <c r="G262" s="8" t="str">
        <f aca="false">IF(D262="","?",IF(D262&lt;1912,"Qing",IF(D262&lt;1949,"Republic","PRC")))</f>
        <v>PRC</v>
      </c>
      <c r="H262" s="8" t="s">
        <v>2201</v>
      </c>
      <c r="I262" s="8"/>
      <c r="J262" s="9" t="s">
        <v>2202</v>
      </c>
      <c r="K262" s="8" t="s">
        <v>84</v>
      </c>
      <c r="L262" s="9" t="s">
        <v>2203</v>
      </c>
      <c r="M262" s="8"/>
      <c r="N262" s="8"/>
      <c r="O262" s="8" t="s">
        <v>2204</v>
      </c>
      <c r="P262" s="8" t="s">
        <v>87</v>
      </c>
      <c r="Q262" s="8"/>
      <c r="R262" s="8"/>
      <c r="S262" s="8"/>
      <c r="T262" s="8"/>
      <c r="U262" s="8"/>
      <c r="V262" s="8"/>
      <c r="W262" s="8"/>
      <c r="X262" s="8"/>
      <c r="Y262" s="8"/>
      <c r="Z262" s="8"/>
      <c r="AA262" s="8"/>
      <c r="AB262" s="8"/>
      <c r="AC262" s="8"/>
      <c r="AD262" s="8"/>
      <c r="AE262" s="9" t="s">
        <v>2205</v>
      </c>
      <c r="AF262" s="8"/>
      <c r="AG262" s="8"/>
      <c r="AH262" s="9" t="s">
        <v>2206</v>
      </c>
      <c r="AI262" s="8" t="n">
        <v>0</v>
      </c>
      <c r="AJ262" s="8" t="n">
        <v>0</v>
      </c>
      <c r="AK262" s="8" t="n">
        <v>0</v>
      </c>
      <c r="AL262" s="8" t="n">
        <v>0</v>
      </c>
      <c r="AM262" s="8" t="n">
        <v>0</v>
      </c>
      <c r="AN262" s="8" t="n">
        <v>0</v>
      </c>
      <c r="AO262" s="8" t="n">
        <v>0</v>
      </c>
      <c r="AP262" s="8" t="n">
        <v>0</v>
      </c>
      <c r="AQ262" s="8" t="n">
        <v>0</v>
      </c>
      <c r="AR262" s="8" t="n">
        <v>0</v>
      </c>
      <c r="AS262" s="8" t="n">
        <v>0</v>
      </c>
      <c r="AT262" s="8" t="n">
        <v>0</v>
      </c>
      <c r="AU262" s="8" t="n">
        <v>0</v>
      </c>
      <c r="AV262" s="8" t="n">
        <v>0</v>
      </c>
      <c r="AW262" s="8" t="n">
        <v>0</v>
      </c>
      <c r="AX262" s="8" t="n">
        <v>0</v>
      </c>
      <c r="AY262" s="8" t="n">
        <v>0</v>
      </c>
      <c r="AZ262" s="8" t="n">
        <v>0</v>
      </c>
      <c r="BA262" s="8" t="n">
        <v>0</v>
      </c>
      <c r="BB262" s="8" t="n">
        <v>0</v>
      </c>
      <c r="BC262" s="8" t="n">
        <v>57</v>
      </c>
      <c r="BD262" s="8" t="n">
        <v>1</v>
      </c>
      <c r="BE262" s="8" t="n">
        <v>0</v>
      </c>
      <c r="BF262" s="8" t="n">
        <v>0</v>
      </c>
      <c r="BG262" s="10" t="s">
        <v>2207</v>
      </c>
      <c r="BH262" s="9" t="s">
        <v>2208</v>
      </c>
    </row>
    <row r="263" customFormat="false" ht="15" hidden="false" customHeight="false" outlineLevel="0" collapsed="false">
      <c r="A263" s="8" t="s">
        <v>2209</v>
      </c>
      <c r="B263" s="8" t="s">
        <v>2210</v>
      </c>
      <c r="C263" s="8" t="n">
        <v>1</v>
      </c>
      <c r="D263" s="8" t="n">
        <v>1952</v>
      </c>
      <c r="E263" s="8" t="n">
        <v>1952</v>
      </c>
      <c r="F263" s="8" t="str">
        <f aca="false">IF(D263="","?",IF(D263&lt;1796,"pre-1796",IF(D263&lt;1912,"1796-1911",IF(D263&lt;1949,"1912-1948","1949+"))))</f>
        <v>1949+</v>
      </c>
      <c r="G263" s="8" t="str">
        <f aca="false">IF(D263="","?",IF(D263&lt;1912,"Qing",IF(D263&lt;1949,"Republic","PRC")))</f>
        <v>PRC</v>
      </c>
      <c r="H263" s="8" t="s">
        <v>2185</v>
      </c>
      <c r="I263" s="9" t="s">
        <v>1502</v>
      </c>
      <c r="J263" s="9" t="s">
        <v>1503</v>
      </c>
      <c r="K263" s="8" t="s">
        <v>84</v>
      </c>
      <c r="L263" s="9" t="s">
        <v>2211</v>
      </c>
      <c r="M263" s="8"/>
      <c r="N263" s="8"/>
      <c r="O263" s="8" t="s">
        <v>2212</v>
      </c>
      <c r="P263" s="8" t="s">
        <v>114</v>
      </c>
      <c r="Q263" s="8"/>
      <c r="R263" s="8"/>
      <c r="S263" s="8"/>
      <c r="T263" s="8"/>
      <c r="U263" s="8"/>
      <c r="V263" s="8"/>
      <c r="W263" s="8"/>
      <c r="X263" s="8"/>
      <c r="Y263" s="9" t="s">
        <v>246</v>
      </c>
      <c r="Z263" s="8"/>
      <c r="AA263" s="8"/>
      <c r="AB263" s="8"/>
      <c r="AC263" s="8"/>
      <c r="AD263" s="8"/>
      <c r="AE263" s="9" t="s">
        <v>2213</v>
      </c>
      <c r="AF263" s="8"/>
      <c r="AG263" s="8"/>
      <c r="AH263" s="8"/>
      <c r="AI263" s="8" t="n">
        <v>0</v>
      </c>
      <c r="AJ263" s="8" t="n">
        <v>0</v>
      </c>
      <c r="AK263" s="8" t="n">
        <v>0</v>
      </c>
      <c r="AL263" s="8" t="n">
        <v>0</v>
      </c>
      <c r="AM263" s="8" t="n">
        <v>0</v>
      </c>
      <c r="AN263" s="8" t="n">
        <v>0</v>
      </c>
      <c r="AO263" s="8" t="n">
        <v>0</v>
      </c>
      <c r="AP263" s="8" t="n">
        <v>0</v>
      </c>
      <c r="AQ263" s="8" t="n">
        <v>0</v>
      </c>
      <c r="AR263" s="8" t="n">
        <v>0</v>
      </c>
      <c r="AS263" s="8" t="n">
        <v>0</v>
      </c>
      <c r="AT263" s="8" t="n">
        <v>0</v>
      </c>
      <c r="AU263" s="8" t="n">
        <v>0</v>
      </c>
      <c r="AV263" s="8" t="n">
        <v>0</v>
      </c>
      <c r="AW263" s="8" t="n">
        <v>0</v>
      </c>
      <c r="AX263" s="8" t="n">
        <v>0</v>
      </c>
      <c r="AY263" s="8" t="n">
        <v>0</v>
      </c>
      <c r="AZ263" s="8" t="n">
        <v>0</v>
      </c>
      <c r="BA263" s="8" t="n">
        <v>0</v>
      </c>
      <c r="BB263" s="8" t="n">
        <v>0</v>
      </c>
      <c r="BC263" s="8" t="n">
        <v>218</v>
      </c>
      <c r="BD263" s="8" t="n">
        <v>0</v>
      </c>
      <c r="BE263" s="8" t="n">
        <v>0</v>
      </c>
      <c r="BF263" s="8" t="n">
        <v>0</v>
      </c>
      <c r="BG263" s="10" t="s">
        <v>2214</v>
      </c>
      <c r="BH263" s="9" t="s">
        <v>2215</v>
      </c>
    </row>
    <row r="264" customFormat="false" ht="15" hidden="false" customHeight="false" outlineLevel="0" collapsed="false">
      <c r="A264" s="8" t="s">
        <v>2216</v>
      </c>
      <c r="B264" s="8" t="s">
        <v>2217</v>
      </c>
      <c r="C264" s="8" t="n">
        <v>1</v>
      </c>
      <c r="D264" s="8" t="n">
        <v>1953</v>
      </c>
      <c r="E264" s="8" t="n">
        <v>1953</v>
      </c>
      <c r="F264" s="8" t="str">
        <f aca="false">IF(D264="","?",IF(D264&lt;1796,"pre-1796",IF(D264&lt;1912,"1796-1911",IF(D264&lt;1949,"1912-1948","1949+"))))</f>
        <v>1949+</v>
      </c>
      <c r="G264" s="8" t="str">
        <f aca="false">IF(D264="","?",IF(D264&lt;1912,"Qing",IF(D264&lt;1949,"Republic","PRC")))</f>
        <v>PRC</v>
      </c>
      <c r="H264" s="8" t="s">
        <v>2201</v>
      </c>
      <c r="I264" s="9" t="s">
        <v>1502</v>
      </c>
      <c r="J264" s="9" t="s">
        <v>1503</v>
      </c>
      <c r="K264" s="8" t="s">
        <v>84</v>
      </c>
      <c r="L264" s="8"/>
      <c r="M264" s="9" t="s">
        <v>2218</v>
      </c>
      <c r="N264" s="9" t="s">
        <v>2219</v>
      </c>
      <c r="O264" s="8" t="s">
        <v>2220</v>
      </c>
      <c r="P264" s="8" t="s">
        <v>87</v>
      </c>
      <c r="Q264" s="8"/>
      <c r="R264" s="8"/>
      <c r="S264" s="8"/>
      <c r="T264" s="8"/>
      <c r="U264" s="8"/>
      <c r="V264" s="8"/>
      <c r="W264" s="8"/>
      <c r="X264" s="8"/>
      <c r="Y264" s="8"/>
      <c r="Z264" s="8"/>
      <c r="AA264" s="9" t="s">
        <v>2221</v>
      </c>
      <c r="AB264" s="8"/>
      <c r="AC264" s="8"/>
      <c r="AD264" s="8"/>
      <c r="AE264" s="9" t="s">
        <v>2222</v>
      </c>
      <c r="AF264" s="8"/>
      <c r="AG264" s="8"/>
      <c r="AH264" s="8"/>
      <c r="AI264" s="8" t="n">
        <v>0</v>
      </c>
      <c r="AJ264" s="8" t="n">
        <v>0</v>
      </c>
      <c r="AK264" s="8" t="n">
        <v>0</v>
      </c>
      <c r="AL264" s="8" t="n">
        <v>0</v>
      </c>
      <c r="AM264" s="8" t="n">
        <v>0</v>
      </c>
      <c r="AN264" s="8" t="n">
        <v>0</v>
      </c>
      <c r="AO264" s="8" t="n">
        <v>0</v>
      </c>
      <c r="AP264" s="8" t="n">
        <v>0</v>
      </c>
      <c r="AQ264" s="8" t="n">
        <v>0</v>
      </c>
      <c r="AR264" s="8" t="n">
        <v>0</v>
      </c>
      <c r="AS264" s="8" t="n">
        <v>0</v>
      </c>
      <c r="AT264" s="8" t="n">
        <v>0</v>
      </c>
      <c r="AU264" s="8" t="n">
        <v>0</v>
      </c>
      <c r="AV264" s="8" t="n">
        <v>0</v>
      </c>
      <c r="AW264" s="8" t="n">
        <v>0</v>
      </c>
      <c r="AX264" s="8" t="n">
        <v>0</v>
      </c>
      <c r="AY264" s="8" t="n">
        <v>0</v>
      </c>
      <c r="AZ264" s="8" t="n">
        <v>0</v>
      </c>
      <c r="BA264" s="8" t="n">
        <v>0</v>
      </c>
      <c r="BB264" s="8" t="n">
        <v>0</v>
      </c>
      <c r="BC264" s="8" t="n">
        <v>213</v>
      </c>
      <c r="BD264" s="8" t="n">
        <v>0</v>
      </c>
      <c r="BE264" s="8" t="n">
        <v>0</v>
      </c>
      <c r="BF264" s="8" t="n">
        <v>0</v>
      </c>
      <c r="BG264" s="10" t="s">
        <v>2223</v>
      </c>
      <c r="BH264" s="8" t="s">
        <v>2224</v>
      </c>
    </row>
    <row r="265" customFormat="false" ht="15" hidden="false" customHeight="false" outlineLevel="0" collapsed="false">
      <c r="A265" s="8" t="s">
        <v>2225</v>
      </c>
      <c r="B265" s="8" t="s">
        <v>2217</v>
      </c>
      <c r="C265" s="8" t="n">
        <v>2</v>
      </c>
      <c r="D265" s="8" t="n">
        <v>1953</v>
      </c>
      <c r="E265" s="8" t="n">
        <v>1953</v>
      </c>
      <c r="F265" s="8" t="str">
        <f aca="false">IF(D265="","?",IF(D265&lt;1796,"pre-1796",IF(D265&lt;1912,"1796-1911",IF(D265&lt;1949,"1912-1948","1949+"))))</f>
        <v>1949+</v>
      </c>
      <c r="G265" s="8" t="str">
        <f aca="false">IF(D265="","?",IF(D265&lt;1912,"Qing",IF(D265&lt;1949,"Republic","PRC")))</f>
        <v>PRC</v>
      </c>
      <c r="H265" s="8" t="s">
        <v>2201</v>
      </c>
      <c r="I265" s="9" t="s">
        <v>1502</v>
      </c>
      <c r="J265" s="9" t="s">
        <v>1503</v>
      </c>
      <c r="K265" s="8" t="s">
        <v>84</v>
      </c>
      <c r="L265" s="8"/>
      <c r="M265" s="9" t="s">
        <v>2218</v>
      </c>
      <c r="N265" s="9" t="s">
        <v>2219</v>
      </c>
      <c r="O265" s="8" t="s">
        <v>2220</v>
      </c>
      <c r="P265" s="8" t="s">
        <v>114</v>
      </c>
      <c r="Q265" s="9" t="s">
        <v>98</v>
      </c>
      <c r="R265" s="9" t="s">
        <v>2226</v>
      </c>
      <c r="S265" s="8"/>
      <c r="T265" s="8"/>
      <c r="U265" s="8"/>
      <c r="V265" s="8"/>
      <c r="W265" s="9" t="s">
        <v>2227</v>
      </c>
      <c r="X265" s="8"/>
      <c r="Y265" s="8"/>
      <c r="Z265" s="8"/>
      <c r="AA265" s="8"/>
      <c r="AB265" s="8"/>
      <c r="AC265" s="8"/>
      <c r="AD265" s="8"/>
      <c r="AE265" s="8" t="s">
        <v>2228</v>
      </c>
      <c r="AF265" s="9" t="s">
        <v>429</v>
      </c>
      <c r="AG265" s="8"/>
      <c r="AH265" s="8"/>
      <c r="AI265" s="8" t="n">
        <v>0</v>
      </c>
      <c r="AJ265" s="8" t="n">
        <v>0</v>
      </c>
      <c r="AK265" s="8" t="n">
        <v>0</v>
      </c>
      <c r="AL265" s="8" t="n">
        <v>0</v>
      </c>
      <c r="AM265" s="8" t="n">
        <v>0</v>
      </c>
      <c r="AN265" s="8" t="n">
        <v>0</v>
      </c>
      <c r="AO265" s="8" t="n">
        <v>0</v>
      </c>
      <c r="AP265" s="8" t="n">
        <v>0</v>
      </c>
      <c r="AQ265" s="8" t="n">
        <v>0</v>
      </c>
      <c r="AR265" s="8" t="n">
        <v>0</v>
      </c>
      <c r="AS265" s="8" t="n">
        <v>0</v>
      </c>
      <c r="AT265" s="8" t="n">
        <v>0</v>
      </c>
      <c r="AU265" s="8" t="n">
        <v>0</v>
      </c>
      <c r="AV265" s="8" t="n">
        <v>0</v>
      </c>
      <c r="AW265" s="8" t="n">
        <v>0</v>
      </c>
      <c r="AX265" s="8" t="n">
        <v>0</v>
      </c>
      <c r="AY265" s="8" t="n">
        <v>0</v>
      </c>
      <c r="AZ265" s="8" t="n">
        <v>0</v>
      </c>
      <c r="BA265" s="8" t="n">
        <v>0</v>
      </c>
      <c r="BB265" s="8" t="n">
        <v>0</v>
      </c>
      <c r="BC265" s="8" t="n">
        <v>168</v>
      </c>
      <c r="BD265" s="8" t="n">
        <v>0</v>
      </c>
      <c r="BE265" s="8" t="n">
        <v>0</v>
      </c>
      <c r="BF265" s="8" t="n">
        <v>0</v>
      </c>
      <c r="BG265" s="10" t="s">
        <v>2223</v>
      </c>
      <c r="BH265" s="8" t="s">
        <v>2229</v>
      </c>
    </row>
    <row r="266" customFormat="false" ht="15" hidden="false" customHeight="false" outlineLevel="0" collapsed="false">
      <c r="A266" s="8" t="s">
        <v>2230</v>
      </c>
      <c r="B266" s="8" t="s">
        <v>2217</v>
      </c>
      <c r="C266" s="8" t="n">
        <v>3</v>
      </c>
      <c r="D266" s="8" t="n">
        <v>1953</v>
      </c>
      <c r="E266" s="8" t="n">
        <v>1953</v>
      </c>
      <c r="F266" s="8" t="str">
        <f aca="false">IF(D266="","?",IF(D266&lt;1796,"pre-1796",IF(D266&lt;1912,"1796-1911",IF(D266&lt;1949,"1912-1948","1949+"))))</f>
        <v>1949+</v>
      </c>
      <c r="G266" s="8" t="str">
        <f aca="false">IF(D266="","?",IF(D266&lt;1912,"Qing",IF(D266&lt;1949,"Republic","PRC")))</f>
        <v>PRC</v>
      </c>
      <c r="H266" s="8" t="s">
        <v>2201</v>
      </c>
      <c r="I266" s="9" t="s">
        <v>1502</v>
      </c>
      <c r="J266" s="9" t="s">
        <v>1503</v>
      </c>
      <c r="K266" s="8" t="s">
        <v>84</v>
      </c>
      <c r="L266" s="8"/>
      <c r="M266" s="9" t="s">
        <v>2218</v>
      </c>
      <c r="N266" s="9" t="s">
        <v>2219</v>
      </c>
      <c r="O266" s="8" t="s">
        <v>2220</v>
      </c>
      <c r="P266" s="8" t="s">
        <v>114</v>
      </c>
      <c r="Q266" s="8"/>
      <c r="R266" s="8"/>
      <c r="S266" s="8"/>
      <c r="T266" s="8"/>
      <c r="U266" s="8"/>
      <c r="V266" s="8"/>
      <c r="W266" s="8"/>
      <c r="X266" s="8"/>
      <c r="Y266" s="8"/>
      <c r="Z266" s="8"/>
      <c r="AA266" s="8"/>
      <c r="AB266" s="8"/>
      <c r="AC266" s="8"/>
      <c r="AD266" s="8"/>
      <c r="AE266" s="8"/>
      <c r="AF266" s="8"/>
      <c r="AG266" s="8"/>
      <c r="AH266" s="8"/>
      <c r="AI266" s="8" t="n">
        <v>0</v>
      </c>
      <c r="AJ266" s="8" t="n">
        <v>0</v>
      </c>
      <c r="AK266" s="8" t="n">
        <v>0</v>
      </c>
      <c r="AL266" s="8" t="n">
        <v>0</v>
      </c>
      <c r="AM266" s="8" t="n">
        <v>0</v>
      </c>
      <c r="AN266" s="8" t="n">
        <v>0</v>
      </c>
      <c r="AO266" s="8" t="n">
        <v>0</v>
      </c>
      <c r="AP266" s="8" t="n">
        <v>0</v>
      </c>
      <c r="AQ266" s="8" t="n">
        <v>0</v>
      </c>
      <c r="AR266" s="8" t="n">
        <v>0</v>
      </c>
      <c r="AS266" s="8" t="n">
        <v>0</v>
      </c>
      <c r="AT266" s="8" t="n">
        <v>0</v>
      </c>
      <c r="AU266" s="8" t="n">
        <v>0</v>
      </c>
      <c r="AV266" s="8" t="n">
        <v>0</v>
      </c>
      <c r="AW266" s="8" t="n">
        <v>0</v>
      </c>
      <c r="AX266" s="8" t="n">
        <v>0</v>
      </c>
      <c r="AY266" s="8" t="n">
        <v>0</v>
      </c>
      <c r="AZ266" s="8" t="n">
        <v>0</v>
      </c>
      <c r="BA266" s="8" t="n">
        <v>0</v>
      </c>
      <c r="BB266" s="8" t="n">
        <v>0</v>
      </c>
      <c r="BC266" s="8" t="n">
        <v>0</v>
      </c>
      <c r="BD266" s="8" t="n">
        <v>7</v>
      </c>
      <c r="BE266" s="8" t="n">
        <v>0</v>
      </c>
      <c r="BF266" s="8" t="n">
        <v>0</v>
      </c>
      <c r="BG266" s="10" t="s">
        <v>2223</v>
      </c>
      <c r="BH266" s="8"/>
    </row>
    <row r="267" customFormat="false" ht="15" hidden="false" customHeight="false" outlineLevel="0" collapsed="false">
      <c r="A267" s="8" t="s">
        <v>2231</v>
      </c>
      <c r="B267" s="8" t="s">
        <v>2232</v>
      </c>
      <c r="C267" s="8" t="n">
        <v>1</v>
      </c>
      <c r="D267" s="8"/>
      <c r="E267" s="8"/>
      <c r="F267" s="8" t="str">
        <f aca="false">IF(D267="","?",IF(D267&lt;1796,"pre-1796",IF(D267&lt;1912,"1796-1911",IF(D267&lt;1949,"1912-1948","1949+"))))</f>
        <v>?</v>
      </c>
      <c r="G267" s="8" t="str">
        <f aca="false">IF(D267="","?",IF(D267&lt;1912,"Qing",IF(D267&lt;1949,"Republic","PRC")))</f>
        <v>?</v>
      </c>
      <c r="H267" s="8"/>
      <c r="I267" s="8"/>
      <c r="J267" s="8"/>
      <c r="K267" s="8" t="s">
        <v>130</v>
      </c>
      <c r="L267" s="8"/>
      <c r="M267" s="9" t="s">
        <v>2233</v>
      </c>
      <c r="N267" s="9" t="s">
        <v>2234</v>
      </c>
      <c r="O267" s="8" t="s">
        <v>2235</v>
      </c>
      <c r="P267" s="8" t="s">
        <v>87</v>
      </c>
      <c r="Q267" s="9" t="s">
        <v>2236</v>
      </c>
      <c r="R267" s="9" t="s">
        <v>2237</v>
      </c>
      <c r="S267" s="9" t="s">
        <v>2238</v>
      </c>
      <c r="T267" s="8"/>
      <c r="U267" s="8"/>
      <c r="V267" s="9" t="s">
        <v>1471</v>
      </c>
      <c r="W267" s="9" t="s">
        <v>2239</v>
      </c>
      <c r="X267" s="8"/>
      <c r="Y267" s="9" t="s">
        <v>2240</v>
      </c>
      <c r="Z267" s="9" t="s">
        <v>2241</v>
      </c>
      <c r="AA267" s="9" t="s">
        <v>2242</v>
      </c>
      <c r="AB267" s="8"/>
      <c r="AC267" s="8"/>
      <c r="AD267" s="8"/>
      <c r="AE267" s="8"/>
      <c r="AF267" s="8"/>
      <c r="AG267" s="8"/>
      <c r="AH267" s="8"/>
      <c r="AI267" s="8" t="n">
        <v>1</v>
      </c>
      <c r="AJ267" s="8" t="n">
        <v>0</v>
      </c>
      <c r="AK267" s="8" t="n">
        <v>0</v>
      </c>
      <c r="AL267" s="8" t="n">
        <v>0</v>
      </c>
      <c r="AM267" s="8" t="n">
        <v>1</v>
      </c>
      <c r="AN267" s="8" t="n">
        <v>0</v>
      </c>
      <c r="AO267" s="8" t="n">
        <v>0</v>
      </c>
      <c r="AP267" s="8" t="n">
        <v>0</v>
      </c>
      <c r="AQ267" s="8" t="n">
        <v>0</v>
      </c>
      <c r="AR267" s="8" t="n">
        <v>0</v>
      </c>
      <c r="AS267" s="8" t="n">
        <v>1</v>
      </c>
      <c r="AT267" s="8" t="n">
        <v>0</v>
      </c>
      <c r="AU267" s="8" t="n">
        <v>0</v>
      </c>
      <c r="AV267" s="8" t="n">
        <v>0</v>
      </c>
      <c r="AW267" s="8" t="n">
        <v>0</v>
      </c>
      <c r="AX267" s="8" t="n">
        <v>0</v>
      </c>
      <c r="AY267" s="8" t="n">
        <v>0</v>
      </c>
      <c r="AZ267" s="8" t="n">
        <v>0</v>
      </c>
      <c r="BA267" s="8" t="n">
        <v>0</v>
      </c>
      <c r="BB267" s="8" t="n">
        <v>0</v>
      </c>
      <c r="BC267" s="8" t="n">
        <v>178</v>
      </c>
      <c r="BD267" s="8" t="n">
        <v>0</v>
      </c>
      <c r="BE267" s="8" t="n">
        <v>0</v>
      </c>
      <c r="BF267" s="8" t="n">
        <v>0</v>
      </c>
      <c r="BG267" s="10" t="s">
        <v>2243</v>
      </c>
      <c r="BH267" s="9" t="s">
        <v>2244</v>
      </c>
    </row>
    <row r="268" customFormat="false" ht="15" hidden="false" customHeight="false" outlineLevel="0" collapsed="false">
      <c r="A268" s="8" t="s">
        <v>2245</v>
      </c>
      <c r="B268" s="8" t="s">
        <v>2246</v>
      </c>
      <c r="C268" s="8" t="n">
        <v>1</v>
      </c>
      <c r="D268" s="8" t="n">
        <v>1951</v>
      </c>
      <c r="E268" s="8" t="n">
        <v>1951</v>
      </c>
      <c r="F268" s="8" t="str">
        <f aca="false">IF(D268="","?",IF(D268&lt;1796,"pre-1796",IF(D268&lt;1912,"1796-1911",IF(D268&lt;1949,"1912-1948","1949+"))))</f>
        <v>1949+</v>
      </c>
      <c r="G268" s="8" t="str">
        <f aca="false">IF(D268="","?",IF(D268&lt;1912,"Qing",IF(D268&lt;1949,"Republic","PRC")))</f>
        <v>PRC</v>
      </c>
      <c r="H268" s="8" t="s">
        <v>2247</v>
      </c>
      <c r="I268" s="9" t="s">
        <v>2248</v>
      </c>
      <c r="J268" s="9" t="s">
        <v>2249</v>
      </c>
      <c r="K268" s="8" t="s">
        <v>84</v>
      </c>
      <c r="L268" s="9" t="s">
        <v>2250</v>
      </c>
      <c r="M268" s="8"/>
      <c r="N268" s="8"/>
      <c r="O268" s="8" t="s">
        <v>2251</v>
      </c>
      <c r="P268" s="8" t="s">
        <v>114</v>
      </c>
      <c r="Q268" s="8"/>
      <c r="R268" s="8"/>
      <c r="S268" s="8"/>
      <c r="T268" s="8"/>
      <c r="U268" s="8"/>
      <c r="V268" s="8"/>
      <c r="W268" s="8"/>
      <c r="X268" s="8"/>
      <c r="Y268" s="9" t="s">
        <v>246</v>
      </c>
      <c r="Z268" s="8"/>
      <c r="AA268" s="8"/>
      <c r="AB268" s="8"/>
      <c r="AC268" s="8"/>
      <c r="AD268" s="8"/>
      <c r="AE268" s="9" t="s">
        <v>2252</v>
      </c>
      <c r="AF268" s="8"/>
      <c r="AG268" s="8"/>
      <c r="AH268" s="9" t="s">
        <v>2253</v>
      </c>
      <c r="AI268" s="8" t="n">
        <v>0</v>
      </c>
      <c r="AJ268" s="8" t="n">
        <v>0</v>
      </c>
      <c r="AK268" s="8" t="n">
        <v>0</v>
      </c>
      <c r="AL268" s="8" t="n">
        <v>0</v>
      </c>
      <c r="AM268" s="8" t="n">
        <v>0</v>
      </c>
      <c r="AN268" s="8" t="n">
        <v>0</v>
      </c>
      <c r="AO268" s="8" t="n">
        <v>0</v>
      </c>
      <c r="AP268" s="8" t="n">
        <v>0</v>
      </c>
      <c r="AQ268" s="8" t="n">
        <v>0</v>
      </c>
      <c r="AR268" s="8" t="n">
        <v>0</v>
      </c>
      <c r="AS268" s="8" t="n">
        <v>0</v>
      </c>
      <c r="AT268" s="8" t="n">
        <v>0</v>
      </c>
      <c r="AU268" s="8" t="n">
        <v>0</v>
      </c>
      <c r="AV268" s="8" t="n">
        <v>0</v>
      </c>
      <c r="AW268" s="8" t="n">
        <v>0</v>
      </c>
      <c r="AX268" s="8" t="n">
        <v>0</v>
      </c>
      <c r="AY268" s="8" t="n">
        <v>0</v>
      </c>
      <c r="AZ268" s="8" t="n">
        <v>0</v>
      </c>
      <c r="BA268" s="8" t="n">
        <v>0</v>
      </c>
      <c r="BB268" s="8" t="n">
        <v>0</v>
      </c>
      <c r="BC268" s="8" t="n">
        <v>701</v>
      </c>
      <c r="BD268" s="8" t="n">
        <v>1</v>
      </c>
      <c r="BE268" s="8" t="n">
        <v>0</v>
      </c>
      <c r="BF268" s="8" t="n">
        <v>0</v>
      </c>
      <c r="BG268" s="10" t="s">
        <v>2254</v>
      </c>
      <c r="BH268" s="9" t="s">
        <v>2255</v>
      </c>
    </row>
    <row r="269" customFormat="false" ht="15" hidden="false" customHeight="false" outlineLevel="0" collapsed="false">
      <c r="A269" s="8" t="s">
        <v>2256</v>
      </c>
      <c r="B269" s="8" t="s">
        <v>2257</v>
      </c>
      <c r="C269" s="8" t="n">
        <v>1</v>
      </c>
      <c r="D269" s="8" t="n">
        <v>1952</v>
      </c>
      <c r="E269" s="8" t="n">
        <v>1952</v>
      </c>
      <c r="F269" s="8" t="str">
        <f aca="false">IF(D269="","?",IF(D269&lt;1796,"pre-1796",IF(D269&lt;1912,"1796-1911",IF(D269&lt;1949,"1912-1948","1949+"))))</f>
        <v>1949+</v>
      </c>
      <c r="G269" s="8" t="str">
        <f aca="false">IF(D269="","?",IF(D269&lt;1912,"Qing",IF(D269&lt;1949,"Republic","PRC")))</f>
        <v>PRC</v>
      </c>
      <c r="H269" s="8" t="s">
        <v>2185</v>
      </c>
      <c r="I269" s="9" t="s">
        <v>2248</v>
      </c>
      <c r="J269" s="9" t="s">
        <v>2249</v>
      </c>
      <c r="K269" s="8" t="s">
        <v>84</v>
      </c>
      <c r="L269" s="9" t="s">
        <v>2258</v>
      </c>
      <c r="M269" s="8"/>
      <c r="N269" s="8"/>
      <c r="O269" s="8" t="s">
        <v>2259</v>
      </c>
      <c r="P269" s="8" t="s">
        <v>114</v>
      </c>
      <c r="Q269" s="8"/>
      <c r="R269" s="8"/>
      <c r="S269" s="8"/>
      <c r="T269" s="8"/>
      <c r="U269" s="8"/>
      <c r="V269" s="8"/>
      <c r="W269" s="8"/>
      <c r="X269" s="8"/>
      <c r="Y269" s="8"/>
      <c r="Z269" s="8"/>
      <c r="AA269" s="8"/>
      <c r="AB269" s="8"/>
      <c r="AC269" s="8"/>
      <c r="AD269" s="8"/>
      <c r="AE269" s="9" t="s">
        <v>2260</v>
      </c>
      <c r="AF269" s="8"/>
      <c r="AG269" s="8"/>
      <c r="AH269" s="9" t="s">
        <v>2261</v>
      </c>
      <c r="AI269" s="8" t="n">
        <v>0</v>
      </c>
      <c r="AJ269" s="8" t="n">
        <v>0</v>
      </c>
      <c r="AK269" s="8" t="n">
        <v>0</v>
      </c>
      <c r="AL269" s="8" t="n">
        <v>0</v>
      </c>
      <c r="AM269" s="8" t="n">
        <v>0</v>
      </c>
      <c r="AN269" s="8" t="n">
        <v>0</v>
      </c>
      <c r="AO269" s="8" t="n">
        <v>0</v>
      </c>
      <c r="AP269" s="8" t="n">
        <v>0</v>
      </c>
      <c r="AQ269" s="8" t="n">
        <v>0</v>
      </c>
      <c r="AR269" s="8" t="n">
        <v>0</v>
      </c>
      <c r="AS269" s="8" t="n">
        <v>0</v>
      </c>
      <c r="AT269" s="8" t="n">
        <v>0</v>
      </c>
      <c r="AU269" s="8" t="n">
        <v>0</v>
      </c>
      <c r="AV269" s="8" t="n">
        <v>0</v>
      </c>
      <c r="AW269" s="8" t="n">
        <v>0</v>
      </c>
      <c r="AX269" s="8" t="n">
        <v>0</v>
      </c>
      <c r="AY269" s="8" t="n">
        <v>0</v>
      </c>
      <c r="AZ269" s="8" t="n">
        <v>0</v>
      </c>
      <c r="BA269" s="8" t="n">
        <v>0</v>
      </c>
      <c r="BB269" s="8" t="n">
        <v>1</v>
      </c>
      <c r="BC269" s="8" t="n">
        <v>321</v>
      </c>
      <c r="BD269" s="8" t="n">
        <v>0</v>
      </c>
      <c r="BE269" s="8" t="n">
        <v>0</v>
      </c>
      <c r="BF269" s="8" t="n">
        <v>0</v>
      </c>
      <c r="BG269" s="10" t="s">
        <v>2262</v>
      </c>
      <c r="BH269" s="9" t="s">
        <v>2263</v>
      </c>
    </row>
    <row r="270" customFormat="false" ht="15" hidden="false" customHeight="false" outlineLevel="0" collapsed="false">
      <c r="A270" s="8" t="s">
        <v>2264</v>
      </c>
      <c r="B270" s="8" t="s">
        <v>2265</v>
      </c>
      <c r="C270" s="8" t="n">
        <v>1</v>
      </c>
      <c r="D270" s="8" t="n">
        <v>1813</v>
      </c>
      <c r="E270" s="8" t="n">
        <v>1813</v>
      </c>
      <c r="F270" s="8" t="str">
        <f aca="false">IF(D270="","?",IF(D270&lt;1796,"pre-1796",IF(D270&lt;1912,"1796-1911",IF(D270&lt;1949,"1912-1948","1949+"))))</f>
        <v>1796-1911</v>
      </c>
      <c r="G270" s="8" t="str">
        <f aca="false">IF(D270="","?",IF(D270&lt;1912,"Qing",IF(D270&lt;1949,"Republic","PRC")))</f>
        <v>Qing</v>
      </c>
      <c r="H270" s="8" t="s">
        <v>2266</v>
      </c>
      <c r="I270" s="9" t="s">
        <v>527</v>
      </c>
      <c r="J270" s="9" t="s">
        <v>528</v>
      </c>
      <c r="K270" s="8" t="s">
        <v>84</v>
      </c>
      <c r="L270" s="8"/>
      <c r="M270" s="9" t="s">
        <v>2267</v>
      </c>
      <c r="N270" s="9" t="s">
        <v>2268</v>
      </c>
      <c r="O270" s="8" t="s">
        <v>2269</v>
      </c>
      <c r="P270" s="8" t="s">
        <v>114</v>
      </c>
      <c r="Q270" s="8"/>
      <c r="R270" s="9" t="s">
        <v>2270</v>
      </c>
      <c r="S270" s="8"/>
      <c r="T270" s="8"/>
      <c r="U270" s="8"/>
      <c r="V270" s="8"/>
      <c r="W270" s="8"/>
      <c r="X270" s="8"/>
      <c r="Y270" s="8"/>
      <c r="Z270" s="8"/>
      <c r="AA270" s="8"/>
      <c r="AB270" s="8"/>
      <c r="AC270" s="8"/>
      <c r="AD270" s="8"/>
      <c r="AE270" s="9" t="s">
        <v>88</v>
      </c>
      <c r="AF270" s="9" t="s">
        <v>291</v>
      </c>
      <c r="AG270" s="9" t="s">
        <v>2271</v>
      </c>
      <c r="AH270" s="8"/>
      <c r="AI270" s="8" t="n">
        <v>0</v>
      </c>
      <c r="AJ270" s="8" t="n">
        <v>0</v>
      </c>
      <c r="AK270" s="8" t="n">
        <v>0</v>
      </c>
      <c r="AL270" s="8" t="n">
        <v>0</v>
      </c>
      <c r="AM270" s="8" t="n">
        <v>0</v>
      </c>
      <c r="AN270" s="8" t="n">
        <v>0</v>
      </c>
      <c r="AO270" s="8" t="n">
        <v>0</v>
      </c>
      <c r="AP270" s="8" t="n">
        <v>0</v>
      </c>
      <c r="AQ270" s="8" t="n">
        <v>0</v>
      </c>
      <c r="AR270" s="8" t="n">
        <v>0</v>
      </c>
      <c r="AS270" s="8" t="n">
        <v>0</v>
      </c>
      <c r="AT270" s="8" t="n">
        <v>0</v>
      </c>
      <c r="AU270" s="8" t="n">
        <v>0</v>
      </c>
      <c r="AV270" s="8" t="n">
        <v>0</v>
      </c>
      <c r="AW270" s="8" t="n">
        <v>1</v>
      </c>
      <c r="AX270" s="8" t="n">
        <v>1</v>
      </c>
      <c r="AY270" s="8" t="n">
        <v>0</v>
      </c>
      <c r="AZ270" s="8" t="n">
        <v>1</v>
      </c>
      <c r="BA270" s="8" t="n">
        <v>0</v>
      </c>
      <c r="BB270" s="8" t="n">
        <v>0</v>
      </c>
      <c r="BC270" s="8" t="n">
        <v>275</v>
      </c>
      <c r="BD270" s="8" t="n">
        <v>2</v>
      </c>
      <c r="BE270" s="8" t="n">
        <v>0</v>
      </c>
      <c r="BF270" s="8" t="n">
        <v>1</v>
      </c>
      <c r="BG270" s="10" t="s">
        <v>2272</v>
      </c>
      <c r="BH270" s="9" t="s">
        <v>2273</v>
      </c>
    </row>
    <row r="271" customFormat="false" ht="15" hidden="false" customHeight="false" outlineLevel="0" collapsed="false">
      <c r="A271" s="8" t="s">
        <v>2274</v>
      </c>
      <c r="B271" s="8" t="s">
        <v>2275</v>
      </c>
      <c r="C271" s="8" t="n">
        <v>1</v>
      </c>
      <c r="D271" s="8" t="n">
        <v>1928</v>
      </c>
      <c r="E271" s="8" t="n">
        <v>1935</v>
      </c>
      <c r="F271" s="8" t="str">
        <f aca="false">IF(D271="","?",IF(D271&lt;1796,"pre-1796",IF(D271&lt;1912,"1796-1911",IF(D271&lt;1949,"1912-1948","1949+"))))</f>
        <v>1912-1948</v>
      </c>
      <c r="G271" s="8" t="str">
        <f aca="false">IF(D271="","?",IF(D271&lt;1912,"Qing",IF(D271&lt;1949,"Republic","PRC")))</f>
        <v>Republic</v>
      </c>
      <c r="H271" s="8" t="s">
        <v>2276</v>
      </c>
      <c r="I271" s="9" t="s">
        <v>128</v>
      </c>
      <c r="J271" s="9" t="s">
        <v>223</v>
      </c>
      <c r="K271" s="8" t="s">
        <v>84</v>
      </c>
      <c r="L271" s="8"/>
      <c r="M271" s="9" t="s">
        <v>1478</v>
      </c>
      <c r="N271" s="9" t="s">
        <v>1479</v>
      </c>
      <c r="O271" s="8" t="s">
        <v>2277</v>
      </c>
      <c r="P271" s="8" t="s">
        <v>133</v>
      </c>
      <c r="Q271" s="9" t="s">
        <v>367</v>
      </c>
      <c r="R271" s="9" t="s">
        <v>2278</v>
      </c>
      <c r="S271" s="8"/>
      <c r="T271" s="8"/>
      <c r="U271" s="9" t="s">
        <v>2279</v>
      </c>
      <c r="V271" s="9" t="s">
        <v>229</v>
      </c>
      <c r="W271" s="9" t="s">
        <v>1483</v>
      </c>
      <c r="X271" s="9" t="s">
        <v>2280</v>
      </c>
      <c r="Y271" s="9" t="s">
        <v>2281</v>
      </c>
      <c r="Z271" s="9" t="s">
        <v>1485</v>
      </c>
      <c r="AA271" s="8"/>
      <c r="AB271" s="9" t="s">
        <v>2282</v>
      </c>
      <c r="AC271" s="9" t="s">
        <v>2283</v>
      </c>
      <c r="AD271" s="8"/>
      <c r="AE271" s="8"/>
      <c r="AF271" s="8"/>
      <c r="AG271" s="8"/>
      <c r="AH271" s="8"/>
      <c r="AI271" s="8" t="n">
        <v>0</v>
      </c>
      <c r="AJ271" s="8" t="n">
        <v>1</v>
      </c>
      <c r="AK271" s="8" t="n">
        <v>1</v>
      </c>
      <c r="AL271" s="8" t="n">
        <v>1</v>
      </c>
      <c r="AM271" s="8" t="n">
        <v>1</v>
      </c>
      <c r="AN271" s="8" t="n">
        <v>1</v>
      </c>
      <c r="AO271" s="8" t="n">
        <v>0</v>
      </c>
      <c r="AP271" s="8" t="n">
        <v>0</v>
      </c>
      <c r="AQ271" s="8" t="n">
        <v>1</v>
      </c>
      <c r="AR271" s="8" t="n">
        <v>0</v>
      </c>
      <c r="AS271" s="8" t="n">
        <v>1</v>
      </c>
      <c r="AT271" s="8" t="n">
        <v>0</v>
      </c>
      <c r="AU271" s="8" t="n">
        <v>0</v>
      </c>
      <c r="AV271" s="8" t="n">
        <v>1</v>
      </c>
      <c r="AW271" s="8" t="n">
        <v>0</v>
      </c>
      <c r="AX271" s="8" t="n">
        <v>0</v>
      </c>
      <c r="AY271" s="8" t="n">
        <v>0</v>
      </c>
      <c r="AZ271" s="8" t="n">
        <v>0</v>
      </c>
      <c r="BA271" s="8" t="n">
        <v>0</v>
      </c>
      <c r="BB271" s="8" t="n">
        <v>0</v>
      </c>
      <c r="BC271" s="8" t="n">
        <v>317</v>
      </c>
      <c r="BD271" s="8" t="n">
        <v>0</v>
      </c>
      <c r="BE271" s="8" t="n">
        <v>0</v>
      </c>
      <c r="BF271" s="8" t="n">
        <v>0</v>
      </c>
      <c r="BG271" s="10" t="s">
        <v>2284</v>
      </c>
      <c r="BH271" s="9" t="s">
        <v>2285</v>
      </c>
    </row>
    <row r="272" customFormat="false" ht="15" hidden="false" customHeight="false" outlineLevel="0" collapsed="false">
      <c r="A272" s="8" t="s">
        <v>2286</v>
      </c>
      <c r="B272" s="8" t="s">
        <v>2275</v>
      </c>
      <c r="C272" s="8" t="n">
        <v>2</v>
      </c>
      <c r="D272" s="8" t="n">
        <v>1928</v>
      </c>
      <c r="E272" s="8" t="n">
        <v>1935</v>
      </c>
      <c r="F272" s="8" t="str">
        <f aca="false">IF(D272="","?",IF(D272&lt;1796,"pre-1796",IF(D272&lt;1912,"1796-1911",IF(D272&lt;1949,"1912-1948","1949+"))))</f>
        <v>1912-1948</v>
      </c>
      <c r="G272" s="8" t="str">
        <f aca="false">IF(D272="","?",IF(D272&lt;1912,"Qing",IF(D272&lt;1949,"Republic","PRC")))</f>
        <v>Republic</v>
      </c>
      <c r="H272" s="8" t="s">
        <v>2276</v>
      </c>
      <c r="I272" s="9" t="s">
        <v>128</v>
      </c>
      <c r="J272" s="9" t="s">
        <v>223</v>
      </c>
      <c r="K272" s="8" t="s">
        <v>84</v>
      </c>
      <c r="L272" s="8"/>
      <c r="M272" s="9" t="s">
        <v>1478</v>
      </c>
      <c r="N272" s="9" t="s">
        <v>1479</v>
      </c>
      <c r="O272" s="8" t="s">
        <v>2277</v>
      </c>
      <c r="P272" s="8" t="s">
        <v>114</v>
      </c>
      <c r="Q272" s="9" t="s">
        <v>98</v>
      </c>
      <c r="R272" s="9" t="s">
        <v>2287</v>
      </c>
      <c r="S272" s="8"/>
      <c r="T272" s="8"/>
      <c r="U272" s="9" t="s">
        <v>2288</v>
      </c>
      <c r="V272" s="8"/>
      <c r="W272" s="8"/>
      <c r="X272" s="8"/>
      <c r="Y272" s="8"/>
      <c r="Z272" s="9" t="s">
        <v>2289</v>
      </c>
      <c r="AA272" s="8"/>
      <c r="AB272" s="8"/>
      <c r="AC272" s="8"/>
      <c r="AD272" s="8"/>
      <c r="AE272" s="9" t="s">
        <v>2290</v>
      </c>
      <c r="AF272" s="8"/>
      <c r="AG272" s="8"/>
      <c r="AH272" s="8"/>
      <c r="AI272" s="8" t="n">
        <v>0</v>
      </c>
      <c r="AJ272" s="8" t="n">
        <v>0</v>
      </c>
      <c r="AK272" s="8" t="n">
        <v>0</v>
      </c>
      <c r="AL272" s="8" t="n">
        <v>0</v>
      </c>
      <c r="AM272" s="8" t="n">
        <v>0</v>
      </c>
      <c r="AN272" s="8" t="n">
        <v>0</v>
      </c>
      <c r="AO272" s="8" t="n">
        <v>0</v>
      </c>
      <c r="AP272" s="8" t="n">
        <v>0</v>
      </c>
      <c r="AQ272" s="8" t="n">
        <v>0</v>
      </c>
      <c r="AR272" s="8" t="n">
        <v>0</v>
      </c>
      <c r="AS272" s="8" t="n">
        <v>0</v>
      </c>
      <c r="AT272" s="8" t="n">
        <v>0</v>
      </c>
      <c r="AU272" s="8" t="n">
        <v>0</v>
      </c>
      <c r="AV272" s="8" t="n">
        <v>0</v>
      </c>
      <c r="AW272" s="8" t="n">
        <v>0</v>
      </c>
      <c r="AX272" s="8" t="n">
        <v>0</v>
      </c>
      <c r="AY272" s="8" t="n">
        <v>0</v>
      </c>
      <c r="AZ272" s="8" t="n">
        <v>0</v>
      </c>
      <c r="BA272" s="8" t="n">
        <v>0</v>
      </c>
      <c r="BB272" s="8" t="n">
        <v>0</v>
      </c>
      <c r="BC272" s="8" t="n">
        <v>127</v>
      </c>
      <c r="BD272" s="8" t="n">
        <v>0</v>
      </c>
      <c r="BE272" s="8" t="n">
        <v>1</v>
      </c>
      <c r="BF272" s="8" t="n">
        <v>0</v>
      </c>
      <c r="BG272" s="10" t="s">
        <v>2284</v>
      </c>
      <c r="BH272" s="9" t="s">
        <v>2291</v>
      </c>
    </row>
    <row r="273" customFormat="false" ht="15" hidden="false" customHeight="false" outlineLevel="0" collapsed="false">
      <c r="A273" s="8" t="s">
        <v>2292</v>
      </c>
      <c r="B273" s="8" t="s">
        <v>2293</v>
      </c>
      <c r="C273" s="8" t="n">
        <v>1</v>
      </c>
      <c r="D273" s="8" t="n">
        <v>1953</v>
      </c>
      <c r="E273" s="8" t="n">
        <v>1953</v>
      </c>
      <c r="F273" s="8" t="str">
        <f aca="false">IF(D273="","?",IF(D273&lt;1796,"pre-1796",IF(D273&lt;1912,"1796-1911",IF(D273&lt;1949,"1912-1948","1949+"))))</f>
        <v>1949+</v>
      </c>
      <c r="G273" s="8" t="str">
        <f aca="false">IF(D273="","?",IF(D273&lt;1912,"Qing",IF(D273&lt;1949,"Republic","PRC")))</f>
        <v>PRC</v>
      </c>
      <c r="H273" s="8" t="s">
        <v>2201</v>
      </c>
      <c r="I273" s="9" t="s">
        <v>2294</v>
      </c>
      <c r="J273" s="9" t="s">
        <v>2295</v>
      </c>
      <c r="K273" s="8" t="s">
        <v>84</v>
      </c>
      <c r="L273" s="8"/>
      <c r="M273" s="9" t="s">
        <v>2296</v>
      </c>
      <c r="N273" s="9" t="s">
        <v>2297</v>
      </c>
      <c r="O273" s="8" t="s">
        <v>2298</v>
      </c>
      <c r="P273" s="8" t="s">
        <v>133</v>
      </c>
      <c r="Q273" s="9" t="s">
        <v>300</v>
      </c>
      <c r="R273" s="8"/>
      <c r="S273" s="8"/>
      <c r="T273" s="8"/>
      <c r="U273" s="8"/>
      <c r="V273" s="9" t="s">
        <v>2299</v>
      </c>
      <c r="W273" s="9" t="s">
        <v>2300</v>
      </c>
      <c r="X273" s="8"/>
      <c r="Y273" s="8"/>
      <c r="Z273" s="9" t="s">
        <v>2301</v>
      </c>
      <c r="AA273" s="9" t="s">
        <v>2302</v>
      </c>
      <c r="AB273" s="8"/>
      <c r="AC273" s="8"/>
      <c r="AD273" s="8"/>
      <c r="AE273" s="8"/>
      <c r="AF273" s="8"/>
      <c r="AG273" s="8"/>
      <c r="AH273" s="8" t="s">
        <v>2303</v>
      </c>
      <c r="AI273" s="8" t="n">
        <v>0</v>
      </c>
      <c r="AJ273" s="8" t="n">
        <v>0</v>
      </c>
      <c r="AK273" s="8" t="n">
        <v>0</v>
      </c>
      <c r="AL273" s="8" t="n">
        <v>1</v>
      </c>
      <c r="AM273" s="8" t="n">
        <v>1</v>
      </c>
      <c r="AN273" s="8" t="n">
        <v>0</v>
      </c>
      <c r="AO273" s="8" t="n">
        <v>0</v>
      </c>
      <c r="AP273" s="8" t="n">
        <v>0</v>
      </c>
      <c r="AQ273" s="8" t="n">
        <v>0</v>
      </c>
      <c r="AR273" s="8" t="n">
        <v>1</v>
      </c>
      <c r="AS273" s="8" t="n">
        <v>1</v>
      </c>
      <c r="AT273" s="8" t="n">
        <v>0</v>
      </c>
      <c r="AU273" s="8" t="n">
        <v>0</v>
      </c>
      <c r="AV273" s="8" t="n">
        <v>0</v>
      </c>
      <c r="AW273" s="8" t="n">
        <v>0</v>
      </c>
      <c r="AX273" s="8" t="n">
        <v>0</v>
      </c>
      <c r="AY273" s="8" t="n">
        <v>0</v>
      </c>
      <c r="AZ273" s="8" t="n">
        <v>0</v>
      </c>
      <c r="BA273" s="8" t="n">
        <v>0</v>
      </c>
      <c r="BB273" s="8" t="n">
        <v>0</v>
      </c>
      <c r="BC273" s="8" t="n">
        <v>288</v>
      </c>
      <c r="BD273" s="8" t="n">
        <v>2</v>
      </c>
      <c r="BE273" s="8" t="n">
        <v>1</v>
      </c>
      <c r="BF273" s="8" t="n">
        <v>0</v>
      </c>
      <c r="BG273" s="10" t="s">
        <v>2304</v>
      </c>
      <c r="BH273" s="9" t="s">
        <v>2305</v>
      </c>
    </row>
    <row r="274" customFormat="false" ht="15" hidden="false" customHeight="false" outlineLevel="0" collapsed="false">
      <c r="A274" s="8" t="s">
        <v>2306</v>
      </c>
      <c r="B274" s="8" t="s">
        <v>2293</v>
      </c>
      <c r="C274" s="8" t="n">
        <v>2</v>
      </c>
      <c r="D274" s="8" t="n">
        <v>1953</v>
      </c>
      <c r="E274" s="8" t="n">
        <v>1953</v>
      </c>
      <c r="F274" s="8" t="str">
        <f aca="false">IF(D274="","?",IF(D274&lt;1796,"pre-1796",IF(D274&lt;1912,"1796-1911",IF(D274&lt;1949,"1912-1948","1949+"))))</f>
        <v>1949+</v>
      </c>
      <c r="G274" s="8" t="str">
        <f aca="false">IF(D274="","?",IF(D274&lt;1912,"Qing",IF(D274&lt;1949,"Republic","PRC")))</f>
        <v>PRC</v>
      </c>
      <c r="H274" s="8" t="s">
        <v>2201</v>
      </c>
      <c r="I274" s="9" t="s">
        <v>2294</v>
      </c>
      <c r="J274" s="9" t="s">
        <v>2295</v>
      </c>
      <c r="K274" s="8" t="s">
        <v>84</v>
      </c>
      <c r="L274" s="8"/>
      <c r="M274" s="9" t="s">
        <v>2296</v>
      </c>
      <c r="N274" s="9" t="s">
        <v>2297</v>
      </c>
      <c r="O274" s="8" t="s">
        <v>2298</v>
      </c>
      <c r="P274" s="8" t="s">
        <v>114</v>
      </c>
      <c r="Q274" s="9" t="s">
        <v>98</v>
      </c>
      <c r="R274" s="9" t="s">
        <v>2307</v>
      </c>
      <c r="S274" s="9" t="s">
        <v>2308</v>
      </c>
      <c r="T274" s="8"/>
      <c r="U274" s="8"/>
      <c r="V274" s="8"/>
      <c r="W274" s="9" t="s">
        <v>2309</v>
      </c>
      <c r="X274" s="8"/>
      <c r="Y274" s="8"/>
      <c r="Z274" s="8"/>
      <c r="AA274" s="8"/>
      <c r="AB274" s="8"/>
      <c r="AC274" s="8"/>
      <c r="AD274" s="8"/>
      <c r="AE274" s="9" t="s">
        <v>2310</v>
      </c>
      <c r="AF274" s="9" t="s">
        <v>429</v>
      </c>
      <c r="AG274" s="8"/>
      <c r="AH274" s="8"/>
      <c r="AI274" s="8" t="n">
        <v>0</v>
      </c>
      <c r="AJ274" s="8" t="n">
        <v>0</v>
      </c>
      <c r="AK274" s="8" t="n">
        <v>0</v>
      </c>
      <c r="AL274" s="8" t="n">
        <v>0</v>
      </c>
      <c r="AM274" s="8" t="n">
        <v>0</v>
      </c>
      <c r="AN274" s="8" t="n">
        <v>0</v>
      </c>
      <c r="AO274" s="8" t="n">
        <v>0</v>
      </c>
      <c r="AP274" s="8" t="n">
        <v>0</v>
      </c>
      <c r="AQ274" s="8" t="n">
        <v>0</v>
      </c>
      <c r="AR274" s="8" t="n">
        <v>0</v>
      </c>
      <c r="AS274" s="8" t="n">
        <v>0</v>
      </c>
      <c r="AT274" s="8" t="n">
        <v>1</v>
      </c>
      <c r="AU274" s="8" t="n">
        <v>0</v>
      </c>
      <c r="AV274" s="8" t="n">
        <v>0</v>
      </c>
      <c r="AW274" s="8" t="n">
        <v>0</v>
      </c>
      <c r="AX274" s="8" t="n">
        <v>0</v>
      </c>
      <c r="AY274" s="8" t="n">
        <v>0</v>
      </c>
      <c r="AZ274" s="8" t="n">
        <v>0</v>
      </c>
      <c r="BA274" s="8" t="n">
        <v>1</v>
      </c>
      <c r="BB274" s="8" t="n">
        <v>0</v>
      </c>
      <c r="BC274" s="8" t="n">
        <v>945</v>
      </c>
      <c r="BD274" s="8" t="n">
        <v>0</v>
      </c>
      <c r="BE274" s="8" t="n">
        <v>0</v>
      </c>
      <c r="BF274" s="8" t="n">
        <v>0</v>
      </c>
      <c r="BG274" s="10" t="s">
        <v>2304</v>
      </c>
      <c r="BH274" s="9" t="s">
        <v>2311</v>
      </c>
    </row>
    <row r="275" customFormat="false" ht="15" hidden="false" customHeight="false" outlineLevel="0" collapsed="false">
      <c r="A275" s="8" t="s">
        <v>2312</v>
      </c>
      <c r="B275" s="8" t="s">
        <v>2293</v>
      </c>
      <c r="C275" s="8" t="n">
        <v>3</v>
      </c>
      <c r="D275" s="8" t="n">
        <v>1953</v>
      </c>
      <c r="E275" s="8" t="n">
        <v>1953</v>
      </c>
      <c r="F275" s="8" t="str">
        <f aca="false">IF(D275="","?",IF(D275&lt;1796,"pre-1796",IF(D275&lt;1912,"1796-1911",IF(D275&lt;1949,"1912-1948","1949+"))))</f>
        <v>1949+</v>
      </c>
      <c r="G275" s="8" t="str">
        <f aca="false">IF(D275="","?",IF(D275&lt;1912,"Qing",IF(D275&lt;1949,"Republic","PRC")))</f>
        <v>PRC</v>
      </c>
      <c r="H275" s="8" t="s">
        <v>2201</v>
      </c>
      <c r="I275" s="9" t="s">
        <v>2294</v>
      </c>
      <c r="J275" s="9" t="s">
        <v>2295</v>
      </c>
      <c r="K275" s="8" t="s">
        <v>84</v>
      </c>
      <c r="L275" s="8"/>
      <c r="M275" s="9" t="s">
        <v>2296</v>
      </c>
      <c r="N275" s="9" t="s">
        <v>2297</v>
      </c>
      <c r="O275" s="8" t="s">
        <v>2298</v>
      </c>
      <c r="P275" s="8" t="s">
        <v>87</v>
      </c>
      <c r="Q275" s="8"/>
      <c r="R275" s="8"/>
      <c r="S275" s="8"/>
      <c r="T275" s="8"/>
      <c r="U275" s="8"/>
      <c r="V275" s="8"/>
      <c r="W275" s="8"/>
      <c r="X275" s="8"/>
      <c r="Y275" s="8"/>
      <c r="Z275" s="8"/>
      <c r="AA275" s="8"/>
      <c r="AB275" s="8"/>
      <c r="AC275" s="8"/>
      <c r="AD275" s="8"/>
      <c r="AE275" s="9" t="s">
        <v>2313</v>
      </c>
      <c r="AF275" s="8"/>
      <c r="AG275" s="8"/>
      <c r="AH275" s="9" t="s">
        <v>2314</v>
      </c>
      <c r="AI275" s="8" t="n">
        <v>0</v>
      </c>
      <c r="AJ275" s="8" t="n">
        <v>0</v>
      </c>
      <c r="AK275" s="8" t="n">
        <v>0</v>
      </c>
      <c r="AL275" s="8" t="n">
        <v>0</v>
      </c>
      <c r="AM275" s="8" t="n">
        <v>0</v>
      </c>
      <c r="AN275" s="8" t="n">
        <v>0</v>
      </c>
      <c r="AO275" s="8" t="n">
        <v>0</v>
      </c>
      <c r="AP275" s="8" t="n">
        <v>0</v>
      </c>
      <c r="AQ275" s="8" t="n">
        <v>0</v>
      </c>
      <c r="AR275" s="8" t="n">
        <v>0</v>
      </c>
      <c r="AS275" s="8" t="n">
        <v>0</v>
      </c>
      <c r="AT275" s="8" t="n">
        <v>0</v>
      </c>
      <c r="AU275" s="8" t="n">
        <v>0</v>
      </c>
      <c r="AV275" s="8" t="n">
        <v>0</v>
      </c>
      <c r="AW275" s="8" t="n">
        <v>0</v>
      </c>
      <c r="AX275" s="8" t="n">
        <v>0</v>
      </c>
      <c r="AY275" s="8" t="n">
        <v>0</v>
      </c>
      <c r="AZ275" s="8" t="n">
        <v>0</v>
      </c>
      <c r="BA275" s="8" t="n">
        <v>0</v>
      </c>
      <c r="BB275" s="8" t="n">
        <v>0</v>
      </c>
      <c r="BC275" s="8" t="n">
        <v>121</v>
      </c>
      <c r="BD275" s="8" t="n">
        <v>3</v>
      </c>
      <c r="BE275" s="8" t="n">
        <v>0</v>
      </c>
      <c r="BF275" s="8" t="n">
        <v>0</v>
      </c>
      <c r="BG275" s="10" t="s">
        <v>2304</v>
      </c>
      <c r="BH275" s="9" t="s">
        <v>2315</v>
      </c>
    </row>
    <row r="276" customFormat="false" ht="15" hidden="false" customHeight="false" outlineLevel="0" collapsed="false">
      <c r="A276" s="8" t="s">
        <v>2316</v>
      </c>
      <c r="B276" s="8" t="s">
        <v>2317</v>
      </c>
      <c r="C276" s="8" t="n">
        <v>1</v>
      </c>
      <c r="D276" s="8" t="n">
        <v>1954</v>
      </c>
      <c r="E276" s="8" t="n">
        <v>1954</v>
      </c>
      <c r="F276" s="8" t="str">
        <f aca="false">IF(D276="","?",IF(D276&lt;1796,"pre-1796",IF(D276&lt;1912,"1796-1911",IF(D276&lt;1949,"1912-1948","1949+"))))</f>
        <v>1949+</v>
      </c>
      <c r="G276" s="8" t="str">
        <f aca="false">IF(D276="","?",IF(D276&lt;1912,"Qing",IF(D276&lt;1949,"Republic","PRC")))</f>
        <v>PRC</v>
      </c>
      <c r="H276" s="8" t="s">
        <v>2318</v>
      </c>
      <c r="I276" s="9" t="s">
        <v>2294</v>
      </c>
      <c r="J276" s="9" t="s">
        <v>2295</v>
      </c>
      <c r="K276" s="8" t="s">
        <v>84</v>
      </c>
      <c r="L276" s="8"/>
      <c r="M276" s="9" t="s">
        <v>2319</v>
      </c>
      <c r="N276" s="9" t="s">
        <v>2320</v>
      </c>
      <c r="O276" s="8" t="s">
        <v>2321</v>
      </c>
      <c r="P276" s="8" t="s">
        <v>97</v>
      </c>
      <c r="Q276" s="9" t="s">
        <v>300</v>
      </c>
      <c r="R276" s="9" t="s">
        <v>2322</v>
      </c>
      <c r="S276" s="9" t="s">
        <v>2319</v>
      </c>
      <c r="T276" s="8"/>
      <c r="U276" s="9" t="s">
        <v>2323</v>
      </c>
      <c r="V276" s="9" t="s">
        <v>2299</v>
      </c>
      <c r="W276" s="9" t="s">
        <v>2324</v>
      </c>
      <c r="X276" s="8"/>
      <c r="Y276" s="8"/>
      <c r="Z276" s="8"/>
      <c r="AA276" s="9" t="s">
        <v>2325</v>
      </c>
      <c r="AB276" s="8"/>
      <c r="AC276" s="8"/>
      <c r="AD276" s="8"/>
      <c r="AE276" s="8"/>
      <c r="AF276" s="8"/>
      <c r="AG276" s="8"/>
      <c r="AH276" s="9" t="s">
        <v>2326</v>
      </c>
      <c r="AI276" s="8" t="n">
        <v>0</v>
      </c>
      <c r="AJ276" s="8" t="n">
        <v>0</v>
      </c>
      <c r="AK276" s="8" t="n">
        <v>0</v>
      </c>
      <c r="AL276" s="8" t="n">
        <v>0</v>
      </c>
      <c r="AM276" s="8" t="n">
        <v>1</v>
      </c>
      <c r="AN276" s="8" t="n">
        <v>0</v>
      </c>
      <c r="AO276" s="8" t="n">
        <v>0</v>
      </c>
      <c r="AP276" s="8" t="n">
        <v>0</v>
      </c>
      <c r="AQ276" s="8" t="n">
        <v>0</v>
      </c>
      <c r="AR276" s="8" t="n">
        <v>0</v>
      </c>
      <c r="AS276" s="8" t="n">
        <v>1</v>
      </c>
      <c r="AT276" s="8" t="n">
        <v>0</v>
      </c>
      <c r="AU276" s="8" t="n">
        <v>0</v>
      </c>
      <c r="AV276" s="8" t="n">
        <v>0</v>
      </c>
      <c r="AW276" s="8" t="n">
        <v>0</v>
      </c>
      <c r="AX276" s="8" t="n">
        <v>0</v>
      </c>
      <c r="AY276" s="8" t="n">
        <v>0</v>
      </c>
      <c r="AZ276" s="8" t="n">
        <v>0</v>
      </c>
      <c r="BA276" s="8" t="n">
        <v>0</v>
      </c>
      <c r="BB276" s="8" t="n">
        <v>0</v>
      </c>
      <c r="BC276" s="8" t="n">
        <v>338</v>
      </c>
      <c r="BD276" s="8" t="n">
        <v>3</v>
      </c>
      <c r="BE276" s="8" t="n">
        <v>0</v>
      </c>
      <c r="BF276" s="8" t="n">
        <v>0</v>
      </c>
      <c r="BG276" s="10" t="s">
        <v>2327</v>
      </c>
      <c r="BH276" s="9" t="s">
        <v>2328</v>
      </c>
    </row>
    <row r="277" customFormat="false" ht="15" hidden="false" customHeight="false" outlineLevel="0" collapsed="false">
      <c r="A277" s="8" t="s">
        <v>2329</v>
      </c>
      <c r="B277" s="8" t="s">
        <v>2317</v>
      </c>
      <c r="C277" s="8" t="n">
        <v>2</v>
      </c>
      <c r="D277" s="8" t="n">
        <v>1954</v>
      </c>
      <c r="E277" s="8" t="n">
        <v>1954</v>
      </c>
      <c r="F277" s="8" t="str">
        <f aca="false">IF(D277="","?",IF(D277&lt;1796,"pre-1796",IF(D277&lt;1912,"1796-1911",IF(D277&lt;1949,"1912-1948","1949+"))))</f>
        <v>1949+</v>
      </c>
      <c r="G277" s="8" t="str">
        <f aca="false">IF(D277="","?",IF(D277&lt;1912,"Qing",IF(D277&lt;1949,"Republic","PRC")))</f>
        <v>PRC</v>
      </c>
      <c r="H277" s="8" t="s">
        <v>2318</v>
      </c>
      <c r="I277" s="9" t="s">
        <v>2294</v>
      </c>
      <c r="J277" s="9" t="s">
        <v>2295</v>
      </c>
      <c r="K277" s="8" t="s">
        <v>84</v>
      </c>
      <c r="L277" s="8"/>
      <c r="M277" s="9" t="s">
        <v>2319</v>
      </c>
      <c r="N277" s="9" t="s">
        <v>2320</v>
      </c>
      <c r="O277" s="8" t="s">
        <v>2321</v>
      </c>
      <c r="P277" s="8" t="s">
        <v>114</v>
      </c>
      <c r="Q277" s="9" t="s">
        <v>98</v>
      </c>
      <c r="R277" s="9" t="s">
        <v>2330</v>
      </c>
      <c r="S277" s="9" t="s">
        <v>2308</v>
      </c>
      <c r="T277" s="8"/>
      <c r="U277" s="9" t="s">
        <v>2331</v>
      </c>
      <c r="V277" s="8"/>
      <c r="W277" s="9" t="s">
        <v>2332</v>
      </c>
      <c r="X277" s="8"/>
      <c r="Y277" s="8"/>
      <c r="Z277" s="8"/>
      <c r="AA277" s="8"/>
      <c r="AB277" s="8"/>
      <c r="AC277" s="8"/>
      <c r="AD277" s="8"/>
      <c r="AE277" s="9" t="s">
        <v>2333</v>
      </c>
      <c r="AF277" s="8"/>
      <c r="AG277" s="8"/>
      <c r="AH277" s="8"/>
      <c r="AI277" s="8" t="n">
        <v>0</v>
      </c>
      <c r="AJ277" s="8" t="n">
        <v>0</v>
      </c>
      <c r="AK277" s="8" t="n">
        <v>0</v>
      </c>
      <c r="AL277" s="8" t="n">
        <v>0</v>
      </c>
      <c r="AM277" s="8" t="n">
        <v>0</v>
      </c>
      <c r="AN277" s="8" t="n">
        <v>0</v>
      </c>
      <c r="AO277" s="8" t="n">
        <v>0</v>
      </c>
      <c r="AP277" s="8" t="n">
        <v>0</v>
      </c>
      <c r="AQ277" s="8" t="n">
        <v>0</v>
      </c>
      <c r="AR277" s="8" t="n">
        <v>0</v>
      </c>
      <c r="AS277" s="8" t="n">
        <v>0</v>
      </c>
      <c r="AT277" s="8" t="n">
        <v>0</v>
      </c>
      <c r="AU277" s="8" t="n">
        <v>0</v>
      </c>
      <c r="AV277" s="8" t="n">
        <v>0</v>
      </c>
      <c r="AW277" s="8" t="n">
        <v>0</v>
      </c>
      <c r="AX277" s="8" t="n">
        <v>0</v>
      </c>
      <c r="AY277" s="8" t="n">
        <v>0</v>
      </c>
      <c r="AZ277" s="8" t="n">
        <v>0</v>
      </c>
      <c r="BA277" s="8" t="n">
        <v>1</v>
      </c>
      <c r="BB277" s="8" t="n">
        <v>0</v>
      </c>
      <c r="BC277" s="8" t="n">
        <v>959</v>
      </c>
      <c r="BD277" s="8" t="n">
        <v>1</v>
      </c>
      <c r="BE277" s="8" t="n">
        <v>0</v>
      </c>
      <c r="BF277" s="8" t="n">
        <v>0</v>
      </c>
      <c r="BG277" s="10" t="s">
        <v>2327</v>
      </c>
      <c r="BH277" s="9" t="s">
        <v>2334</v>
      </c>
    </row>
    <row r="278" customFormat="false" ht="15" hidden="false" customHeight="false" outlineLevel="0" collapsed="false">
      <c r="A278" s="8" t="s">
        <v>2335</v>
      </c>
      <c r="B278" s="8" t="s">
        <v>2317</v>
      </c>
      <c r="C278" s="8" t="n">
        <v>3</v>
      </c>
      <c r="D278" s="8" t="n">
        <v>1954</v>
      </c>
      <c r="E278" s="8" t="n">
        <v>1954</v>
      </c>
      <c r="F278" s="8" t="str">
        <f aca="false">IF(D278="","?",IF(D278&lt;1796,"pre-1796",IF(D278&lt;1912,"1796-1911",IF(D278&lt;1949,"1912-1948","1949+"))))</f>
        <v>1949+</v>
      </c>
      <c r="G278" s="8" t="str">
        <f aca="false">IF(D278="","?",IF(D278&lt;1912,"Qing",IF(D278&lt;1949,"Republic","PRC")))</f>
        <v>PRC</v>
      </c>
      <c r="H278" s="8" t="s">
        <v>2318</v>
      </c>
      <c r="I278" s="9" t="s">
        <v>2294</v>
      </c>
      <c r="J278" s="9" t="s">
        <v>2295</v>
      </c>
      <c r="K278" s="8" t="s">
        <v>84</v>
      </c>
      <c r="L278" s="8"/>
      <c r="M278" s="9" t="s">
        <v>2319</v>
      </c>
      <c r="N278" s="9" t="s">
        <v>2320</v>
      </c>
      <c r="O278" s="8" t="s">
        <v>2321</v>
      </c>
      <c r="P278" s="8" t="s">
        <v>114</v>
      </c>
      <c r="Q278" s="8"/>
      <c r="R278" s="8"/>
      <c r="S278" s="8"/>
      <c r="T278" s="8"/>
      <c r="U278" s="8"/>
      <c r="V278" s="9" t="s">
        <v>2299</v>
      </c>
      <c r="W278" s="8"/>
      <c r="X278" s="8"/>
      <c r="Y278" s="8"/>
      <c r="Z278" s="8"/>
      <c r="AA278" s="8"/>
      <c r="AB278" s="8"/>
      <c r="AC278" s="8"/>
      <c r="AD278" s="8"/>
      <c r="AE278" s="9" t="s">
        <v>2336</v>
      </c>
      <c r="AF278" s="8"/>
      <c r="AG278" s="8"/>
      <c r="AH278" s="9" t="s">
        <v>2337</v>
      </c>
      <c r="AI278" s="8" t="n">
        <v>0</v>
      </c>
      <c r="AJ278" s="8" t="n">
        <v>0</v>
      </c>
      <c r="AK278" s="8" t="n">
        <v>0</v>
      </c>
      <c r="AL278" s="8" t="n">
        <v>0</v>
      </c>
      <c r="AM278" s="8" t="n">
        <v>0</v>
      </c>
      <c r="AN278" s="8" t="n">
        <v>0</v>
      </c>
      <c r="AO278" s="8" t="n">
        <v>0</v>
      </c>
      <c r="AP278" s="8" t="n">
        <v>0</v>
      </c>
      <c r="AQ278" s="8" t="n">
        <v>0</v>
      </c>
      <c r="AR278" s="8" t="n">
        <v>0</v>
      </c>
      <c r="AS278" s="8" t="n">
        <v>0</v>
      </c>
      <c r="AT278" s="8" t="n">
        <v>0</v>
      </c>
      <c r="AU278" s="8" t="n">
        <v>0</v>
      </c>
      <c r="AV278" s="8" t="n">
        <v>0</v>
      </c>
      <c r="AW278" s="8" t="n">
        <v>0</v>
      </c>
      <c r="AX278" s="8" t="n">
        <v>0</v>
      </c>
      <c r="AY278" s="8" t="n">
        <v>0</v>
      </c>
      <c r="AZ278" s="8" t="n">
        <v>0</v>
      </c>
      <c r="BA278" s="8" t="n">
        <v>0</v>
      </c>
      <c r="BB278" s="8" t="n">
        <v>0</v>
      </c>
      <c r="BC278" s="8" t="n">
        <v>216</v>
      </c>
      <c r="BD278" s="8" t="n">
        <v>6</v>
      </c>
      <c r="BE278" s="8" t="n">
        <v>0</v>
      </c>
      <c r="BF278" s="8" t="n">
        <v>0</v>
      </c>
      <c r="BG278" s="10" t="s">
        <v>2327</v>
      </c>
      <c r="BH278" s="9" t="s">
        <v>2338</v>
      </c>
    </row>
    <row r="279" customFormat="false" ht="15" hidden="false" customHeight="false" outlineLevel="0" collapsed="false">
      <c r="A279" s="8" t="s">
        <v>2339</v>
      </c>
      <c r="B279" s="8" t="s">
        <v>2317</v>
      </c>
      <c r="C279" s="8" t="n">
        <v>4</v>
      </c>
      <c r="D279" s="8" t="n">
        <v>1954</v>
      </c>
      <c r="E279" s="8" t="n">
        <v>1954</v>
      </c>
      <c r="F279" s="8" t="str">
        <f aca="false">IF(D279="","?",IF(D279&lt;1796,"pre-1796",IF(D279&lt;1912,"1796-1911",IF(D279&lt;1949,"1912-1948","1949+"))))</f>
        <v>1949+</v>
      </c>
      <c r="G279" s="8" t="str">
        <f aca="false">IF(D279="","?",IF(D279&lt;1912,"Qing",IF(D279&lt;1949,"Republic","PRC")))</f>
        <v>PRC</v>
      </c>
      <c r="H279" s="8" t="s">
        <v>2318</v>
      </c>
      <c r="I279" s="9" t="s">
        <v>2294</v>
      </c>
      <c r="J279" s="9" t="s">
        <v>2295</v>
      </c>
      <c r="K279" s="8" t="s">
        <v>84</v>
      </c>
      <c r="L279" s="8"/>
      <c r="M279" s="9" t="s">
        <v>2319</v>
      </c>
      <c r="N279" s="9" t="s">
        <v>2320</v>
      </c>
      <c r="O279" s="8" t="s">
        <v>2321</v>
      </c>
      <c r="P279" s="8" t="s">
        <v>87</v>
      </c>
      <c r="Q279" s="8"/>
      <c r="R279" s="8"/>
      <c r="S279" s="8"/>
      <c r="T279" s="8"/>
      <c r="U279" s="9" t="s">
        <v>2340</v>
      </c>
      <c r="V279" s="9" t="s">
        <v>2299</v>
      </c>
      <c r="W279" s="8"/>
      <c r="X279" s="8"/>
      <c r="Y279" s="8"/>
      <c r="Z279" s="8"/>
      <c r="AA279" s="8"/>
      <c r="AB279" s="8"/>
      <c r="AC279" s="8"/>
      <c r="AD279" s="8"/>
      <c r="AE279" s="9" t="s">
        <v>2336</v>
      </c>
      <c r="AF279" s="8"/>
      <c r="AG279" s="8"/>
      <c r="AH279" s="9" t="s">
        <v>2341</v>
      </c>
      <c r="AI279" s="8" t="n">
        <v>0</v>
      </c>
      <c r="AJ279" s="8" t="n">
        <v>0</v>
      </c>
      <c r="AK279" s="8" t="n">
        <v>0</v>
      </c>
      <c r="AL279" s="8" t="n">
        <v>0</v>
      </c>
      <c r="AM279" s="8" t="n">
        <v>0</v>
      </c>
      <c r="AN279" s="8" t="n">
        <v>0</v>
      </c>
      <c r="AO279" s="8" t="n">
        <v>0</v>
      </c>
      <c r="AP279" s="8" t="n">
        <v>0</v>
      </c>
      <c r="AQ279" s="8" t="n">
        <v>0</v>
      </c>
      <c r="AR279" s="8" t="n">
        <v>0</v>
      </c>
      <c r="AS279" s="8" t="n">
        <v>0</v>
      </c>
      <c r="AT279" s="8" t="n">
        <v>0</v>
      </c>
      <c r="AU279" s="8" t="n">
        <v>0</v>
      </c>
      <c r="AV279" s="8" t="n">
        <v>0</v>
      </c>
      <c r="AW279" s="8" t="n">
        <v>0</v>
      </c>
      <c r="AX279" s="8" t="n">
        <v>0</v>
      </c>
      <c r="AY279" s="8" t="n">
        <v>0</v>
      </c>
      <c r="AZ279" s="8" t="n">
        <v>0</v>
      </c>
      <c r="BA279" s="8" t="n">
        <v>0</v>
      </c>
      <c r="BB279" s="8" t="n">
        <v>0</v>
      </c>
      <c r="BC279" s="8" t="n">
        <v>265</v>
      </c>
      <c r="BD279" s="8" t="n">
        <v>0</v>
      </c>
      <c r="BE279" s="8" t="n">
        <v>0</v>
      </c>
      <c r="BF279" s="8" t="n">
        <v>0</v>
      </c>
      <c r="BG279" s="10" t="s">
        <v>2327</v>
      </c>
      <c r="BH279" s="9" t="s">
        <v>2342</v>
      </c>
    </row>
    <row r="280" customFormat="false" ht="15" hidden="false" customHeight="false" outlineLevel="0" collapsed="false">
      <c r="A280" s="8" t="s">
        <v>2343</v>
      </c>
      <c r="B280" s="8" t="s">
        <v>2344</v>
      </c>
      <c r="C280" s="8" t="n">
        <v>1</v>
      </c>
      <c r="D280" s="8" t="n">
        <v>1921</v>
      </c>
      <c r="E280" s="8" t="n">
        <v>1921</v>
      </c>
      <c r="F280" s="8" t="str">
        <f aca="false">IF(D280="","?",IF(D280&lt;1796,"pre-1796",IF(D280&lt;1912,"1796-1911",IF(D280&lt;1949,"1912-1948","1949+"))))</f>
        <v>1912-1948</v>
      </c>
      <c r="G280" s="8" t="str">
        <f aca="false">IF(D280="","?",IF(D280&lt;1912,"Qing",IF(D280&lt;1949,"Republic","PRC")))</f>
        <v>Republic</v>
      </c>
      <c r="H280" s="8" t="s">
        <v>1044</v>
      </c>
      <c r="I280" s="8"/>
      <c r="J280" s="8"/>
      <c r="K280" s="8" t="s">
        <v>84</v>
      </c>
      <c r="L280" s="8"/>
      <c r="M280" s="9" t="s">
        <v>2345</v>
      </c>
      <c r="N280" s="8"/>
      <c r="O280" s="8" t="s">
        <v>2346</v>
      </c>
      <c r="P280" s="8" t="s">
        <v>133</v>
      </c>
      <c r="Q280" s="9" t="s">
        <v>2347</v>
      </c>
      <c r="R280" s="8"/>
      <c r="S280" s="8"/>
      <c r="T280" s="8"/>
      <c r="U280" s="8"/>
      <c r="V280" s="8"/>
      <c r="W280" s="8"/>
      <c r="X280" s="8"/>
      <c r="Y280" s="8"/>
      <c r="Z280" s="8"/>
      <c r="AA280" s="8"/>
      <c r="AB280" s="8"/>
      <c r="AC280" s="8"/>
      <c r="AD280" s="8"/>
      <c r="AE280" s="8"/>
      <c r="AF280" s="8"/>
      <c r="AG280" s="8"/>
      <c r="AH280" s="8"/>
      <c r="AI280" s="8" t="n">
        <v>1</v>
      </c>
      <c r="AJ280" s="8" t="n">
        <v>0</v>
      </c>
      <c r="AK280" s="8" t="n">
        <v>1</v>
      </c>
      <c r="AL280" s="8" t="n">
        <v>0</v>
      </c>
      <c r="AM280" s="8" t="n">
        <v>1</v>
      </c>
      <c r="AN280" s="8" t="n">
        <v>1</v>
      </c>
      <c r="AO280" s="8" t="n">
        <v>1</v>
      </c>
      <c r="AP280" s="8" t="n">
        <v>0</v>
      </c>
      <c r="AQ280" s="8" t="n">
        <v>1</v>
      </c>
      <c r="AR280" s="8" t="n">
        <v>0</v>
      </c>
      <c r="AS280" s="8" t="n">
        <v>1</v>
      </c>
      <c r="AT280" s="8" t="n">
        <v>0</v>
      </c>
      <c r="AU280" s="8" t="n">
        <v>0</v>
      </c>
      <c r="AV280" s="8" t="n">
        <v>0</v>
      </c>
      <c r="AW280" s="8" t="n">
        <v>1</v>
      </c>
      <c r="AX280" s="8" t="n">
        <v>0</v>
      </c>
      <c r="AY280" s="8" t="n">
        <v>0</v>
      </c>
      <c r="AZ280" s="8" t="n">
        <v>0</v>
      </c>
      <c r="BA280" s="8" t="n">
        <v>0</v>
      </c>
      <c r="BB280" s="8" t="n">
        <v>0</v>
      </c>
      <c r="BC280" s="8" t="n">
        <v>264</v>
      </c>
      <c r="BD280" s="8" t="n">
        <v>0</v>
      </c>
      <c r="BE280" s="8" t="n">
        <v>0</v>
      </c>
      <c r="BF280" s="8" t="n">
        <v>0</v>
      </c>
      <c r="BG280" s="10" t="s">
        <v>2348</v>
      </c>
      <c r="BH280" s="9" t="s">
        <v>2349</v>
      </c>
    </row>
    <row r="281" customFormat="false" ht="15" hidden="false" customHeight="false" outlineLevel="0" collapsed="false">
      <c r="A281" s="8" t="s">
        <v>2350</v>
      </c>
      <c r="B281" s="8" t="s">
        <v>2351</v>
      </c>
      <c r="C281" s="8" t="n">
        <v>1</v>
      </c>
      <c r="D281" s="8" t="n">
        <v>1934</v>
      </c>
      <c r="E281" s="8" t="n">
        <v>1934</v>
      </c>
      <c r="F281" s="8" t="str">
        <f aca="false">IF(D281="","?",IF(D281&lt;1796,"pre-1796",IF(D281&lt;1912,"1796-1911",IF(D281&lt;1949,"1912-1948","1949+"))))</f>
        <v>1912-1948</v>
      </c>
      <c r="G281" s="8" t="str">
        <f aca="false">IF(D281="","?",IF(D281&lt;1912,"Qing",IF(D281&lt;1949,"Republic","PRC")))</f>
        <v>Republic</v>
      </c>
      <c r="H281" s="8" t="s">
        <v>2352</v>
      </c>
      <c r="I281" s="9" t="s">
        <v>128</v>
      </c>
      <c r="J281" s="9" t="s">
        <v>223</v>
      </c>
      <c r="K281" s="8" t="s">
        <v>84</v>
      </c>
      <c r="L281" s="8"/>
      <c r="M281" s="9" t="s">
        <v>2353</v>
      </c>
      <c r="N281" s="9" t="s">
        <v>2354</v>
      </c>
      <c r="O281" s="8" t="s">
        <v>2355</v>
      </c>
      <c r="P281" s="8" t="s">
        <v>97</v>
      </c>
      <c r="Q281" s="9" t="s">
        <v>2356</v>
      </c>
      <c r="R281" s="9" t="s">
        <v>2357</v>
      </c>
      <c r="S281" s="9" t="s">
        <v>2353</v>
      </c>
      <c r="T281" s="9" t="s">
        <v>2354</v>
      </c>
      <c r="U281" s="9" t="s">
        <v>2358</v>
      </c>
      <c r="V281" s="9" t="s">
        <v>229</v>
      </c>
      <c r="W281" s="8"/>
      <c r="X281" s="8"/>
      <c r="Y281" s="8"/>
      <c r="Z281" s="8"/>
      <c r="AA281" s="9" t="s">
        <v>2359</v>
      </c>
      <c r="AB281" s="9" t="s">
        <v>2360</v>
      </c>
      <c r="AC281" s="8"/>
      <c r="AD281" s="8"/>
      <c r="AE281" s="8"/>
      <c r="AF281" s="8"/>
      <c r="AG281" s="8"/>
      <c r="AH281" s="8"/>
      <c r="AI281" s="8" t="n">
        <v>1</v>
      </c>
      <c r="AJ281" s="8" t="n">
        <v>0</v>
      </c>
      <c r="AK281" s="8" t="n">
        <v>1</v>
      </c>
      <c r="AL281" s="8" t="n">
        <v>1</v>
      </c>
      <c r="AM281" s="8" t="n">
        <v>1</v>
      </c>
      <c r="AN281" s="8" t="n">
        <v>1</v>
      </c>
      <c r="AO281" s="8" t="n">
        <v>1</v>
      </c>
      <c r="AP281" s="8" t="n">
        <v>0</v>
      </c>
      <c r="AQ281" s="8" t="n">
        <v>1</v>
      </c>
      <c r="AR281" s="8" t="n">
        <v>1</v>
      </c>
      <c r="AS281" s="8" t="n">
        <v>1</v>
      </c>
      <c r="AT281" s="8" t="n">
        <v>1</v>
      </c>
      <c r="AU281" s="8" t="n">
        <v>1</v>
      </c>
      <c r="AV281" s="8" t="n">
        <v>0</v>
      </c>
      <c r="AW281" s="8" t="n">
        <v>0</v>
      </c>
      <c r="AX281" s="8" t="n">
        <v>0</v>
      </c>
      <c r="AY281" s="8" t="n">
        <v>0</v>
      </c>
      <c r="AZ281" s="8" t="n">
        <v>0</v>
      </c>
      <c r="BA281" s="8" t="n">
        <v>0</v>
      </c>
      <c r="BB281" s="8" t="n">
        <v>0</v>
      </c>
      <c r="BC281" s="8" t="n">
        <v>398</v>
      </c>
      <c r="BD281" s="8" t="n">
        <v>1</v>
      </c>
      <c r="BE281" s="8" t="n">
        <v>0</v>
      </c>
      <c r="BF281" s="8" t="n">
        <v>0</v>
      </c>
      <c r="BG281" s="10" t="s">
        <v>2361</v>
      </c>
      <c r="BH281" s="9" t="s">
        <v>2362</v>
      </c>
    </row>
    <row r="282" customFormat="false" ht="15" hidden="false" customHeight="false" outlineLevel="0" collapsed="false">
      <c r="A282" s="8" t="s">
        <v>2363</v>
      </c>
      <c r="B282" s="8" t="s">
        <v>2351</v>
      </c>
      <c r="C282" s="8" t="n">
        <v>2</v>
      </c>
      <c r="D282" s="8" t="n">
        <v>1934</v>
      </c>
      <c r="E282" s="8" t="n">
        <v>1934</v>
      </c>
      <c r="F282" s="8" t="str">
        <f aca="false">IF(D282="","?",IF(D282&lt;1796,"pre-1796",IF(D282&lt;1912,"1796-1911",IF(D282&lt;1949,"1912-1948","1949+"))))</f>
        <v>1912-1948</v>
      </c>
      <c r="G282" s="8" t="str">
        <f aca="false">IF(D282="","?",IF(D282&lt;1912,"Qing",IF(D282&lt;1949,"Republic","PRC")))</f>
        <v>Republic</v>
      </c>
      <c r="H282" s="8" t="s">
        <v>2352</v>
      </c>
      <c r="I282" s="9" t="s">
        <v>128</v>
      </c>
      <c r="J282" s="9" t="s">
        <v>223</v>
      </c>
      <c r="K282" s="8" t="s">
        <v>84</v>
      </c>
      <c r="L282" s="8"/>
      <c r="M282" s="9" t="s">
        <v>2353</v>
      </c>
      <c r="N282" s="9" t="s">
        <v>2354</v>
      </c>
      <c r="O282" s="8" t="s">
        <v>2355</v>
      </c>
      <c r="P282" s="8" t="s">
        <v>114</v>
      </c>
      <c r="Q282" s="9" t="s">
        <v>98</v>
      </c>
      <c r="R282" s="9" t="s">
        <v>2364</v>
      </c>
      <c r="S282" s="8"/>
      <c r="T282" s="8"/>
      <c r="U282" s="9" t="s">
        <v>2365</v>
      </c>
      <c r="V282" s="8"/>
      <c r="W282" s="9" t="s">
        <v>2366</v>
      </c>
      <c r="X282" s="8"/>
      <c r="Y282" s="8"/>
      <c r="Z282" s="8"/>
      <c r="AA282" s="8"/>
      <c r="AB282" s="8"/>
      <c r="AC282" s="8"/>
      <c r="AD282" s="8"/>
      <c r="AE282" s="8" t="s">
        <v>2367</v>
      </c>
      <c r="AF282" s="9" t="s">
        <v>959</v>
      </c>
      <c r="AG282" s="9" t="s">
        <v>960</v>
      </c>
      <c r="AH282" s="8"/>
      <c r="AI282" s="8" t="n">
        <v>0</v>
      </c>
      <c r="AJ282" s="8" t="n">
        <v>0</v>
      </c>
      <c r="AK282" s="8" t="n">
        <v>0</v>
      </c>
      <c r="AL282" s="8" t="n">
        <v>0</v>
      </c>
      <c r="AM282" s="8" t="n">
        <v>0</v>
      </c>
      <c r="AN282" s="8" t="n">
        <v>0</v>
      </c>
      <c r="AO282" s="8" t="n">
        <v>0</v>
      </c>
      <c r="AP282" s="8" t="n">
        <v>0</v>
      </c>
      <c r="AQ282" s="8" t="n">
        <v>0</v>
      </c>
      <c r="AR282" s="8" t="n">
        <v>0</v>
      </c>
      <c r="AS282" s="8" t="n">
        <v>0</v>
      </c>
      <c r="AT282" s="8" t="n">
        <v>0</v>
      </c>
      <c r="AU282" s="8" t="n">
        <v>0</v>
      </c>
      <c r="AV282" s="8" t="n">
        <v>0</v>
      </c>
      <c r="AW282" s="8" t="n">
        <v>0</v>
      </c>
      <c r="AX282" s="8" t="n">
        <v>0</v>
      </c>
      <c r="AY282" s="8" t="n">
        <v>0</v>
      </c>
      <c r="AZ282" s="8" t="n">
        <v>0</v>
      </c>
      <c r="BA282" s="8" t="n">
        <v>0</v>
      </c>
      <c r="BB282" s="8" t="n">
        <v>0</v>
      </c>
      <c r="BC282" s="8" t="n">
        <v>346</v>
      </c>
      <c r="BD282" s="8" t="n">
        <v>1</v>
      </c>
      <c r="BE282" s="8" t="n">
        <v>0</v>
      </c>
      <c r="BF282" s="8" t="n">
        <v>0</v>
      </c>
      <c r="BG282" s="10" t="s">
        <v>2361</v>
      </c>
      <c r="BH282" s="8" t="s">
        <v>2368</v>
      </c>
    </row>
    <row r="283" customFormat="false" ht="15" hidden="false" customHeight="false" outlineLevel="0" collapsed="false">
      <c r="A283" s="8" t="s">
        <v>2369</v>
      </c>
      <c r="B283" s="8" t="s">
        <v>2370</v>
      </c>
      <c r="C283" s="8" t="n">
        <v>1</v>
      </c>
      <c r="D283" s="8" t="n">
        <v>1953</v>
      </c>
      <c r="E283" s="8" t="n">
        <v>1953</v>
      </c>
      <c r="F283" s="8" t="str">
        <f aca="false">IF(D283="","?",IF(D283&lt;1796,"pre-1796",IF(D283&lt;1912,"1796-1911",IF(D283&lt;1949,"1912-1948","1949+"))))</f>
        <v>1949+</v>
      </c>
      <c r="G283" s="8" t="str">
        <f aca="false">IF(D283="","?",IF(D283&lt;1912,"Qing",IF(D283&lt;1949,"Republic","PRC")))</f>
        <v>PRC</v>
      </c>
      <c r="H283" s="8" t="s">
        <v>2201</v>
      </c>
      <c r="I283" s="9" t="s">
        <v>1502</v>
      </c>
      <c r="J283" s="9" t="s">
        <v>1503</v>
      </c>
      <c r="K283" s="8" t="s">
        <v>84</v>
      </c>
      <c r="L283" s="8"/>
      <c r="M283" s="9" t="s">
        <v>2218</v>
      </c>
      <c r="N283" s="9" t="s">
        <v>2219</v>
      </c>
      <c r="O283" s="8" t="s">
        <v>2371</v>
      </c>
      <c r="P283" s="8" t="s">
        <v>114</v>
      </c>
      <c r="Q283" s="9" t="s">
        <v>98</v>
      </c>
      <c r="R283" s="8"/>
      <c r="S283" s="8"/>
      <c r="T283" s="8"/>
      <c r="U283" s="9" t="s">
        <v>2372</v>
      </c>
      <c r="V283" s="8"/>
      <c r="W283" s="9" t="s">
        <v>2373</v>
      </c>
      <c r="X283" s="8"/>
      <c r="Y283" s="8"/>
      <c r="Z283" s="8"/>
      <c r="AA283" s="8"/>
      <c r="AB283" s="8"/>
      <c r="AC283" s="8"/>
      <c r="AD283" s="8"/>
      <c r="AE283" s="8" t="s">
        <v>2374</v>
      </c>
      <c r="AF283" s="9" t="s">
        <v>429</v>
      </c>
      <c r="AG283" s="8"/>
      <c r="AH283" s="8"/>
      <c r="AI283" s="8" t="n">
        <v>0</v>
      </c>
      <c r="AJ283" s="8" t="n">
        <v>0</v>
      </c>
      <c r="AK283" s="8" t="n">
        <v>0</v>
      </c>
      <c r="AL283" s="8" t="n">
        <v>0</v>
      </c>
      <c r="AM283" s="8" t="n">
        <v>0</v>
      </c>
      <c r="AN283" s="8" t="n">
        <v>0</v>
      </c>
      <c r="AO283" s="8" t="n">
        <v>0</v>
      </c>
      <c r="AP283" s="8" t="n">
        <v>0</v>
      </c>
      <c r="AQ283" s="8" t="n">
        <v>0</v>
      </c>
      <c r="AR283" s="8" t="n">
        <v>0</v>
      </c>
      <c r="AS283" s="8" t="n">
        <v>0</v>
      </c>
      <c r="AT283" s="8" t="n">
        <v>0</v>
      </c>
      <c r="AU283" s="8" t="n">
        <v>0</v>
      </c>
      <c r="AV283" s="8" t="n">
        <v>0</v>
      </c>
      <c r="AW283" s="8" t="n">
        <v>0</v>
      </c>
      <c r="AX283" s="8" t="n">
        <v>0</v>
      </c>
      <c r="AY283" s="8" t="n">
        <v>0</v>
      </c>
      <c r="AZ283" s="8" t="n">
        <v>0</v>
      </c>
      <c r="BA283" s="8" t="n">
        <v>0</v>
      </c>
      <c r="BB283" s="8" t="n">
        <v>0</v>
      </c>
      <c r="BC283" s="8" t="n">
        <v>166</v>
      </c>
      <c r="BD283" s="8" t="n">
        <v>1</v>
      </c>
      <c r="BE283" s="8" t="n">
        <v>0</v>
      </c>
      <c r="BF283" s="8" t="n">
        <v>0</v>
      </c>
      <c r="BG283" s="10" t="s">
        <v>2375</v>
      </c>
      <c r="BH283" s="8" t="s">
        <v>2376</v>
      </c>
    </row>
    <row r="284" customFormat="false" ht="15" hidden="false" customHeight="false" outlineLevel="0" collapsed="false">
      <c r="A284" s="8" t="s">
        <v>2377</v>
      </c>
      <c r="B284" s="8" t="s">
        <v>2370</v>
      </c>
      <c r="C284" s="8" t="n">
        <v>2</v>
      </c>
      <c r="D284" s="8" t="n">
        <v>1953</v>
      </c>
      <c r="E284" s="8" t="n">
        <v>1953</v>
      </c>
      <c r="F284" s="8" t="str">
        <f aca="false">IF(D284="","?",IF(D284&lt;1796,"pre-1796",IF(D284&lt;1912,"1796-1911",IF(D284&lt;1949,"1912-1948","1949+"))))</f>
        <v>1949+</v>
      </c>
      <c r="G284" s="8" t="str">
        <f aca="false">IF(D284="","?",IF(D284&lt;1912,"Qing",IF(D284&lt;1949,"Republic","PRC")))</f>
        <v>PRC</v>
      </c>
      <c r="H284" s="8" t="s">
        <v>2201</v>
      </c>
      <c r="I284" s="9" t="s">
        <v>1502</v>
      </c>
      <c r="J284" s="9" t="s">
        <v>1503</v>
      </c>
      <c r="K284" s="8" t="s">
        <v>84</v>
      </c>
      <c r="L284" s="8"/>
      <c r="M284" s="9" t="s">
        <v>2218</v>
      </c>
      <c r="N284" s="9" t="s">
        <v>2219</v>
      </c>
      <c r="O284" s="8" t="s">
        <v>2371</v>
      </c>
      <c r="P284" s="8" t="s">
        <v>87</v>
      </c>
      <c r="Q284" s="8"/>
      <c r="R284" s="8"/>
      <c r="S284" s="8"/>
      <c r="T284" s="8"/>
      <c r="U284" s="8"/>
      <c r="V284" s="8"/>
      <c r="W284" s="8"/>
      <c r="X284" s="8"/>
      <c r="Y284" s="8"/>
      <c r="Z284" s="8"/>
      <c r="AA284" s="9" t="s">
        <v>2378</v>
      </c>
      <c r="AB284" s="8"/>
      <c r="AC284" s="8"/>
      <c r="AD284" s="8"/>
      <c r="AE284" s="9" t="s">
        <v>2379</v>
      </c>
      <c r="AF284" s="8"/>
      <c r="AG284" s="8"/>
      <c r="AH284" s="9" t="s">
        <v>2380</v>
      </c>
      <c r="AI284" s="8" t="n">
        <v>0</v>
      </c>
      <c r="AJ284" s="8" t="n">
        <v>0</v>
      </c>
      <c r="AK284" s="8" t="n">
        <v>0</v>
      </c>
      <c r="AL284" s="8" t="n">
        <v>0</v>
      </c>
      <c r="AM284" s="8" t="n">
        <v>0</v>
      </c>
      <c r="AN284" s="8" t="n">
        <v>0</v>
      </c>
      <c r="AO284" s="8" t="n">
        <v>0</v>
      </c>
      <c r="AP284" s="8" t="n">
        <v>0</v>
      </c>
      <c r="AQ284" s="8" t="n">
        <v>0</v>
      </c>
      <c r="AR284" s="8" t="n">
        <v>0</v>
      </c>
      <c r="AS284" s="8" t="n">
        <v>0</v>
      </c>
      <c r="AT284" s="8" t="n">
        <v>0</v>
      </c>
      <c r="AU284" s="8" t="n">
        <v>0</v>
      </c>
      <c r="AV284" s="8" t="n">
        <v>0</v>
      </c>
      <c r="AW284" s="8" t="n">
        <v>0</v>
      </c>
      <c r="AX284" s="8" t="n">
        <v>0</v>
      </c>
      <c r="AY284" s="8" t="n">
        <v>0</v>
      </c>
      <c r="AZ284" s="8" t="n">
        <v>0</v>
      </c>
      <c r="BA284" s="8" t="n">
        <v>0</v>
      </c>
      <c r="BB284" s="8" t="n">
        <v>0</v>
      </c>
      <c r="BC284" s="8" t="n">
        <v>179</v>
      </c>
      <c r="BD284" s="8" t="n">
        <v>0</v>
      </c>
      <c r="BE284" s="8" t="n">
        <v>0</v>
      </c>
      <c r="BF284" s="8" t="n">
        <v>0</v>
      </c>
      <c r="BG284" s="10" t="s">
        <v>2375</v>
      </c>
      <c r="BH284" s="9" t="s">
        <v>2381</v>
      </c>
    </row>
    <row r="285" customFormat="false" ht="15" hidden="false" customHeight="false" outlineLevel="0" collapsed="false">
      <c r="A285" s="8" t="s">
        <v>2382</v>
      </c>
      <c r="B285" s="8" t="s">
        <v>2370</v>
      </c>
      <c r="C285" s="8" t="n">
        <v>3</v>
      </c>
      <c r="D285" s="8" t="n">
        <v>1953</v>
      </c>
      <c r="E285" s="8" t="n">
        <v>1953</v>
      </c>
      <c r="F285" s="8" t="str">
        <f aca="false">IF(D285="","?",IF(D285&lt;1796,"pre-1796",IF(D285&lt;1912,"1796-1911",IF(D285&lt;1949,"1912-1948","1949+"))))</f>
        <v>1949+</v>
      </c>
      <c r="G285" s="8" t="str">
        <f aca="false">IF(D285="","?",IF(D285&lt;1912,"Qing",IF(D285&lt;1949,"Republic","PRC")))</f>
        <v>PRC</v>
      </c>
      <c r="H285" s="8" t="s">
        <v>2201</v>
      </c>
      <c r="I285" s="9" t="s">
        <v>1502</v>
      </c>
      <c r="J285" s="9" t="s">
        <v>1503</v>
      </c>
      <c r="K285" s="8" t="s">
        <v>84</v>
      </c>
      <c r="L285" s="8"/>
      <c r="M285" s="9" t="s">
        <v>2218</v>
      </c>
      <c r="N285" s="9" t="s">
        <v>2219</v>
      </c>
      <c r="O285" s="8" t="s">
        <v>2371</v>
      </c>
      <c r="P285" s="8" t="s">
        <v>87</v>
      </c>
      <c r="Q285" s="8"/>
      <c r="R285" s="8"/>
      <c r="S285" s="8"/>
      <c r="T285" s="8"/>
      <c r="U285" s="8"/>
      <c r="V285" s="8"/>
      <c r="W285" s="8"/>
      <c r="X285" s="8"/>
      <c r="Y285" s="8"/>
      <c r="Z285" s="8"/>
      <c r="AA285" s="8"/>
      <c r="AB285" s="8"/>
      <c r="AC285" s="8"/>
      <c r="AD285" s="8"/>
      <c r="AE285" s="9" t="s">
        <v>2383</v>
      </c>
      <c r="AF285" s="8"/>
      <c r="AG285" s="8"/>
      <c r="AH285" s="8"/>
      <c r="AI285" s="8" t="n">
        <v>0</v>
      </c>
      <c r="AJ285" s="8" t="n">
        <v>0</v>
      </c>
      <c r="AK285" s="8" t="n">
        <v>0</v>
      </c>
      <c r="AL285" s="8" t="n">
        <v>0</v>
      </c>
      <c r="AM285" s="8" t="n">
        <v>0</v>
      </c>
      <c r="AN285" s="8" t="n">
        <v>0</v>
      </c>
      <c r="AO285" s="8" t="n">
        <v>0</v>
      </c>
      <c r="AP285" s="8" t="n">
        <v>0</v>
      </c>
      <c r="AQ285" s="8" t="n">
        <v>0</v>
      </c>
      <c r="AR285" s="8" t="n">
        <v>0</v>
      </c>
      <c r="AS285" s="8" t="n">
        <v>0</v>
      </c>
      <c r="AT285" s="8" t="n">
        <v>0</v>
      </c>
      <c r="AU285" s="8" t="n">
        <v>0</v>
      </c>
      <c r="AV285" s="8" t="n">
        <v>0</v>
      </c>
      <c r="AW285" s="8" t="n">
        <v>0</v>
      </c>
      <c r="AX285" s="8" t="n">
        <v>0</v>
      </c>
      <c r="AY285" s="8" t="n">
        <v>0</v>
      </c>
      <c r="AZ285" s="8" t="n">
        <v>0</v>
      </c>
      <c r="BA285" s="8" t="n">
        <v>0</v>
      </c>
      <c r="BB285" s="8" t="n">
        <v>0</v>
      </c>
      <c r="BC285" s="8" t="n">
        <v>22</v>
      </c>
      <c r="BD285" s="8" t="n">
        <v>1</v>
      </c>
      <c r="BE285" s="8" t="n">
        <v>0</v>
      </c>
      <c r="BF285" s="8" t="n">
        <v>0</v>
      </c>
      <c r="BG285" s="10" t="s">
        <v>2375</v>
      </c>
      <c r="BH285" s="8" t="s">
        <v>2384</v>
      </c>
    </row>
    <row r="286" customFormat="false" ht="15" hidden="false" customHeight="false" outlineLevel="0" collapsed="false">
      <c r="A286" s="8" t="s">
        <v>2385</v>
      </c>
      <c r="B286" s="8" t="s">
        <v>2370</v>
      </c>
      <c r="C286" s="8" t="n">
        <v>4</v>
      </c>
      <c r="D286" s="8" t="n">
        <v>1953</v>
      </c>
      <c r="E286" s="8" t="n">
        <v>1953</v>
      </c>
      <c r="F286" s="8" t="str">
        <f aca="false">IF(D286="","?",IF(D286&lt;1796,"pre-1796",IF(D286&lt;1912,"1796-1911",IF(D286&lt;1949,"1912-1948","1949+"))))</f>
        <v>1949+</v>
      </c>
      <c r="G286" s="8" t="str">
        <f aca="false">IF(D286="","?",IF(D286&lt;1912,"Qing",IF(D286&lt;1949,"Republic","PRC")))</f>
        <v>PRC</v>
      </c>
      <c r="H286" s="8" t="s">
        <v>2201</v>
      </c>
      <c r="I286" s="9" t="s">
        <v>1502</v>
      </c>
      <c r="J286" s="9" t="s">
        <v>1503</v>
      </c>
      <c r="K286" s="8" t="s">
        <v>84</v>
      </c>
      <c r="L286" s="8"/>
      <c r="M286" s="9" t="s">
        <v>2218</v>
      </c>
      <c r="N286" s="9" t="s">
        <v>2219</v>
      </c>
      <c r="O286" s="8" t="s">
        <v>2371</v>
      </c>
      <c r="P286" s="8" t="s">
        <v>114</v>
      </c>
      <c r="Q286" s="8"/>
      <c r="R286" s="8"/>
      <c r="S286" s="8"/>
      <c r="T286" s="8"/>
      <c r="U286" s="8"/>
      <c r="V286" s="8"/>
      <c r="W286" s="8"/>
      <c r="X286" s="8"/>
      <c r="Y286" s="8"/>
      <c r="Z286" s="8"/>
      <c r="AA286" s="8"/>
      <c r="AB286" s="8"/>
      <c r="AC286" s="8"/>
      <c r="AD286" s="8"/>
      <c r="AE286" s="9" t="s">
        <v>2386</v>
      </c>
      <c r="AF286" s="8"/>
      <c r="AG286" s="8"/>
      <c r="AH286" s="9" t="s">
        <v>2387</v>
      </c>
      <c r="AI286" s="8" t="n">
        <v>0</v>
      </c>
      <c r="AJ286" s="8" t="n">
        <v>0</v>
      </c>
      <c r="AK286" s="8" t="n">
        <v>0</v>
      </c>
      <c r="AL286" s="8" t="n">
        <v>0</v>
      </c>
      <c r="AM286" s="8" t="n">
        <v>0</v>
      </c>
      <c r="AN286" s="8" t="n">
        <v>0</v>
      </c>
      <c r="AO286" s="8" t="n">
        <v>0</v>
      </c>
      <c r="AP286" s="8" t="n">
        <v>0</v>
      </c>
      <c r="AQ286" s="8" t="n">
        <v>0</v>
      </c>
      <c r="AR286" s="8" t="n">
        <v>0</v>
      </c>
      <c r="AS286" s="8" t="n">
        <v>0</v>
      </c>
      <c r="AT286" s="8" t="n">
        <v>0</v>
      </c>
      <c r="AU286" s="8" t="n">
        <v>0</v>
      </c>
      <c r="AV286" s="8" t="n">
        <v>0</v>
      </c>
      <c r="AW286" s="8" t="n">
        <v>0</v>
      </c>
      <c r="AX286" s="8" t="n">
        <v>0</v>
      </c>
      <c r="AY286" s="8" t="n">
        <v>0</v>
      </c>
      <c r="AZ286" s="8" t="n">
        <v>0</v>
      </c>
      <c r="BA286" s="8" t="n">
        <v>1</v>
      </c>
      <c r="BB286" s="8" t="n">
        <v>1</v>
      </c>
      <c r="BC286" s="8" t="n">
        <v>284</v>
      </c>
      <c r="BD286" s="8" t="n">
        <v>0</v>
      </c>
      <c r="BE286" s="8" t="n">
        <v>0</v>
      </c>
      <c r="BF286" s="8" t="n">
        <v>0</v>
      </c>
      <c r="BG286" s="10" t="s">
        <v>2375</v>
      </c>
      <c r="BH286" s="9" t="s">
        <v>2388</v>
      </c>
    </row>
    <row r="287" customFormat="false" ht="15" hidden="false" customHeight="false" outlineLevel="0" collapsed="false">
      <c r="A287" s="8" t="s">
        <v>2389</v>
      </c>
      <c r="B287" s="8" t="s">
        <v>2390</v>
      </c>
      <c r="C287" s="8" t="n">
        <v>1</v>
      </c>
      <c r="D287" s="8" t="n">
        <v>1947</v>
      </c>
      <c r="E287" s="8" t="n">
        <v>1952</v>
      </c>
      <c r="F287" s="8" t="str">
        <f aca="false">IF(D287="","?",IF(D287&lt;1796,"pre-1796",IF(D287&lt;1912,"1796-1911",IF(D287&lt;1949,"1912-1948","1949+"))))</f>
        <v>1912-1948</v>
      </c>
      <c r="G287" s="8" t="str">
        <f aca="false">IF(D287="","?",IF(D287&lt;1912,"Qing",IF(D287&lt;1949,"Republic","PRC")))</f>
        <v>Republic</v>
      </c>
      <c r="H287" s="8" t="s">
        <v>2391</v>
      </c>
      <c r="I287" s="9" t="s">
        <v>2294</v>
      </c>
      <c r="J287" s="9" t="s">
        <v>2295</v>
      </c>
      <c r="K287" s="8" t="s">
        <v>84</v>
      </c>
      <c r="L287" s="8"/>
      <c r="M287" s="9" t="s">
        <v>2392</v>
      </c>
      <c r="N287" s="9" t="s">
        <v>2393</v>
      </c>
      <c r="O287" s="8" t="s">
        <v>2394</v>
      </c>
      <c r="P287" s="8" t="s">
        <v>133</v>
      </c>
      <c r="Q287" s="9" t="s">
        <v>300</v>
      </c>
      <c r="R287" s="9" t="s">
        <v>2395</v>
      </c>
      <c r="S287" s="9" t="s">
        <v>2392</v>
      </c>
      <c r="T287" s="8"/>
      <c r="U287" s="9" t="s">
        <v>2396</v>
      </c>
      <c r="V287" s="9" t="s">
        <v>327</v>
      </c>
      <c r="W287" s="8"/>
      <c r="X287" s="8"/>
      <c r="Y287" s="8"/>
      <c r="Z287" s="8"/>
      <c r="AA287" s="9" t="s">
        <v>2397</v>
      </c>
      <c r="AB287" s="9" t="s">
        <v>2398</v>
      </c>
      <c r="AC287" s="8"/>
      <c r="AD287" s="8"/>
      <c r="AE287" s="8"/>
      <c r="AF287" s="8"/>
      <c r="AG287" s="8"/>
      <c r="AH287" s="8"/>
      <c r="AI287" s="8" t="n">
        <v>0</v>
      </c>
      <c r="AJ287" s="8" t="n">
        <v>0</v>
      </c>
      <c r="AK287" s="8" t="n">
        <v>0</v>
      </c>
      <c r="AL287" s="8" t="n">
        <v>0</v>
      </c>
      <c r="AM287" s="8" t="n">
        <v>1</v>
      </c>
      <c r="AN287" s="8" t="n">
        <v>0</v>
      </c>
      <c r="AO287" s="8" t="n">
        <v>0</v>
      </c>
      <c r="AP287" s="8" t="n">
        <v>0</v>
      </c>
      <c r="AQ287" s="8" t="n">
        <v>0</v>
      </c>
      <c r="AR287" s="8" t="n">
        <v>0</v>
      </c>
      <c r="AS287" s="8" t="n">
        <v>1</v>
      </c>
      <c r="AT287" s="8" t="n">
        <v>0</v>
      </c>
      <c r="AU287" s="8" t="n">
        <v>1</v>
      </c>
      <c r="AV287" s="8" t="n">
        <v>0</v>
      </c>
      <c r="AW287" s="8" t="n">
        <v>0</v>
      </c>
      <c r="AX287" s="8" t="n">
        <v>0</v>
      </c>
      <c r="AY287" s="8" t="n">
        <v>0</v>
      </c>
      <c r="AZ287" s="8" t="n">
        <v>0</v>
      </c>
      <c r="BA287" s="8" t="n">
        <v>0</v>
      </c>
      <c r="BB287" s="8" t="n">
        <v>0</v>
      </c>
      <c r="BC287" s="8" t="n">
        <v>165</v>
      </c>
      <c r="BD287" s="8" t="n">
        <v>0</v>
      </c>
      <c r="BE287" s="8" t="n">
        <v>0</v>
      </c>
      <c r="BF287" s="8" t="n">
        <v>0</v>
      </c>
      <c r="BG287" s="10" t="s">
        <v>2399</v>
      </c>
      <c r="BH287" s="9" t="s">
        <v>2400</v>
      </c>
    </row>
    <row r="288" customFormat="false" ht="15" hidden="false" customHeight="false" outlineLevel="0" collapsed="false">
      <c r="A288" s="8" t="s">
        <v>2401</v>
      </c>
      <c r="B288" s="8" t="s">
        <v>2390</v>
      </c>
      <c r="C288" s="8" t="n">
        <v>2</v>
      </c>
      <c r="D288" s="8" t="n">
        <v>1947</v>
      </c>
      <c r="E288" s="8" t="n">
        <v>1952</v>
      </c>
      <c r="F288" s="8" t="str">
        <f aca="false">IF(D288="","?",IF(D288&lt;1796,"pre-1796",IF(D288&lt;1912,"1796-1911",IF(D288&lt;1949,"1912-1948","1949+"))))</f>
        <v>1912-1948</v>
      </c>
      <c r="G288" s="8" t="str">
        <f aca="false">IF(D288="","?",IF(D288&lt;1912,"Qing",IF(D288&lt;1949,"Republic","PRC")))</f>
        <v>Republic</v>
      </c>
      <c r="H288" s="8" t="s">
        <v>2391</v>
      </c>
      <c r="I288" s="9" t="s">
        <v>2294</v>
      </c>
      <c r="J288" s="9" t="s">
        <v>2295</v>
      </c>
      <c r="K288" s="8" t="s">
        <v>84</v>
      </c>
      <c r="L288" s="8"/>
      <c r="M288" s="9" t="s">
        <v>2392</v>
      </c>
      <c r="N288" s="9" t="s">
        <v>2393</v>
      </c>
      <c r="O288" s="8" t="s">
        <v>2394</v>
      </c>
      <c r="P288" s="8" t="s">
        <v>114</v>
      </c>
      <c r="Q288" s="9" t="s">
        <v>98</v>
      </c>
      <c r="R288" s="9" t="s">
        <v>2402</v>
      </c>
      <c r="S288" s="8"/>
      <c r="T288" s="8"/>
      <c r="U288" s="9" t="s">
        <v>2403</v>
      </c>
      <c r="V288" s="8"/>
      <c r="W288" s="9" t="s">
        <v>2404</v>
      </c>
      <c r="X288" s="8"/>
      <c r="Y288" s="8"/>
      <c r="Z288" s="8"/>
      <c r="AA288" s="8"/>
      <c r="AB288" s="8"/>
      <c r="AC288" s="8"/>
      <c r="AD288" s="8"/>
      <c r="AE288" s="9" t="s">
        <v>2405</v>
      </c>
      <c r="AF288" s="9" t="s">
        <v>429</v>
      </c>
      <c r="AG288" s="8"/>
      <c r="AH288" s="8"/>
      <c r="AI288" s="8" t="n">
        <v>0</v>
      </c>
      <c r="AJ288" s="8" t="n">
        <v>0</v>
      </c>
      <c r="AK288" s="8" t="n">
        <v>0</v>
      </c>
      <c r="AL288" s="8" t="n">
        <v>0</v>
      </c>
      <c r="AM288" s="8" t="n">
        <v>0</v>
      </c>
      <c r="AN288" s="8" t="n">
        <v>0</v>
      </c>
      <c r="AO288" s="8" t="n">
        <v>0</v>
      </c>
      <c r="AP288" s="8" t="n">
        <v>0</v>
      </c>
      <c r="AQ288" s="8" t="n">
        <v>0</v>
      </c>
      <c r="AR288" s="8" t="n">
        <v>0</v>
      </c>
      <c r="AS288" s="8" t="n">
        <v>0</v>
      </c>
      <c r="AT288" s="8" t="n">
        <v>0</v>
      </c>
      <c r="AU288" s="8" t="n">
        <v>0</v>
      </c>
      <c r="AV288" s="8" t="n">
        <v>0</v>
      </c>
      <c r="AW288" s="8" t="n">
        <v>0</v>
      </c>
      <c r="AX288" s="8" t="n">
        <v>0</v>
      </c>
      <c r="AY288" s="8" t="n">
        <v>0</v>
      </c>
      <c r="AZ288" s="8" t="n">
        <v>0</v>
      </c>
      <c r="BA288" s="8" t="n">
        <v>0</v>
      </c>
      <c r="BB288" s="8" t="n">
        <v>0</v>
      </c>
      <c r="BC288" s="8" t="n">
        <v>811</v>
      </c>
      <c r="BD288" s="8" t="n">
        <v>1</v>
      </c>
      <c r="BE288" s="8" t="n">
        <v>0</v>
      </c>
      <c r="BF288" s="8" t="n">
        <v>0</v>
      </c>
      <c r="BG288" s="10" t="s">
        <v>2399</v>
      </c>
      <c r="BH288" s="9" t="s">
        <v>2406</v>
      </c>
    </row>
    <row r="289" customFormat="false" ht="15" hidden="false" customHeight="false" outlineLevel="0" collapsed="false">
      <c r="A289" s="8" t="s">
        <v>2407</v>
      </c>
      <c r="B289" s="8" t="s">
        <v>2390</v>
      </c>
      <c r="C289" s="8" t="n">
        <v>3</v>
      </c>
      <c r="D289" s="8" t="n">
        <v>1947</v>
      </c>
      <c r="E289" s="8" t="n">
        <v>1952</v>
      </c>
      <c r="F289" s="8" t="str">
        <f aca="false">IF(D289="","?",IF(D289&lt;1796,"pre-1796",IF(D289&lt;1912,"1796-1911",IF(D289&lt;1949,"1912-1948","1949+"))))</f>
        <v>1912-1948</v>
      </c>
      <c r="G289" s="8" t="str">
        <f aca="false">IF(D289="","?",IF(D289&lt;1912,"Qing",IF(D289&lt;1949,"Republic","PRC")))</f>
        <v>Republic</v>
      </c>
      <c r="H289" s="8" t="s">
        <v>2391</v>
      </c>
      <c r="I289" s="9" t="s">
        <v>2294</v>
      </c>
      <c r="J289" s="9" t="s">
        <v>2295</v>
      </c>
      <c r="K289" s="8" t="s">
        <v>84</v>
      </c>
      <c r="L289" s="8"/>
      <c r="M289" s="9" t="s">
        <v>2392</v>
      </c>
      <c r="N289" s="9" t="s">
        <v>2393</v>
      </c>
      <c r="O289" s="8" t="s">
        <v>2394</v>
      </c>
      <c r="P289" s="8" t="s">
        <v>114</v>
      </c>
      <c r="Q289" s="8"/>
      <c r="R289" s="8"/>
      <c r="S289" s="8"/>
      <c r="T289" s="8"/>
      <c r="U289" s="8"/>
      <c r="V289" s="8"/>
      <c r="W289" s="8"/>
      <c r="X289" s="8"/>
      <c r="Y289" s="8"/>
      <c r="Z289" s="8"/>
      <c r="AA289" s="8"/>
      <c r="AB289" s="8"/>
      <c r="AC289" s="8"/>
      <c r="AD289" s="8"/>
      <c r="AE289" s="9" t="s">
        <v>2313</v>
      </c>
      <c r="AF289" s="8"/>
      <c r="AG289" s="8"/>
      <c r="AH289" s="9" t="s">
        <v>2408</v>
      </c>
      <c r="AI289" s="8" t="n">
        <v>0</v>
      </c>
      <c r="AJ289" s="8" t="n">
        <v>0</v>
      </c>
      <c r="AK289" s="8" t="n">
        <v>0</v>
      </c>
      <c r="AL289" s="8" t="n">
        <v>0</v>
      </c>
      <c r="AM289" s="8" t="n">
        <v>0</v>
      </c>
      <c r="AN289" s="8" t="n">
        <v>0</v>
      </c>
      <c r="AO289" s="8" t="n">
        <v>0</v>
      </c>
      <c r="AP289" s="8" t="n">
        <v>0</v>
      </c>
      <c r="AQ289" s="8" t="n">
        <v>0</v>
      </c>
      <c r="AR289" s="8" t="n">
        <v>0</v>
      </c>
      <c r="AS289" s="8" t="n">
        <v>0</v>
      </c>
      <c r="AT289" s="8" t="n">
        <v>0</v>
      </c>
      <c r="AU289" s="8" t="n">
        <v>0</v>
      </c>
      <c r="AV289" s="8" t="n">
        <v>0</v>
      </c>
      <c r="AW289" s="8" t="n">
        <v>0</v>
      </c>
      <c r="AX289" s="8" t="n">
        <v>0</v>
      </c>
      <c r="AY289" s="8" t="n">
        <v>0</v>
      </c>
      <c r="AZ289" s="8" t="n">
        <v>0</v>
      </c>
      <c r="BA289" s="8" t="n">
        <v>0</v>
      </c>
      <c r="BB289" s="8" t="n">
        <v>0</v>
      </c>
      <c r="BC289" s="8" t="n">
        <v>156</v>
      </c>
      <c r="BD289" s="8" t="n">
        <v>0</v>
      </c>
      <c r="BE289" s="8" t="n">
        <v>0</v>
      </c>
      <c r="BF289" s="8" t="n">
        <v>0</v>
      </c>
      <c r="BG289" s="10" t="s">
        <v>2399</v>
      </c>
      <c r="BH289" s="9" t="s">
        <v>2409</v>
      </c>
    </row>
    <row r="290" customFormat="false" ht="15" hidden="false" customHeight="false" outlineLevel="0" collapsed="false">
      <c r="A290" s="8" t="s">
        <v>2410</v>
      </c>
      <c r="B290" s="8" t="s">
        <v>2411</v>
      </c>
      <c r="C290" s="8" t="n">
        <v>1</v>
      </c>
      <c r="D290" s="8" t="n">
        <v>1943</v>
      </c>
      <c r="E290" s="8" t="n">
        <v>1952</v>
      </c>
      <c r="F290" s="8" t="str">
        <f aca="false">IF(D290="","?",IF(D290&lt;1796,"pre-1796",IF(D290&lt;1912,"1796-1911",IF(D290&lt;1949,"1912-1948","1949+"))))</f>
        <v>1912-1948</v>
      </c>
      <c r="G290" s="8" t="str">
        <f aca="false">IF(D290="","?",IF(D290&lt;1912,"Qing",IF(D290&lt;1949,"Republic","PRC")))</f>
        <v>Republic</v>
      </c>
      <c r="H290" s="8" t="s">
        <v>2412</v>
      </c>
      <c r="I290" s="9" t="s">
        <v>2294</v>
      </c>
      <c r="J290" s="9" t="s">
        <v>2295</v>
      </c>
      <c r="K290" s="8" t="s">
        <v>84</v>
      </c>
      <c r="L290" s="8"/>
      <c r="M290" s="9" t="s">
        <v>2413</v>
      </c>
      <c r="N290" s="9" t="s">
        <v>2414</v>
      </c>
      <c r="O290" s="8" t="s">
        <v>2415</v>
      </c>
      <c r="P290" s="8" t="s">
        <v>133</v>
      </c>
      <c r="Q290" s="9" t="s">
        <v>300</v>
      </c>
      <c r="R290" s="9" t="s">
        <v>2416</v>
      </c>
      <c r="S290" s="9" t="s">
        <v>2417</v>
      </c>
      <c r="T290" s="8"/>
      <c r="U290" s="9" t="s">
        <v>2418</v>
      </c>
      <c r="V290" s="9" t="s">
        <v>327</v>
      </c>
      <c r="W290" s="8"/>
      <c r="X290" s="9" t="s">
        <v>2419</v>
      </c>
      <c r="Y290" s="8"/>
      <c r="Z290" s="8"/>
      <c r="AA290" s="9" t="s">
        <v>2420</v>
      </c>
      <c r="AB290" s="8"/>
      <c r="AC290" s="8"/>
      <c r="AD290" s="8"/>
      <c r="AE290" s="8"/>
      <c r="AF290" s="8"/>
      <c r="AG290" s="8"/>
      <c r="AH290" s="8"/>
      <c r="AI290" s="8" t="n">
        <v>1</v>
      </c>
      <c r="AJ290" s="8" t="n">
        <v>1</v>
      </c>
      <c r="AK290" s="8" t="n">
        <v>1</v>
      </c>
      <c r="AL290" s="8" t="n">
        <v>1</v>
      </c>
      <c r="AM290" s="8" t="n">
        <v>1</v>
      </c>
      <c r="AN290" s="8" t="n">
        <v>1</v>
      </c>
      <c r="AO290" s="8" t="n">
        <v>1</v>
      </c>
      <c r="AP290" s="8" t="n">
        <v>0</v>
      </c>
      <c r="AQ290" s="8" t="n">
        <v>0</v>
      </c>
      <c r="AR290" s="8" t="n">
        <v>1</v>
      </c>
      <c r="AS290" s="8" t="n">
        <v>1</v>
      </c>
      <c r="AT290" s="8" t="n">
        <v>0</v>
      </c>
      <c r="AU290" s="8" t="n">
        <v>0</v>
      </c>
      <c r="AV290" s="8" t="n">
        <v>0</v>
      </c>
      <c r="AW290" s="8" t="n">
        <v>0</v>
      </c>
      <c r="AX290" s="8" t="n">
        <v>0</v>
      </c>
      <c r="AY290" s="8" t="n">
        <v>0</v>
      </c>
      <c r="AZ290" s="8" t="n">
        <v>0</v>
      </c>
      <c r="BA290" s="8" t="n">
        <v>0</v>
      </c>
      <c r="BB290" s="8" t="n">
        <v>0</v>
      </c>
      <c r="BC290" s="8" t="n">
        <v>400</v>
      </c>
      <c r="BD290" s="8" t="n">
        <v>0</v>
      </c>
      <c r="BE290" s="8" t="n">
        <v>0</v>
      </c>
      <c r="BF290" s="8" t="n">
        <v>0</v>
      </c>
      <c r="BG290" s="10" t="s">
        <v>2421</v>
      </c>
      <c r="BH290" s="9" t="s">
        <v>2422</v>
      </c>
    </row>
    <row r="291" customFormat="false" ht="15" hidden="false" customHeight="false" outlineLevel="0" collapsed="false">
      <c r="A291" s="8" t="s">
        <v>2423</v>
      </c>
      <c r="B291" s="8" t="s">
        <v>2411</v>
      </c>
      <c r="C291" s="8" t="n">
        <v>2</v>
      </c>
      <c r="D291" s="8" t="n">
        <v>1943</v>
      </c>
      <c r="E291" s="8" t="n">
        <v>1952</v>
      </c>
      <c r="F291" s="8" t="str">
        <f aca="false">IF(D291="","?",IF(D291&lt;1796,"pre-1796",IF(D291&lt;1912,"1796-1911",IF(D291&lt;1949,"1912-1948","1949+"))))</f>
        <v>1912-1948</v>
      </c>
      <c r="G291" s="8" t="str">
        <f aca="false">IF(D291="","?",IF(D291&lt;1912,"Qing",IF(D291&lt;1949,"Republic","PRC")))</f>
        <v>Republic</v>
      </c>
      <c r="H291" s="8" t="s">
        <v>2412</v>
      </c>
      <c r="I291" s="9" t="s">
        <v>2294</v>
      </c>
      <c r="J291" s="9" t="s">
        <v>2295</v>
      </c>
      <c r="K291" s="8" t="s">
        <v>84</v>
      </c>
      <c r="L291" s="8"/>
      <c r="M291" s="9" t="s">
        <v>2413</v>
      </c>
      <c r="N291" s="9" t="s">
        <v>2414</v>
      </c>
      <c r="O291" s="8" t="s">
        <v>2415</v>
      </c>
      <c r="P291" s="8" t="s">
        <v>114</v>
      </c>
      <c r="Q291" s="9" t="s">
        <v>98</v>
      </c>
      <c r="R291" s="9" t="s">
        <v>2424</v>
      </c>
      <c r="S291" s="8"/>
      <c r="T291" s="8"/>
      <c r="U291" s="9" t="s">
        <v>2425</v>
      </c>
      <c r="V291" s="8"/>
      <c r="W291" s="9" t="s">
        <v>2426</v>
      </c>
      <c r="X291" s="8"/>
      <c r="Y291" s="8"/>
      <c r="Z291" s="8"/>
      <c r="AA291" s="8"/>
      <c r="AB291" s="8"/>
      <c r="AC291" s="8"/>
      <c r="AD291" s="8"/>
      <c r="AE291" s="9" t="s">
        <v>2427</v>
      </c>
      <c r="AF291" s="9" t="s">
        <v>429</v>
      </c>
      <c r="AG291" s="8"/>
      <c r="AH291" s="8"/>
      <c r="AI291" s="8" t="n">
        <v>0</v>
      </c>
      <c r="AJ291" s="8" t="n">
        <v>0</v>
      </c>
      <c r="AK291" s="8" t="n">
        <v>0</v>
      </c>
      <c r="AL291" s="8" t="n">
        <v>0</v>
      </c>
      <c r="AM291" s="8" t="n">
        <v>0</v>
      </c>
      <c r="AN291" s="8" t="n">
        <v>0</v>
      </c>
      <c r="AO291" s="8" t="n">
        <v>0</v>
      </c>
      <c r="AP291" s="8" t="n">
        <v>0</v>
      </c>
      <c r="AQ291" s="8" t="n">
        <v>0</v>
      </c>
      <c r="AR291" s="8" t="n">
        <v>0</v>
      </c>
      <c r="AS291" s="8" t="n">
        <v>0</v>
      </c>
      <c r="AT291" s="8" t="n">
        <v>0</v>
      </c>
      <c r="AU291" s="8" t="n">
        <v>0</v>
      </c>
      <c r="AV291" s="8" t="n">
        <v>0</v>
      </c>
      <c r="AW291" s="8" t="n">
        <v>0</v>
      </c>
      <c r="AX291" s="8" t="n">
        <v>0</v>
      </c>
      <c r="AY291" s="8" t="n">
        <v>0</v>
      </c>
      <c r="AZ291" s="8" t="n">
        <v>0</v>
      </c>
      <c r="BA291" s="8" t="n">
        <v>0</v>
      </c>
      <c r="BB291" s="8" t="n">
        <v>0</v>
      </c>
      <c r="BC291" s="8" t="n">
        <v>504</v>
      </c>
      <c r="BD291" s="8" t="n">
        <v>1</v>
      </c>
      <c r="BE291" s="8" t="n">
        <v>0</v>
      </c>
      <c r="BF291" s="8" t="n">
        <v>0</v>
      </c>
      <c r="BG291" s="10" t="s">
        <v>2421</v>
      </c>
      <c r="BH291" s="9" t="s">
        <v>2428</v>
      </c>
    </row>
    <row r="292" customFormat="false" ht="15" hidden="false" customHeight="false" outlineLevel="0" collapsed="false">
      <c r="A292" s="8" t="s">
        <v>2429</v>
      </c>
      <c r="B292" s="8" t="s">
        <v>2411</v>
      </c>
      <c r="C292" s="8" t="n">
        <v>3</v>
      </c>
      <c r="D292" s="8" t="n">
        <v>1943</v>
      </c>
      <c r="E292" s="8" t="n">
        <v>1952</v>
      </c>
      <c r="F292" s="8" t="str">
        <f aca="false">IF(D292="","?",IF(D292&lt;1796,"pre-1796",IF(D292&lt;1912,"1796-1911",IF(D292&lt;1949,"1912-1948","1949+"))))</f>
        <v>1912-1948</v>
      </c>
      <c r="G292" s="8" t="str">
        <f aca="false">IF(D292="","?",IF(D292&lt;1912,"Qing",IF(D292&lt;1949,"Republic","PRC")))</f>
        <v>Republic</v>
      </c>
      <c r="H292" s="8" t="s">
        <v>2412</v>
      </c>
      <c r="I292" s="9" t="s">
        <v>2294</v>
      </c>
      <c r="J292" s="9" t="s">
        <v>2295</v>
      </c>
      <c r="K292" s="8" t="s">
        <v>84</v>
      </c>
      <c r="L292" s="8"/>
      <c r="M292" s="9" t="s">
        <v>2413</v>
      </c>
      <c r="N292" s="9" t="s">
        <v>2414</v>
      </c>
      <c r="O292" s="8" t="s">
        <v>2415</v>
      </c>
      <c r="P292" s="8" t="s">
        <v>114</v>
      </c>
      <c r="Q292" s="8"/>
      <c r="R292" s="8"/>
      <c r="S292" s="8"/>
      <c r="T292" s="8"/>
      <c r="U292" s="8"/>
      <c r="V292" s="8"/>
      <c r="W292" s="8"/>
      <c r="X292" s="8"/>
      <c r="Y292" s="8"/>
      <c r="Z292" s="8"/>
      <c r="AA292" s="8"/>
      <c r="AB292" s="8"/>
      <c r="AC292" s="8"/>
      <c r="AD292" s="8"/>
      <c r="AE292" s="9" t="s">
        <v>2313</v>
      </c>
      <c r="AF292" s="8"/>
      <c r="AG292" s="8"/>
      <c r="AH292" s="9" t="s">
        <v>2430</v>
      </c>
      <c r="AI292" s="8" t="n">
        <v>0</v>
      </c>
      <c r="AJ292" s="8" t="n">
        <v>0</v>
      </c>
      <c r="AK292" s="8" t="n">
        <v>0</v>
      </c>
      <c r="AL292" s="8" t="n">
        <v>0</v>
      </c>
      <c r="AM292" s="8" t="n">
        <v>0</v>
      </c>
      <c r="AN292" s="8" t="n">
        <v>0</v>
      </c>
      <c r="AO292" s="8" t="n">
        <v>0</v>
      </c>
      <c r="AP292" s="8" t="n">
        <v>0</v>
      </c>
      <c r="AQ292" s="8" t="n">
        <v>0</v>
      </c>
      <c r="AR292" s="8" t="n">
        <v>0</v>
      </c>
      <c r="AS292" s="8" t="n">
        <v>0</v>
      </c>
      <c r="AT292" s="8" t="n">
        <v>0</v>
      </c>
      <c r="AU292" s="8" t="n">
        <v>0</v>
      </c>
      <c r="AV292" s="8" t="n">
        <v>0</v>
      </c>
      <c r="AW292" s="8" t="n">
        <v>0</v>
      </c>
      <c r="AX292" s="8" t="n">
        <v>0</v>
      </c>
      <c r="AY292" s="8" t="n">
        <v>0</v>
      </c>
      <c r="AZ292" s="8" t="n">
        <v>0</v>
      </c>
      <c r="BA292" s="8" t="n">
        <v>0</v>
      </c>
      <c r="BB292" s="8" t="n">
        <v>0</v>
      </c>
      <c r="BC292" s="8" t="n">
        <v>170</v>
      </c>
      <c r="BD292" s="8" t="n">
        <v>0</v>
      </c>
      <c r="BE292" s="8" t="n">
        <v>0</v>
      </c>
      <c r="BF292" s="8" t="n">
        <v>0</v>
      </c>
      <c r="BG292" s="10" t="s">
        <v>2421</v>
      </c>
      <c r="BH292" s="9" t="s">
        <v>2431</v>
      </c>
    </row>
    <row r="293" customFormat="false" ht="15" hidden="false" customHeight="false" outlineLevel="0" collapsed="false">
      <c r="A293" s="8" t="s">
        <v>2432</v>
      </c>
      <c r="B293" s="8" t="s">
        <v>2433</v>
      </c>
      <c r="C293" s="8" t="n">
        <v>1</v>
      </c>
      <c r="D293" s="8" t="n">
        <v>1953</v>
      </c>
      <c r="E293" s="8" t="n">
        <v>1953</v>
      </c>
      <c r="F293" s="8" t="str">
        <f aca="false">IF(D293="","?",IF(D293&lt;1796,"pre-1796",IF(D293&lt;1912,"1796-1911",IF(D293&lt;1949,"1912-1948","1949+"))))</f>
        <v>1949+</v>
      </c>
      <c r="G293" s="8" t="str">
        <f aca="false">IF(D293="","?",IF(D293&lt;1912,"Qing",IF(D293&lt;1949,"Republic","PRC")))</f>
        <v>PRC</v>
      </c>
      <c r="H293" s="8" t="s">
        <v>2201</v>
      </c>
      <c r="I293" s="9" t="s">
        <v>1502</v>
      </c>
      <c r="J293" s="9" t="s">
        <v>1503</v>
      </c>
      <c r="K293" s="8" t="s">
        <v>84</v>
      </c>
      <c r="L293" s="8"/>
      <c r="M293" s="9" t="s">
        <v>2218</v>
      </c>
      <c r="N293" s="9" t="s">
        <v>2219</v>
      </c>
      <c r="O293" s="8" t="s">
        <v>2434</v>
      </c>
      <c r="P293" s="8" t="s">
        <v>114</v>
      </c>
      <c r="Q293" s="9" t="s">
        <v>98</v>
      </c>
      <c r="R293" s="8"/>
      <c r="S293" s="8"/>
      <c r="T293" s="8"/>
      <c r="U293" s="9" t="s">
        <v>2435</v>
      </c>
      <c r="V293" s="8"/>
      <c r="W293" s="9" t="s">
        <v>2436</v>
      </c>
      <c r="X293" s="8"/>
      <c r="Y293" s="8"/>
      <c r="Z293" s="8"/>
      <c r="AA293" s="8"/>
      <c r="AB293" s="8"/>
      <c r="AC293" s="8"/>
      <c r="AD293" s="8"/>
      <c r="AE293" s="8" t="s">
        <v>2437</v>
      </c>
      <c r="AF293" s="9" t="s">
        <v>429</v>
      </c>
      <c r="AG293" s="8"/>
      <c r="AH293" s="8"/>
      <c r="AI293" s="8" t="n">
        <v>0</v>
      </c>
      <c r="AJ293" s="8" t="n">
        <v>0</v>
      </c>
      <c r="AK293" s="8" t="n">
        <v>0</v>
      </c>
      <c r="AL293" s="8" t="n">
        <v>0</v>
      </c>
      <c r="AM293" s="8" t="n">
        <v>0</v>
      </c>
      <c r="AN293" s="8" t="n">
        <v>0</v>
      </c>
      <c r="AO293" s="8" t="n">
        <v>0</v>
      </c>
      <c r="AP293" s="8" t="n">
        <v>0</v>
      </c>
      <c r="AQ293" s="8" t="n">
        <v>0</v>
      </c>
      <c r="AR293" s="8" t="n">
        <v>0</v>
      </c>
      <c r="AS293" s="8" t="n">
        <v>0</v>
      </c>
      <c r="AT293" s="8" t="n">
        <v>0</v>
      </c>
      <c r="AU293" s="8" t="n">
        <v>0</v>
      </c>
      <c r="AV293" s="8" t="n">
        <v>0</v>
      </c>
      <c r="AW293" s="8" t="n">
        <v>0</v>
      </c>
      <c r="AX293" s="8" t="n">
        <v>0</v>
      </c>
      <c r="AY293" s="8" t="n">
        <v>0</v>
      </c>
      <c r="AZ293" s="8" t="n">
        <v>0</v>
      </c>
      <c r="BA293" s="8" t="n">
        <v>0</v>
      </c>
      <c r="BB293" s="8" t="n">
        <v>0</v>
      </c>
      <c r="BC293" s="8" t="n">
        <v>165</v>
      </c>
      <c r="BD293" s="8" t="n">
        <v>1</v>
      </c>
      <c r="BE293" s="8" t="n">
        <v>0</v>
      </c>
      <c r="BF293" s="8" t="n">
        <v>0</v>
      </c>
      <c r="BG293" s="10" t="s">
        <v>2438</v>
      </c>
      <c r="BH293" s="8" t="s">
        <v>2439</v>
      </c>
    </row>
    <row r="294" customFormat="false" ht="15" hidden="false" customHeight="false" outlineLevel="0" collapsed="false">
      <c r="A294" s="8" t="s">
        <v>2440</v>
      </c>
      <c r="B294" s="8" t="s">
        <v>2433</v>
      </c>
      <c r="C294" s="8" t="n">
        <v>2</v>
      </c>
      <c r="D294" s="8" t="n">
        <v>1953</v>
      </c>
      <c r="E294" s="8" t="n">
        <v>1953</v>
      </c>
      <c r="F294" s="8" t="str">
        <f aca="false">IF(D294="","?",IF(D294&lt;1796,"pre-1796",IF(D294&lt;1912,"1796-1911",IF(D294&lt;1949,"1912-1948","1949+"))))</f>
        <v>1949+</v>
      </c>
      <c r="G294" s="8" t="str">
        <f aca="false">IF(D294="","?",IF(D294&lt;1912,"Qing",IF(D294&lt;1949,"Republic","PRC")))</f>
        <v>PRC</v>
      </c>
      <c r="H294" s="8" t="s">
        <v>2201</v>
      </c>
      <c r="I294" s="9" t="s">
        <v>1502</v>
      </c>
      <c r="J294" s="9" t="s">
        <v>1503</v>
      </c>
      <c r="K294" s="8" t="s">
        <v>84</v>
      </c>
      <c r="L294" s="8"/>
      <c r="M294" s="9" t="s">
        <v>2218</v>
      </c>
      <c r="N294" s="9" t="s">
        <v>2219</v>
      </c>
      <c r="O294" s="8" t="s">
        <v>2434</v>
      </c>
      <c r="P294" s="8" t="s">
        <v>87</v>
      </c>
      <c r="Q294" s="8"/>
      <c r="R294" s="8"/>
      <c r="S294" s="8"/>
      <c r="T294" s="8"/>
      <c r="U294" s="8"/>
      <c r="V294" s="8"/>
      <c r="W294" s="8"/>
      <c r="X294" s="8"/>
      <c r="Y294" s="8"/>
      <c r="Z294" s="8"/>
      <c r="AA294" s="9" t="s">
        <v>2441</v>
      </c>
      <c r="AB294" s="8"/>
      <c r="AC294" s="8"/>
      <c r="AD294" s="8"/>
      <c r="AE294" s="9" t="s">
        <v>2442</v>
      </c>
      <c r="AF294" s="8"/>
      <c r="AG294" s="8"/>
      <c r="AH294" s="8"/>
      <c r="AI294" s="8" t="n">
        <v>0</v>
      </c>
      <c r="AJ294" s="8" t="n">
        <v>0</v>
      </c>
      <c r="AK294" s="8" t="n">
        <v>0</v>
      </c>
      <c r="AL294" s="8" t="n">
        <v>0</v>
      </c>
      <c r="AM294" s="8" t="n">
        <v>0</v>
      </c>
      <c r="AN294" s="8" t="n">
        <v>0</v>
      </c>
      <c r="AO294" s="8" t="n">
        <v>0</v>
      </c>
      <c r="AP294" s="8" t="n">
        <v>0</v>
      </c>
      <c r="AQ294" s="8" t="n">
        <v>0</v>
      </c>
      <c r="AR294" s="8" t="n">
        <v>0</v>
      </c>
      <c r="AS294" s="8" t="n">
        <v>0</v>
      </c>
      <c r="AT294" s="8" t="n">
        <v>0</v>
      </c>
      <c r="AU294" s="8" t="n">
        <v>0</v>
      </c>
      <c r="AV294" s="8" t="n">
        <v>0</v>
      </c>
      <c r="AW294" s="8" t="n">
        <v>0</v>
      </c>
      <c r="AX294" s="8" t="n">
        <v>0</v>
      </c>
      <c r="AY294" s="8" t="n">
        <v>0</v>
      </c>
      <c r="AZ294" s="8" t="n">
        <v>0</v>
      </c>
      <c r="BA294" s="8" t="n">
        <v>0</v>
      </c>
      <c r="BB294" s="8" t="n">
        <v>0</v>
      </c>
      <c r="BC294" s="8" t="n">
        <v>171</v>
      </c>
      <c r="BD294" s="8" t="n">
        <v>1</v>
      </c>
      <c r="BE294" s="8" t="n">
        <v>0</v>
      </c>
      <c r="BF294" s="8" t="n">
        <v>0</v>
      </c>
      <c r="BG294" s="10" t="s">
        <v>2438</v>
      </c>
      <c r="BH294" s="8" t="s">
        <v>2443</v>
      </c>
    </row>
    <row r="295" customFormat="false" ht="15" hidden="false" customHeight="false" outlineLevel="0" collapsed="false">
      <c r="A295" s="8" t="s">
        <v>2444</v>
      </c>
      <c r="B295" s="8" t="s">
        <v>2433</v>
      </c>
      <c r="C295" s="8" t="n">
        <v>3</v>
      </c>
      <c r="D295" s="8" t="n">
        <v>1953</v>
      </c>
      <c r="E295" s="8" t="n">
        <v>1953</v>
      </c>
      <c r="F295" s="8" t="str">
        <f aca="false">IF(D295="","?",IF(D295&lt;1796,"pre-1796",IF(D295&lt;1912,"1796-1911",IF(D295&lt;1949,"1912-1948","1949+"))))</f>
        <v>1949+</v>
      </c>
      <c r="G295" s="8" t="str">
        <f aca="false">IF(D295="","?",IF(D295&lt;1912,"Qing",IF(D295&lt;1949,"Republic","PRC")))</f>
        <v>PRC</v>
      </c>
      <c r="H295" s="8" t="s">
        <v>2201</v>
      </c>
      <c r="I295" s="9" t="s">
        <v>1502</v>
      </c>
      <c r="J295" s="9" t="s">
        <v>1503</v>
      </c>
      <c r="K295" s="8" t="s">
        <v>84</v>
      </c>
      <c r="L295" s="8"/>
      <c r="M295" s="9" t="s">
        <v>2218</v>
      </c>
      <c r="N295" s="9" t="s">
        <v>2219</v>
      </c>
      <c r="O295" s="8" t="s">
        <v>2434</v>
      </c>
      <c r="P295" s="8" t="s">
        <v>87</v>
      </c>
      <c r="Q295" s="8"/>
      <c r="R295" s="9" t="s">
        <v>1341</v>
      </c>
      <c r="S295" s="8"/>
      <c r="T295" s="8"/>
      <c r="U295" s="8"/>
      <c r="V295" s="8"/>
      <c r="W295" s="8"/>
      <c r="X295" s="8"/>
      <c r="Y295" s="8"/>
      <c r="Z295" s="8"/>
      <c r="AA295" s="8"/>
      <c r="AB295" s="8"/>
      <c r="AC295" s="8"/>
      <c r="AD295" s="8"/>
      <c r="AE295" s="9" t="s">
        <v>2445</v>
      </c>
      <c r="AF295" s="8"/>
      <c r="AG295" s="8"/>
      <c r="AH295" s="8"/>
      <c r="AI295" s="8" t="n">
        <v>0</v>
      </c>
      <c r="AJ295" s="8" t="n">
        <v>0</v>
      </c>
      <c r="AK295" s="8" t="n">
        <v>0</v>
      </c>
      <c r="AL295" s="8" t="n">
        <v>0</v>
      </c>
      <c r="AM295" s="8" t="n">
        <v>0</v>
      </c>
      <c r="AN295" s="8" t="n">
        <v>0</v>
      </c>
      <c r="AO295" s="8" t="n">
        <v>0</v>
      </c>
      <c r="AP295" s="8" t="n">
        <v>0</v>
      </c>
      <c r="AQ295" s="8" t="n">
        <v>0</v>
      </c>
      <c r="AR295" s="8" t="n">
        <v>0</v>
      </c>
      <c r="AS295" s="8" t="n">
        <v>0</v>
      </c>
      <c r="AT295" s="8" t="n">
        <v>0</v>
      </c>
      <c r="AU295" s="8" t="n">
        <v>0</v>
      </c>
      <c r="AV295" s="8" t="n">
        <v>0</v>
      </c>
      <c r="AW295" s="8" t="n">
        <v>0</v>
      </c>
      <c r="AX295" s="8" t="n">
        <v>0</v>
      </c>
      <c r="AY295" s="8" t="n">
        <v>0</v>
      </c>
      <c r="AZ295" s="8" t="n">
        <v>0</v>
      </c>
      <c r="BA295" s="8" t="n">
        <v>0</v>
      </c>
      <c r="BB295" s="8" t="n">
        <v>0</v>
      </c>
      <c r="BC295" s="8" t="n">
        <v>21</v>
      </c>
      <c r="BD295" s="8" t="n">
        <v>1</v>
      </c>
      <c r="BE295" s="8" t="n">
        <v>0</v>
      </c>
      <c r="BF295" s="8" t="n">
        <v>0</v>
      </c>
      <c r="BG295" s="10" t="s">
        <v>2438</v>
      </c>
      <c r="BH295" s="8" t="s">
        <v>2446</v>
      </c>
    </row>
    <row r="296" customFormat="false" ht="15" hidden="false" customHeight="false" outlineLevel="0" collapsed="false">
      <c r="A296" s="8" t="s">
        <v>2447</v>
      </c>
      <c r="B296" s="8" t="s">
        <v>2448</v>
      </c>
      <c r="C296" s="8" t="n">
        <v>1</v>
      </c>
      <c r="D296" s="8" t="n">
        <v>1935</v>
      </c>
      <c r="E296" s="8" t="n">
        <v>1953</v>
      </c>
      <c r="F296" s="8" t="str">
        <f aca="false">IF(D296="","?",IF(D296&lt;1796,"pre-1796",IF(D296&lt;1912,"1796-1911",IF(D296&lt;1949,"1912-1948","1949+"))))</f>
        <v>1912-1948</v>
      </c>
      <c r="G296" s="8" t="str">
        <f aca="false">IF(D296="","?",IF(D296&lt;1912,"Qing",IF(D296&lt;1949,"Republic","PRC")))</f>
        <v>Republic</v>
      </c>
      <c r="H296" s="8" t="s">
        <v>2449</v>
      </c>
      <c r="I296" s="9" t="s">
        <v>1502</v>
      </c>
      <c r="J296" s="9" t="s">
        <v>1503</v>
      </c>
      <c r="K296" s="8" t="s">
        <v>84</v>
      </c>
      <c r="L296" s="9" t="s">
        <v>2450</v>
      </c>
      <c r="M296" s="9" t="s">
        <v>2218</v>
      </c>
      <c r="N296" s="9" t="s">
        <v>2451</v>
      </c>
      <c r="O296" s="8" t="s">
        <v>2452</v>
      </c>
      <c r="P296" s="8" t="s">
        <v>114</v>
      </c>
      <c r="Q296" s="9" t="s">
        <v>98</v>
      </c>
      <c r="R296" s="9" t="s">
        <v>2453</v>
      </c>
      <c r="S296" s="9" t="s">
        <v>2454</v>
      </c>
      <c r="T296" s="8"/>
      <c r="U296" s="9" t="s">
        <v>2455</v>
      </c>
      <c r="V296" s="9" t="s">
        <v>229</v>
      </c>
      <c r="W296" s="8"/>
      <c r="X296" s="8"/>
      <c r="Y296" s="8"/>
      <c r="Z296" s="8"/>
      <c r="AA296" s="8"/>
      <c r="AB296" s="8"/>
      <c r="AC296" s="8"/>
      <c r="AD296" s="8"/>
      <c r="AE296" s="8"/>
      <c r="AF296" s="9" t="s">
        <v>120</v>
      </c>
      <c r="AG296" s="9" t="s">
        <v>2456</v>
      </c>
      <c r="AH296" s="9" t="s">
        <v>2457</v>
      </c>
      <c r="AI296" s="8" t="n">
        <v>1</v>
      </c>
      <c r="AJ296" s="8" t="n">
        <v>0</v>
      </c>
      <c r="AK296" s="8" t="n">
        <v>0</v>
      </c>
      <c r="AL296" s="8" t="n">
        <v>0</v>
      </c>
      <c r="AM296" s="8" t="n">
        <v>0</v>
      </c>
      <c r="AN296" s="8" t="n">
        <v>0</v>
      </c>
      <c r="AO296" s="8" t="n">
        <v>0</v>
      </c>
      <c r="AP296" s="8" t="n">
        <v>0</v>
      </c>
      <c r="AQ296" s="8" t="n">
        <v>0</v>
      </c>
      <c r="AR296" s="8" t="n">
        <v>0</v>
      </c>
      <c r="AS296" s="8" t="n">
        <v>1</v>
      </c>
      <c r="AT296" s="8" t="n">
        <v>0</v>
      </c>
      <c r="AU296" s="8" t="n">
        <v>0</v>
      </c>
      <c r="AV296" s="8" t="n">
        <v>0</v>
      </c>
      <c r="AW296" s="8" t="n">
        <v>0</v>
      </c>
      <c r="AX296" s="8" t="n">
        <v>0</v>
      </c>
      <c r="AY296" s="8" t="n">
        <v>0</v>
      </c>
      <c r="AZ296" s="8" t="n">
        <v>0</v>
      </c>
      <c r="BA296" s="8" t="n">
        <v>0</v>
      </c>
      <c r="BB296" s="8" t="n">
        <v>0</v>
      </c>
      <c r="BC296" s="8" t="n">
        <v>317</v>
      </c>
      <c r="BD296" s="8" t="n">
        <v>1</v>
      </c>
      <c r="BE296" s="8" t="n">
        <v>0</v>
      </c>
      <c r="BF296" s="8" t="n">
        <v>0</v>
      </c>
      <c r="BG296" s="10" t="s">
        <v>2458</v>
      </c>
      <c r="BH296" s="9" t="s">
        <v>2459</v>
      </c>
    </row>
    <row r="297" customFormat="false" ht="15" hidden="false" customHeight="false" outlineLevel="0" collapsed="false">
      <c r="A297" s="8" t="s">
        <v>2460</v>
      </c>
      <c r="B297" s="8" t="s">
        <v>2448</v>
      </c>
      <c r="C297" s="8" t="n">
        <v>2</v>
      </c>
      <c r="D297" s="8" t="n">
        <v>1935</v>
      </c>
      <c r="E297" s="8" t="n">
        <v>1953</v>
      </c>
      <c r="F297" s="8" t="str">
        <f aca="false">IF(D297="","?",IF(D297&lt;1796,"pre-1796",IF(D297&lt;1912,"1796-1911",IF(D297&lt;1949,"1912-1948","1949+"))))</f>
        <v>1912-1948</v>
      </c>
      <c r="G297" s="8" t="str">
        <f aca="false">IF(D297="","?",IF(D297&lt;1912,"Qing",IF(D297&lt;1949,"Republic","PRC")))</f>
        <v>Republic</v>
      </c>
      <c r="H297" s="8" t="s">
        <v>2449</v>
      </c>
      <c r="I297" s="9" t="s">
        <v>1502</v>
      </c>
      <c r="J297" s="9" t="s">
        <v>1503</v>
      </c>
      <c r="K297" s="8" t="s">
        <v>84</v>
      </c>
      <c r="L297" s="9" t="s">
        <v>2450</v>
      </c>
      <c r="M297" s="9" t="s">
        <v>2218</v>
      </c>
      <c r="N297" s="9" t="s">
        <v>2451</v>
      </c>
      <c r="O297" s="8" t="s">
        <v>2452</v>
      </c>
      <c r="P297" s="8" t="s">
        <v>114</v>
      </c>
      <c r="Q297" s="9" t="s">
        <v>98</v>
      </c>
      <c r="R297" s="8"/>
      <c r="S297" s="8"/>
      <c r="T297" s="8"/>
      <c r="U297" s="9" t="s">
        <v>2461</v>
      </c>
      <c r="V297" s="8"/>
      <c r="W297" s="9" t="s">
        <v>2462</v>
      </c>
      <c r="X297" s="8"/>
      <c r="Y297" s="8"/>
      <c r="Z297" s="8"/>
      <c r="AA297" s="8"/>
      <c r="AB297" s="8"/>
      <c r="AC297" s="8"/>
      <c r="AD297" s="8"/>
      <c r="AE297" s="8" t="s">
        <v>2463</v>
      </c>
      <c r="AF297" s="9" t="s">
        <v>429</v>
      </c>
      <c r="AG297" s="8"/>
      <c r="AH297" s="8"/>
      <c r="AI297" s="8" t="n">
        <v>0</v>
      </c>
      <c r="AJ297" s="8" t="n">
        <v>0</v>
      </c>
      <c r="AK297" s="8" t="n">
        <v>0</v>
      </c>
      <c r="AL297" s="8" t="n">
        <v>0</v>
      </c>
      <c r="AM297" s="8" t="n">
        <v>0</v>
      </c>
      <c r="AN297" s="8" t="n">
        <v>0</v>
      </c>
      <c r="AO297" s="8" t="n">
        <v>0</v>
      </c>
      <c r="AP297" s="8" t="n">
        <v>0</v>
      </c>
      <c r="AQ297" s="8" t="n">
        <v>0</v>
      </c>
      <c r="AR297" s="8" t="n">
        <v>0</v>
      </c>
      <c r="AS297" s="8" t="n">
        <v>0</v>
      </c>
      <c r="AT297" s="8" t="n">
        <v>0</v>
      </c>
      <c r="AU297" s="8" t="n">
        <v>0</v>
      </c>
      <c r="AV297" s="8" t="n">
        <v>0</v>
      </c>
      <c r="AW297" s="8" t="n">
        <v>0</v>
      </c>
      <c r="AX297" s="8" t="n">
        <v>0</v>
      </c>
      <c r="AY297" s="8" t="n">
        <v>0</v>
      </c>
      <c r="AZ297" s="8" t="n">
        <v>0</v>
      </c>
      <c r="BA297" s="8" t="n">
        <v>0</v>
      </c>
      <c r="BB297" s="8" t="n">
        <v>0</v>
      </c>
      <c r="BC297" s="8" t="n">
        <v>181</v>
      </c>
      <c r="BD297" s="8" t="n">
        <v>1</v>
      </c>
      <c r="BE297" s="8" t="n">
        <v>0</v>
      </c>
      <c r="BF297" s="8" t="n">
        <v>0</v>
      </c>
      <c r="BG297" s="10" t="s">
        <v>2458</v>
      </c>
      <c r="BH297" s="8" t="s">
        <v>2464</v>
      </c>
    </row>
    <row r="298" customFormat="false" ht="15" hidden="false" customHeight="false" outlineLevel="0" collapsed="false">
      <c r="A298" s="8" t="s">
        <v>2465</v>
      </c>
      <c r="B298" s="8" t="s">
        <v>2466</v>
      </c>
      <c r="C298" s="8" t="n">
        <v>1</v>
      </c>
      <c r="D298" s="8" t="n">
        <v>1910</v>
      </c>
      <c r="E298" s="8" t="n">
        <v>1915</v>
      </c>
      <c r="F298" s="8" t="str">
        <f aca="false">IF(D298="","?",IF(D298&lt;1796,"pre-1796",IF(D298&lt;1912,"1796-1911",IF(D298&lt;1949,"1912-1948","1949+"))))</f>
        <v>1796-1911</v>
      </c>
      <c r="G298" s="8" t="str">
        <f aca="false">IF(D298="","?",IF(D298&lt;1912,"Qing",IF(D298&lt;1949,"Republic","PRC")))</f>
        <v>Qing</v>
      </c>
      <c r="H298" s="8" t="s">
        <v>2467</v>
      </c>
      <c r="I298" s="9" t="s">
        <v>128</v>
      </c>
      <c r="J298" s="9" t="s">
        <v>223</v>
      </c>
      <c r="K298" s="8" t="s">
        <v>84</v>
      </c>
      <c r="L298" s="8"/>
      <c r="M298" s="9" t="s">
        <v>2468</v>
      </c>
      <c r="N298" s="9" t="s">
        <v>2469</v>
      </c>
      <c r="O298" s="8" t="s">
        <v>2470</v>
      </c>
      <c r="P298" s="8" t="s">
        <v>133</v>
      </c>
      <c r="Q298" s="9" t="s">
        <v>2471</v>
      </c>
      <c r="R298" s="8"/>
      <c r="S298" s="9" t="s">
        <v>2468</v>
      </c>
      <c r="T298" s="8"/>
      <c r="U298" s="9" t="s">
        <v>2472</v>
      </c>
      <c r="V298" s="8"/>
      <c r="W298" s="9" t="s">
        <v>2473</v>
      </c>
      <c r="X298" s="9" t="s">
        <v>2474</v>
      </c>
      <c r="Y298" s="9" t="s">
        <v>615</v>
      </c>
      <c r="Z298" s="9" t="s">
        <v>2475</v>
      </c>
      <c r="AA298" s="9" t="s">
        <v>2476</v>
      </c>
      <c r="AB298" s="9" t="s">
        <v>2477</v>
      </c>
      <c r="AC298" s="9" t="s">
        <v>2477</v>
      </c>
      <c r="AD298" s="8"/>
      <c r="AE298" s="8"/>
      <c r="AF298" s="8"/>
      <c r="AG298" s="8"/>
      <c r="AH298" s="8"/>
      <c r="AI298" s="8" t="n">
        <v>1</v>
      </c>
      <c r="AJ298" s="8" t="n">
        <v>0</v>
      </c>
      <c r="AK298" s="8" t="n">
        <v>1</v>
      </c>
      <c r="AL298" s="8" t="n">
        <v>1</v>
      </c>
      <c r="AM298" s="8" t="n">
        <v>1</v>
      </c>
      <c r="AN298" s="8" t="n">
        <v>1</v>
      </c>
      <c r="AO298" s="8" t="n">
        <v>1</v>
      </c>
      <c r="AP298" s="8" t="n">
        <v>0</v>
      </c>
      <c r="AQ298" s="8" t="n">
        <v>1</v>
      </c>
      <c r="AR298" s="8" t="n">
        <v>1</v>
      </c>
      <c r="AS298" s="8" t="n">
        <v>1</v>
      </c>
      <c r="AT298" s="8" t="n">
        <v>0</v>
      </c>
      <c r="AU298" s="8" t="n">
        <v>0</v>
      </c>
      <c r="AV298" s="8" t="n">
        <v>1</v>
      </c>
      <c r="AW298" s="8" t="n">
        <v>0</v>
      </c>
      <c r="AX298" s="8" t="n">
        <v>0</v>
      </c>
      <c r="AY298" s="8" t="n">
        <v>0</v>
      </c>
      <c r="AZ298" s="8" t="n">
        <v>0</v>
      </c>
      <c r="BA298" s="8" t="n">
        <v>0</v>
      </c>
      <c r="BB298" s="8" t="n">
        <v>0</v>
      </c>
      <c r="BC298" s="8" t="n">
        <v>265</v>
      </c>
      <c r="BD298" s="8" t="n">
        <v>1</v>
      </c>
      <c r="BE298" s="8" t="n">
        <v>0</v>
      </c>
      <c r="BF298" s="8" t="n">
        <v>0</v>
      </c>
      <c r="BG298" s="10" t="s">
        <v>2478</v>
      </c>
      <c r="BH298" s="9" t="s">
        <v>2479</v>
      </c>
    </row>
    <row r="299" customFormat="false" ht="15" hidden="false" customHeight="false" outlineLevel="0" collapsed="false">
      <c r="A299" s="8" t="s">
        <v>2480</v>
      </c>
      <c r="B299" s="8" t="s">
        <v>2466</v>
      </c>
      <c r="C299" s="8" t="n">
        <v>2</v>
      </c>
      <c r="D299" s="8" t="n">
        <v>1910</v>
      </c>
      <c r="E299" s="8" t="n">
        <v>1915</v>
      </c>
      <c r="F299" s="8" t="str">
        <f aca="false">IF(D299="","?",IF(D299&lt;1796,"pre-1796",IF(D299&lt;1912,"1796-1911",IF(D299&lt;1949,"1912-1948","1949+"))))</f>
        <v>1796-1911</v>
      </c>
      <c r="G299" s="8" t="str">
        <f aca="false">IF(D299="","?",IF(D299&lt;1912,"Qing",IF(D299&lt;1949,"Republic","PRC")))</f>
        <v>Qing</v>
      </c>
      <c r="H299" s="8" t="s">
        <v>2467</v>
      </c>
      <c r="I299" s="9" t="s">
        <v>128</v>
      </c>
      <c r="J299" s="9" t="s">
        <v>223</v>
      </c>
      <c r="K299" s="8" t="s">
        <v>84</v>
      </c>
      <c r="L299" s="8"/>
      <c r="M299" s="9" t="s">
        <v>2468</v>
      </c>
      <c r="N299" s="9" t="s">
        <v>2469</v>
      </c>
      <c r="O299" s="8" t="s">
        <v>2470</v>
      </c>
      <c r="P299" s="8" t="s">
        <v>114</v>
      </c>
      <c r="Q299" s="8"/>
      <c r="R299" s="9" t="s">
        <v>2481</v>
      </c>
      <c r="S299" s="8"/>
      <c r="T299" s="8"/>
      <c r="U299" s="9" t="s">
        <v>2482</v>
      </c>
      <c r="V299" s="8"/>
      <c r="W299" s="9" t="s">
        <v>2483</v>
      </c>
      <c r="X299" s="8"/>
      <c r="Y299" s="9" t="s">
        <v>602</v>
      </c>
      <c r="Z299" s="9" t="s">
        <v>2484</v>
      </c>
      <c r="AA299" s="8"/>
      <c r="AB299" s="8"/>
      <c r="AC299" s="8"/>
      <c r="AD299" s="8"/>
      <c r="AE299" s="9" t="s">
        <v>2485</v>
      </c>
      <c r="AF299" s="9" t="s">
        <v>120</v>
      </c>
      <c r="AG299" s="9" t="s">
        <v>2469</v>
      </c>
      <c r="AH299" s="9" t="s">
        <v>2486</v>
      </c>
      <c r="AI299" s="8" t="n">
        <v>0</v>
      </c>
      <c r="AJ299" s="8" t="n">
        <v>0</v>
      </c>
      <c r="AK299" s="8" t="n">
        <v>0</v>
      </c>
      <c r="AL299" s="8" t="n">
        <v>0</v>
      </c>
      <c r="AM299" s="8" t="n">
        <v>0</v>
      </c>
      <c r="AN299" s="8" t="n">
        <v>0</v>
      </c>
      <c r="AO299" s="8" t="n">
        <v>0</v>
      </c>
      <c r="AP299" s="8" t="n">
        <v>0</v>
      </c>
      <c r="AQ299" s="8" t="n">
        <v>0</v>
      </c>
      <c r="AR299" s="8" t="n">
        <v>0</v>
      </c>
      <c r="AS299" s="8" t="n">
        <v>0</v>
      </c>
      <c r="AT299" s="8" t="n">
        <v>0</v>
      </c>
      <c r="AU299" s="8" t="n">
        <v>0</v>
      </c>
      <c r="AV299" s="8" t="n">
        <v>0</v>
      </c>
      <c r="AW299" s="8" t="n">
        <v>1</v>
      </c>
      <c r="AX299" s="8" t="n">
        <v>1</v>
      </c>
      <c r="AY299" s="8" t="n">
        <v>1</v>
      </c>
      <c r="AZ299" s="8" t="n">
        <v>1</v>
      </c>
      <c r="BA299" s="8" t="n">
        <v>0</v>
      </c>
      <c r="BB299" s="8" t="n">
        <v>0</v>
      </c>
      <c r="BC299" s="8" t="n">
        <v>399</v>
      </c>
      <c r="BD299" s="8" t="n">
        <v>2</v>
      </c>
      <c r="BE299" s="8" t="n">
        <v>0</v>
      </c>
      <c r="BF299" s="8" t="n">
        <v>0</v>
      </c>
      <c r="BG299" s="10" t="s">
        <v>2478</v>
      </c>
      <c r="BH299" s="9" t="s">
        <v>2487</v>
      </c>
    </row>
    <row r="300" customFormat="false" ht="15" hidden="false" customHeight="false" outlineLevel="0" collapsed="false">
      <c r="A300" s="8" t="s">
        <v>2488</v>
      </c>
      <c r="B300" s="8" t="s">
        <v>2489</v>
      </c>
      <c r="C300" s="8" t="n">
        <v>1</v>
      </c>
      <c r="D300" s="8" t="n">
        <v>1925</v>
      </c>
      <c r="E300" s="8" t="n">
        <v>1943</v>
      </c>
      <c r="F300" s="8" t="str">
        <f aca="false">IF(D300="","?",IF(D300&lt;1796,"pre-1796",IF(D300&lt;1912,"1796-1911",IF(D300&lt;1949,"1912-1948","1949+"))))</f>
        <v>1912-1948</v>
      </c>
      <c r="G300" s="8" t="str">
        <f aca="false">IF(D300="","?",IF(D300&lt;1912,"Qing",IF(D300&lt;1949,"Republic","PRC")))</f>
        <v>Republic</v>
      </c>
      <c r="H300" s="8" t="s">
        <v>2490</v>
      </c>
      <c r="I300" s="9" t="s">
        <v>466</v>
      </c>
      <c r="J300" s="9" t="s">
        <v>467</v>
      </c>
      <c r="K300" s="8" t="s">
        <v>84</v>
      </c>
      <c r="L300" s="8"/>
      <c r="M300" s="9" t="s">
        <v>2491</v>
      </c>
      <c r="N300" s="9" t="s">
        <v>2492</v>
      </c>
      <c r="O300" s="8" t="s">
        <v>2493</v>
      </c>
      <c r="P300" s="8" t="s">
        <v>133</v>
      </c>
      <c r="Q300" s="9" t="s">
        <v>453</v>
      </c>
      <c r="R300" s="9" t="s">
        <v>2494</v>
      </c>
      <c r="S300" s="9" t="s">
        <v>2495</v>
      </c>
      <c r="T300" s="8"/>
      <c r="U300" s="9" t="s">
        <v>2496</v>
      </c>
      <c r="V300" s="8"/>
      <c r="W300" s="9" t="s">
        <v>2497</v>
      </c>
      <c r="X300" s="9" t="s">
        <v>2498</v>
      </c>
      <c r="Y300" s="9" t="s">
        <v>306</v>
      </c>
      <c r="Z300" s="9" t="s">
        <v>2499</v>
      </c>
      <c r="AA300" s="9" t="s">
        <v>2500</v>
      </c>
      <c r="AB300" s="9" t="s">
        <v>2501</v>
      </c>
      <c r="AC300" s="8"/>
      <c r="AD300" s="8"/>
      <c r="AE300" s="8"/>
      <c r="AF300" s="8"/>
      <c r="AG300" s="8"/>
      <c r="AH300" s="8"/>
      <c r="AI300" s="8" t="n">
        <v>1</v>
      </c>
      <c r="AJ300" s="8" t="n">
        <v>0</v>
      </c>
      <c r="AK300" s="8" t="n">
        <v>0</v>
      </c>
      <c r="AL300" s="8" t="n">
        <v>1</v>
      </c>
      <c r="AM300" s="8" t="n">
        <v>1</v>
      </c>
      <c r="AN300" s="8" t="n">
        <v>1</v>
      </c>
      <c r="AO300" s="8" t="n">
        <v>1</v>
      </c>
      <c r="AP300" s="8" t="n">
        <v>0</v>
      </c>
      <c r="AQ300" s="8" t="n">
        <v>1</v>
      </c>
      <c r="AR300" s="8" t="n">
        <v>1</v>
      </c>
      <c r="AS300" s="8" t="n">
        <v>1</v>
      </c>
      <c r="AT300" s="8" t="n">
        <v>0</v>
      </c>
      <c r="AU300" s="8" t="n">
        <v>1</v>
      </c>
      <c r="AV300" s="8" t="n">
        <v>0</v>
      </c>
      <c r="AW300" s="8" t="n">
        <v>0</v>
      </c>
      <c r="AX300" s="8" t="n">
        <v>0</v>
      </c>
      <c r="AY300" s="8" t="n">
        <v>0</v>
      </c>
      <c r="AZ300" s="8" t="n">
        <v>0</v>
      </c>
      <c r="BA300" s="8" t="n">
        <v>0</v>
      </c>
      <c r="BB300" s="8" t="n">
        <v>0</v>
      </c>
      <c r="BC300" s="8" t="n">
        <v>289</v>
      </c>
      <c r="BD300" s="8" t="n">
        <v>1</v>
      </c>
      <c r="BE300" s="8" t="n">
        <v>0</v>
      </c>
      <c r="BF300" s="8" t="n">
        <v>0</v>
      </c>
      <c r="BG300" s="10" t="s">
        <v>2502</v>
      </c>
      <c r="BH300" s="9" t="s">
        <v>2503</v>
      </c>
    </row>
    <row r="301" customFormat="false" ht="15" hidden="false" customHeight="false" outlineLevel="0" collapsed="false">
      <c r="A301" s="8" t="s">
        <v>2504</v>
      </c>
      <c r="B301" s="8" t="s">
        <v>2489</v>
      </c>
      <c r="C301" s="8" t="n">
        <v>2</v>
      </c>
      <c r="D301" s="8" t="n">
        <v>1925</v>
      </c>
      <c r="E301" s="8" t="n">
        <v>1943</v>
      </c>
      <c r="F301" s="8" t="str">
        <f aca="false">IF(D301="","?",IF(D301&lt;1796,"pre-1796",IF(D301&lt;1912,"1796-1911",IF(D301&lt;1949,"1912-1948","1949+"))))</f>
        <v>1912-1948</v>
      </c>
      <c r="G301" s="8" t="str">
        <f aca="false">IF(D301="","?",IF(D301&lt;1912,"Qing",IF(D301&lt;1949,"Republic","PRC")))</f>
        <v>Republic</v>
      </c>
      <c r="H301" s="8" t="s">
        <v>2490</v>
      </c>
      <c r="I301" s="9" t="s">
        <v>466</v>
      </c>
      <c r="J301" s="9" t="s">
        <v>467</v>
      </c>
      <c r="K301" s="8" t="s">
        <v>84</v>
      </c>
      <c r="L301" s="8"/>
      <c r="M301" s="9" t="s">
        <v>2491</v>
      </c>
      <c r="N301" s="9" t="s">
        <v>2492</v>
      </c>
      <c r="O301" s="8" t="s">
        <v>2493</v>
      </c>
      <c r="P301" s="8" t="s">
        <v>114</v>
      </c>
      <c r="Q301" s="9" t="s">
        <v>2505</v>
      </c>
      <c r="R301" s="9" t="s">
        <v>1096</v>
      </c>
      <c r="S301" s="8"/>
      <c r="T301" s="8"/>
      <c r="U301" s="9" t="s">
        <v>2506</v>
      </c>
      <c r="V301" s="9" t="s">
        <v>327</v>
      </c>
      <c r="W301" s="9" t="s">
        <v>2507</v>
      </c>
      <c r="X301" s="8"/>
      <c r="Y301" s="8"/>
      <c r="Z301" s="8"/>
      <c r="AA301" s="8"/>
      <c r="AB301" s="8"/>
      <c r="AC301" s="8"/>
      <c r="AD301" s="8"/>
      <c r="AE301" s="9" t="s">
        <v>2508</v>
      </c>
      <c r="AF301" s="8"/>
      <c r="AG301" s="8"/>
      <c r="AH301" s="8"/>
      <c r="AI301" s="8" t="n">
        <v>0</v>
      </c>
      <c r="AJ301" s="8" t="n">
        <v>0</v>
      </c>
      <c r="AK301" s="8" t="n">
        <v>0</v>
      </c>
      <c r="AL301" s="8" t="n">
        <v>0</v>
      </c>
      <c r="AM301" s="8" t="n">
        <v>0</v>
      </c>
      <c r="AN301" s="8" t="n">
        <v>0</v>
      </c>
      <c r="AO301" s="8" t="n">
        <v>0</v>
      </c>
      <c r="AP301" s="8" t="n">
        <v>0</v>
      </c>
      <c r="AQ301" s="8" t="n">
        <v>0</v>
      </c>
      <c r="AR301" s="8" t="n">
        <v>0</v>
      </c>
      <c r="AS301" s="8" t="n">
        <v>0</v>
      </c>
      <c r="AT301" s="8" t="n">
        <v>0</v>
      </c>
      <c r="AU301" s="8" t="n">
        <v>0</v>
      </c>
      <c r="AV301" s="8" t="n">
        <v>0</v>
      </c>
      <c r="AW301" s="8" t="n">
        <v>0</v>
      </c>
      <c r="AX301" s="8" t="n">
        <v>0</v>
      </c>
      <c r="AY301" s="8" t="n">
        <v>0</v>
      </c>
      <c r="AZ301" s="8" t="n">
        <v>0</v>
      </c>
      <c r="BA301" s="8" t="n">
        <v>1</v>
      </c>
      <c r="BB301" s="8" t="n">
        <v>0</v>
      </c>
      <c r="BC301" s="8" t="n">
        <v>1102</v>
      </c>
      <c r="BD301" s="8" t="n">
        <v>0</v>
      </c>
      <c r="BE301" s="8" t="n">
        <v>0</v>
      </c>
      <c r="BF301" s="8" t="n">
        <v>0</v>
      </c>
      <c r="BG301" s="10" t="s">
        <v>2502</v>
      </c>
      <c r="BH301" s="9" t="s">
        <v>2509</v>
      </c>
    </row>
    <row r="302" customFormat="false" ht="15" hidden="false" customHeight="false" outlineLevel="0" collapsed="false">
      <c r="A302" s="8" t="s">
        <v>2510</v>
      </c>
      <c r="B302" s="8" t="s">
        <v>2489</v>
      </c>
      <c r="C302" s="8" t="n">
        <v>3</v>
      </c>
      <c r="D302" s="8" t="n">
        <v>1925</v>
      </c>
      <c r="E302" s="8" t="n">
        <v>1943</v>
      </c>
      <c r="F302" s="8" t="str">
        <f aca="false">IF(D302="","?",IF(D302&lt;1796,"pre-1796",IF(D302&lt;1912,"1796-1911",IF(D302&lt;1949,"1912-1948","1949+"))))</f>
        <v>1912-1948</v>
      </c>
      <c r="G302" s="8" t="str">
        <f aca="false">IF(D302="","?",IF(D302&lt;1912,"Qing",IF(D302&lt;1949,"Republic","PRC")))</f>
        <v>Republic</v>
      </c>
      <c r="H302" s="8" t="s">
        <v>2490</v>
      </c>
      <c r="I302" s="9" t="s">
        <v>466</v>
      </c>
      <c r="J302" s="9" t="s">
        <v>467</v>
      </c>
      <c r="K302" s="8" t="s">
        <v>84</v>
      </c>
      <c r="L302" s="8"/>
      <c r="M302" s="9" t="s">
        <v>2491</v>
      </c>
      <c r="N302" s="9" t="s">
        <v>2492</v>
      </c>
      <c r="O302" s="8" t="s">
        <v>2493</v>
      </c>
      <c r="P302" s="8" t="s">
        <v>114</v>
      </c>
      <c r="Q302" s="8"/>
      <c r="R302" s="9" t="s">
        <v>1096</v>
      </c>
      <c r="S302" s="8"/>
      <c r="T302" s="8"/>
      <c r="U302" s="9" t="s">
        <v>2511</v>
      </c>
      <c r="V302" s="8"/>
      <c r="W302" s="8"/>
      <c r="X302" s="8"/>
      <c r="Y302" s="8"/>
      <c r="Z302" s="8"/>
      <c r="AA302" s="8"/>
      <c r="AB302" s="8"/>
      <c r="AC302" s="8"/>
      <c r="AD302" s="8"/>
      <c r="AE302" s="9" t="s">
        <v>2512</v>
      </c>
      <c r="AF302" s="8"/>
      <c r="AG302" s="8"/>
      <c r="AH302" s="8"/>
      <c r="AI302" s="8" t="n">
        <v>0</v>
      </c>
      <c r="AJ302" s="8" t="n">
        <v>0</v>
      </c>
      <c r="AK302" s="8" t="n">
        <v>0</v>
      </c>
      <c r="AL302" s="8" t="n">
        <v>0</v>
      </c>
      <c r="AM302" s="8" t="n">
        <v>0</v>
      </c>
      <c r="AN302" s="8" t="n">
        <v>0</v>
      </c>
      <c r="AO302" s="8" t="n">
        <v>0</v>
      </c>
      <c r="AP302" s="8" t="n">
        <v>0</v>
      </c>
      <c r="AQ302" s="8" t="n">
        <v>0</v>
      </c>
      <c r="AR302" s="8" t="n">
        <v>0</v>
      </c>
      <c r="AS302" s="8" t="n">
        <v>0</v>
      </c>
      <c r="AT302" s="8" t="n">
        <v>1</v>
      </c>
      <c r="AU302" s="8" t="n">
        <v>0</v>
      </c>
      <c r="AV302" s="8" t="n">
        <v>0</v>
      </c>
      <c r="AW302" s="8" t="n">
        <v>1</v>
      </c>
      <c r="AX302" s="8" t="n">
        <v>0</v>
      </c>
      <c r="AY302" s="8" t="n">
        <v>0</v>
      </c>
      <c r="AZ302" s="8" t="n">
        <v>0</v>
      </c>
      <c r="BA302" s="8" t="n">
        <v>1</v>
      </c>
      <c r="BB302" s="8" t="n">
        <v>0</v>
      </c>
      <c r="BC302" s="8" t="n">
        <v>195</v>
      </c>
      <c r="BD302" s="8" t="n">
        <v>0</v>
      </c>
      <c r="BE302" s="8" t="n">
        <v>0</v>
      </c>
      <c r="BF302" s="8" t="n">
        <v>0</v>
      </c>
      <c r="BG302" s="10" t="s">
        <v>2502</v>
      </c>
      <c r="BH302" s="9" t="s">
        <v>2513</v>
      </c>
    </row>
    <row r="303" customFormat="false" ht="15" hidden="false" customHeight="false" outlineLevel="0" collapsed="false">
      <c r="A303" s="8" t="s">
        <v>2514</v>
      </c>
      <c r="B303" s="8" t="s">
        <v>2515</v>
      </c>
      <c r="C303" s="8" t="n">
        <v>1</v>
      </c>
      <c r="D303" s="8" t="n">
        <v>1953</v>
      </c>
      <c r="E303" s="8" t="n">
        <v>1953</v>
      </c>
      <c r="F303" s="8" t="str">
        <f aca="false">IF(D303="","?",IF(D303&lt;1796,"pre-1796",IF(D303&lt;1912,"1796-1911",IF(D303&lt;1949,"1912-1948","1949+"))))</f>
        <v>1949+</v>
      </c>
      <c r="G303" s="8" t="str">
        <f aca="false">IF(D303="","?",IF(D303&lt;1912,"Qing",IF(D303&lt;1949,"Republic","PRC")))</f>
        <v>PRC</v>
      </c>
      <c r="H303" s="8" t="s">
        <v>2201</v>
      </c>
      <c r="I303" s="8"/>
      <c r="J303" s="9" t="s">
        <v>2516</v>
      </c>
      <c r="K303" s="8" t="s">
        <v>84</v>
      </c>
      <c r="L303" s="9" t="s">
        <v>2517</v>
      </c>
      <c r="M303" s="8"/>
      <c r="N303" s="8"/>
      <c r="O303" s="8" t="s">
        <v>2518</v>
      </c>
      <c r="P303" s="8" t="s">
        <v>114</v>
      </c>
      <c r="Q303" s="8"/>
      <c r="R303" s="8"/>
      <c r="S303" s="8"/>
      <c r="T303" s="8"/>
      <c r="U303" s="8"/>
      <c r="V303" s="8"/>
      <c r="W303" s="8"/>
      <c r="X303" s="8"/>
      <c r="Y303" s="8"/>
      <c r="Z303" s="8"/>
      <c r="AA303" s="8"/>
      <c r="AB303" s="8"/>
      <c r="AC303" s="8"/>
      <c r="AD303" s="8"/>
      <c r="AE303" s="9" t="s">
        <v>2519</v>
      </c>
      <c r="AF303" s="8"/>
      <c r="AG303" s="8"/>
      <c r="AH303" s="8"/>
      <c r="AI303" s="8" t="n">
        <v>0</v>
      </c>
      <c r="AJ303" s="8" t="n">
        <v>0</v>
      </c>
      <c r="AK303" s="8" t="n">
        <v>0</v>
      </c>
      <c r="AL303" s="8" t="n">
        <v>0</v>
      </c>
      <c r="AM303" s="8" t="n">
        <v>0</v>
      </c>
      <c r="AN303" s="8" t="n">
        <v>0</v>
      </c>
      <c r="AO303" s="8" t="n">
        <v>0</v>
      </c>
      <c r="AP303" s="8" t="n">
        <v>0</v>
      </c>
      <c r="AQ303" s="8" t="n">
        <v>0</v>
      </c>
      <c r="AR303" s="8" t="n">
        <v>0</v>
      </c>
      <c r="AS303" s="8" t="n">
        <v>0</v>
      </c>
      <c r="AT303" s="8" t="n">
        <v>0</v>
      </c>
      <c r="AU303" s="8" t="n">
        <v>0</v>
      </c>
      <c r="AV303" s="8" t="n">
        <v>0</v>
      </c>
      <c r="AW303" s="8" t="n">
        <v>0</v>
      </c>
      <c r="AX303" s="8" t="n">
        <v>0</v>
      </c>
      <c r="AY303" s="8" t="n">
        <v>0</v>
      </c>
      <c r="AZ303" s="8" t="n">
        <v>0</v>
      </c>
      <c r="BA303" s="8" t="n">
        <v>0</v>
      </c>
      <c r="BB303" s="8" t="n">
        <v>0</v>
      </c>
      <c r="BC303" s="8" t="n">
        <v>187</v>
      </c>
      <c r="BD303" s="8" t="n">
        <v>1</v>
      </c>
      <c r="BE303" s="8" t="n">
        <v>0</v>
      </c>
      <c r="BF303" s="8" t="n">
        <v>0</v>
      </c>
      <c r="BG303" s="10" t="s">
        <v>2520</v>
      </c>
      <c r="BH303" s="9" t="s">
        <v>2521</v>
      </c>
    </row>
    <row r="304" customFormat="false" ht="15" hidden="false" customHeight="false" outlineLevel="0" collapsed="false">
      <c r="A304" s="8" t="s">
        <v>2522</v>
      </c>
      <c r="B304" s="8" t="s">
        <v>2523</v>
      </c>
      <c r="C304" s="8" t="n">
        <v>1</v>
      </c>
      <c r="D304" s="8" t="n">
        <v>1952</v>
      </c>
      <c r="E304" s="8" t="n">
        <v>1952</v>
      </c>
      <c r="F304" s="8" t="str">
        <f aca="false">IF(D304="","?",IF(D304&lt;1796,"pre-1796",IF(D304&lt;1912,"1796-1911",IF(D304&lt;1949,"1912-1948","1949+"))))</f>
        <v>1949+</v>
      </c>
      <c r="G304" s="8" t="str">
        <f aca="false">IF(D304="","?",IF(D304&lt;1912,"Qing",IF(D304&lt;1949,"Republic","PRC")))</f>
        <v>PRC</v>
      </c>
      <c r="H304" s="8" t="s">
        <v>2185</v>
      </c>
      <c r="I304" s="9" t="s">
        <v>2524</v>
      </c>
      <c r="J304" s="9" t="s">
        <v>2525</v>
      </c>
      <c r="K304" s="8" t="s">
        <v>84</v>
      </c>
      <c r="L304" s="9" t="s">
        <v>2526</v>
      </c>
      <c r="M304" s="8"/>
      <c r="N304" s="8"/>
      <c r="O304" s="8" t="s">
        <v>2527</v>
      </c>
      <c r="P304" s="8" t="s">
        <v>114</v>
      </c>
      <c r="Q304" s="8"/>
      <c r="R304" s="8"/>
      <c r="S304" s="8"/>
      <c r="T304" s="8"/>
      <c r="U304" s="8"/>
      <c r="V304" s="8"/>
      <c r="W304" s="8"/>
      <c r="X304" s="8"/>
      <c r="Y304" s="9" t="s">
        <v>246</v>
      </c>
      <c r="Z304" s="8"/>
      <c r="AA304" s="8"/>
      <c r="AB304" s="8"/>
      <c r="AC304" s="8"/>
      <c r="AD304" s="8"/>
      <c r="AE304" s="9" t="s">
        <v>2528</v>
      </c>
      <c r="AF304" s="8"/>
      <c r="AG304" s="8"/>
      <c r="AH304" s="9" t="s">
        <v>2529</v>
      </c>
      <c r="AI304" s="8" t="n">
        <v>0</v>
      </c>
      <c r="AJ304" s="8" t="n">
        <v>0</v>
      </c>
      <c r="AK304" s="8" t="n">
        <v>0</v>
      </c>
      <c r="AL304" s="8" t="n">
        <v>0</v>
      </c>
      <c r="AM304" s="8" t="n">
        <v>0</v>
      </c>
      <c r="AN304" s="8" t="n">
        <v>0</v>
      </c>
      <c r="AO304" s="8" t="n">
        <v>0</v>
      </c>
      <c r="AP304" s="8" t="n">
        <v>0</v>
      </c>
      <c r="AQ304" s="8" t="n">
        <v>0</v>
      </c>
      <c r="AR304" s="8" t="n">
        <v>0</v>
      </c>
      <c r="AS304" s="8" t="n">
        <v>0</v>
      </c>
      <c r="AT304" s="8" t="n">
        <v>0</v>
      </c>
      <c r="AU304" s="8" t="n">
        <v>0</v>
      </c>
      <c r="AV304" s="8" t="n">
        <v>0</v>
      </c>
      <c r="AW304" s="8" t="n">
        <v>0</v>
      </c>
      <c r="AX304" s="8" t="n">
        <v>0</v>
      </c>
      <c r="AY304" s="8" t="n">
        <v>0</v>
      </c>
      <c r="AZ304" s="8" t="n">
        <v>0</v>
      </c>
      <c r="BA304" s="8" t="n">
        <v>0</v>
      </c>
      <c r="BB304" s="8" t="n">
        <v>0</v>
      </c>
      <c r="BC304" s="8" t="n">
        <v>548</v>
      </c>
      <c r="BD304" s="8" t="n">
        <v>0</v>
      </c>
      <c r="BE304" s="8" t="n">
        <v>0</v>
      </c>
      <c r="BF304" s="8" t="n">
        <v>0</v>
      </c>
      <c r="BG304" s="10" t="s">
        <v>2530</v>
      </c>
      <c r="BH304" s="9" t="s">
        <v>2531</v>
      </c>
    </row>
    <row r="305" customFormat="false" ht="15" hidden="false" customHeight="false" outlineLevel="0" collapsed="false">
      <c r="A305" s="8" t="s">
        <v>2532</v>
      </c>
      <c r="B305" s="8" t="s">
        <v>2533</v>
      </c>
      <c r="C305" s="8" t="n">
        <v>1</v>
      </c>
      <c r="D305" s="8" t="n">
        <v>1889</v>
      </c>
      <c r="E305" s="8" t="n">
        <v>1889</v>
      </c>
      <c r="F305" s="8" t="str">
        <f aca="false">IF(D305="","?",IF(D305&lt;1796,"pre-1796",IF(D305&lt;1912,"1796-1911",IF(D305&lt;1949,"1912-1948","1949+"))))</f>
        <v>1796-1911</v>
      </c>
      <c r="G305" s="8" t="str">
        <f aca="false">IF(D305="","?",IF(D305&lt;1912,"Qing",IF(D305&lt;1949,"Republic","PRC")))</f>
        <v>Qing</v>
      </c>
      <c r="H305" s="8" t="s">
        <v>2534</v>
      </c>
      <c r="I305" s="9" t="s">
        <v>128</v>
      </c>
      <c r="J305" s="9" t="s">
        <v>129</v>
      </c>
      <c r="K305" s="8" t="s">
        <v>130</v>
      </c>
      <c r="L305" s="8"/>
      <c r="M305" s="9" t="s">
        <v>2535</v>
      </c>
      <c r="N305" s="9" t="s">
        <v>2536</v>
      </c>
      <c r="O305" s="8" t="s">
        <v>2537</v>
      </c>
      <c r="P305" s="8" t="s">
        <v>133</v>
      </c>
      <c r="Q305" s="9" t="s">
        <v>2538</v>
      </c>
      <c r="R305" s="9" t="s">
        <v>2539</v>
      </c>
      <c r="S305" s="9" t="s">
        <v>2535</v>
      </c>
      <c r="T305" s="9" t="s">
        <v>2536</v>
      </c>
      <c r="U305" s="8"/>
      <c r="V305" s="8"/>
      <c r="W305" s="9" t="s">
        <v>2540</v>
      </c>
      <c r="X305" s="9" t="s">
        <v>2541</v>
      </c>
      <c r="Y305" s="9" t="s">
        <v>198</v>
      </c>
      <c r="Z305" s="9" t="s">
        <v>2542</v>
      </c>
      <c r="AA305" s="9" t="s">
        <v>2543</v>
      </c>
      <c r="AB305" s="9" t="s">
        <v>2544</v>
      </c>
      <c r="AC305" s="8"/>
      <c r="AD305" s="8"/>
      <c r="AE305" s="8"/>
      <c r="AF305" s="8"/>
      <c r="AG305" s="8"/>
      <c r="AH305" s="8"/>
      <c r="AI305" s="8" t="n">
        <v>1</v>
      </c>
      <c r="AJ305" s="8" t="n">
        <v>1</v>
      </c>
      <c r="AK305" s="8" t="n">
        <v>1</v>
      </c>
      <c r="AL305" s="8" t="n">
        <v>1</v>
      </c>
      <c r="AM305" s="8" t="n">
        <v>1</v>
      </c>
      <c r="AN305" s="8" t="n">
        <v>1</v>
      </c>
      <c r="AO305" s="8" t="n">
        <v>1</v>
      </c>
      <c r="AP305" s="8" t="n">
        <v>0</v>
      </c>
      <c r="AQ305" s="8" t="n">
        <v>1</v>
      </c>
      <c r="AR305" s="8" t="n">
        <v>1</v>
      </c>
      <c r="AS305" s="8" t="n">
        <v>1</v>
      </c>
      <c r="AT305" s="8" t="n">
        <v>0</v>
      </c>
      <c r="AU305" s="8" t="n">
        <v>1</v>
      </c>
      <c r="AV305" s="8" t="n">
        <v>1</v>
      </c>
      <c r="AW305" s="8" t="n">
        <v>0</v>
      </c>
      <c r="AX305" s="8" t="n">
        <v>0</v>
      </c>
      <c r="AY305" s="8" t="n">
        <v>0</v>
      </c>
      <c r="AZ305" s="8" t="n">
        <v>0</v>
      </c>
      <c r="BA305" s="8" t="n">
        <v>0</v>
      </c>
      <c r="BB305" s="8" t="n">
        <v>0</v>
      </c>
      <c r="BC305" s="8" t="n">
        <v>327</v>
      </c>
      <c r="BD305" s="8" t="n">
        <v>0</v>
      </c>
      <c r="BE305" s="8" t="n">
        <v>0</v>
      </c>
      <c r="BF305" s="8" t="n">
        <v>0</v>
      </c>
      <c r="BG305" s="10" t="s">
        <v>2545</v>
      </c>
      <c r="BH305" s="9" t="s">
        <v>2546</v>
      </c>
    </row>
    <row r="306" customFormat="false" ht="15" hidden="false" customHeight="false" outlineLevel="0" collapsed="false">
      <c r="A306" s="8" t="s">
        <v>2547</v>
      </c>
      <c r="B306" s="8" t="s">
        <v>2548</v>
      </c>
      <c r="C306" s="8" t="n">
        <v>1</v>
      </c>
      <c r="D306" s="8"/>
      <c r="E306" s="8"/>
      <c r="F306" s="8" t="str">
        <f aca="false">IF(D306="","?",IF(D306&lt;1796,"pre-1796",IF(D306&lt;1912,"1796-1911",IF(D306&lt;1949,"1912-1948","1949+"))))</f>
        <v>?</v>
      </c>
      <c r="G306" s="8" t="str">
        <f aca="false">IF(D306="","?",IF(D306&lt;1912,"Qing",IF(D306&lt;1949,"Republic","PRC")))</f>
        <v>?</v>
      </c>
      <c r="H306" s="8"/>
      <c r="I306" s="9" t="s">
        <v>128</v>
      </c>
      <c r="J306" s="9" t="s">
        <v>129</v>
      </c>
      <c r="K306" s="8" t="s">
        <v>84</v>
      </c>
      <c r="L306" s="8"/>
      <c r="M306" s="9" t="s">
        <v>224</v>
      </c>
      <c r="N306" s="9" t="s">
        <v>2549</v>
      </c>
      <c r="O306" s="8" t="s">
        <v>2550</v>
      </c>
      <c r="P306" s="8" t="s">
        <v>97</v>
      </c>
      <c r="Q306" s="9" t="s">
        <v>300</v>
      </c>
      <c r="R306" s="9" t="s">
        <v>2551</v>
      </c>
      <c r="S306" s="9" t="s">
        <v>224</v>
      </c>
      <c r="T306" s="9" t="s">
        <v>2552</v>
      </c>
      <c r="U306" s="9" t="s">
        <v>2553</v>
      </c>
      <c r="V306" s="9" t="s">
        <v>244</v>
      </c>
      <c r="W306" s="9" t="s">
        <v>2554</v>
      </c>
      <c r="X306" s="8"/>
      <c r="Y306" s="9" t="s">
        <v>246</v>
      </c>
      <c r="Z306" s="8"/>
      <c r="AA306" s="9" t="s">
        <v>2555</v>
      </c>
      <c r="AB306" s="9" t="s">
        <v>2556</v>
      </c>
      <c r="AC306" s="8"/>
      <c r="AD306" s="9" t="s">
        <v>790</v>
      </c>
      <c r="AE306" s="9" t="s">
        <v>2557</v>
      </c>
      <c r="AF306" s="8"/>
      <c r="AG306" s="8"/>
      <c r="AH306" s="8"/>
      <c r="AI306" s="8" t="n">
        <v>1</v>
      </c>
      <c r="AJ306" s="8" t="n">
        <v>1</v>
      </c>
      <c r="AK306" s="8" t="n">
        <v>1</v>
      </c>
      <c r="AL306" s="8" t="n">
        <v>0</v>
      </c>
      <c r="AM306" s="8" t="n">
        <v>1</v>
      </c>
      <c r="AN306" s="8" t="n">
        <v>1</v>
      </c>
      <c r="AO306" s="8" t="n">
        <v>1</v>
      </c>
      <c r="AP306" s="8" t="n">
        <v>1</v>
      </c>
      <c r="AQ306" s="8" t="n">
        <v>0</v>
      </c>
      <c r="AR306" s="8" t="n">
        <v>0</v>
      </c>
      <c r="AS306" s="8" t="n">
        <v>1</v>
      </c>
      <c r="AT306" s="8" t="n">
        <v>1</v>
      </c>
      <c r="AU306" s="8" t="n">
        <v>0</v>
      </c>
      <c r="AV306" s="8" t="n">
        <v>0</v>
      </c>
      <c r="AW306" s="8" t="n">
        <v>0</v>
      </c>
      <c r="AX306" s="8" t="n">
        <v>0</v>
      </c>
      <c r="AY306" s="8" t="n">
        <v>0</v>
      </c>
      <c r="AZ306" s="8" t="n">
        <v>0</v>
      </c>
      <c r="BA306" s="8" t="n">
        <v>0</v>
      </c>
      <c r="BB306" s="8" t="n">
        <v>0</v>
      </c>
      <c r="BC306" s="8" t="n">
        <v>722</v>
      </c>
      <c r="BD306" s="8" t="n">
        <v>0</v>
      </c>
      <c r="BE306" s="8" t="n">
        <v>0</v>
      </c>
      <c r="BF306" s="8" t="n">
        <v>0</v>
      </c>
      <c r="BG306" s="10" t="s">
        <v>2558</v>
      </c>
      <c r="BH306" s="9" t="s">
        <v>2559</v>
      </c>
    </row>
    <row r="307" customFormat="false" ht="15" hidden="false" customHeight="false" outlineLevel="0" collapsed="false">
      <c r="A307" s="8" t="s">
        <v>2560</v>
      </c>
      <c r="B307" s="8" t="s">
        <v>2561</v>
      </c>
      <c r="C307" s="8" t="n">
        <v>1</v>
      </c>
      <c r="D307" s="8" t="n">
        <v>1909</v>
      </c>
      <c r="E307" s="8" t="n">
        <v>1909</v>
      </c>
      <c r="F307" s="8" t="str">
        <f aca="false">IF(D307="","?",IF(D307&lt;1796,"pre-1796",IF(D307&lt;1912,"1796-1911",IF(D307&lt;1949,"1912-1948","1949+"))))</f>
        <v>1796-1911</v>
      </c>
      <c r="G307" s="8" t="str">
        <f aca="false">IF(D307="","?",IF(D307&lt;1912,"Qing",IF(D307&lt;1949,"Republic","PRC")))</f>
        <v>Qing</v>
      </c>
      <c r="H307" s="8" t="s">
        <v>2562</v>
      </c>
      <c r="I307" s="9" t="s">
        <v>527</v>
      </c>
      <c r="J307" s="9" t="s">
        <v>528</v>
      </c>
      <c r="K307" s="8" t="s">
        <v>84</v>
      </c>
      <c r="L307" s="8"/>
      <c r="M307" s="9" t="s">
        <v>2563</v>
      </c>
      <c r="N307" s="9" t="s">
        <v>2564</v>
      </c>
      <c r="O307" s="8" t="s">
        <v>2565</v>
      </c>
      <c r="P307" s="8" t="s">
        <v>114</v>
      </c>
      <c r="Q307" s="8"/>
      <c r="R307" s="9" t="s">
        <v>2566</v>
      </c>
      <c r="S307" s="8"/>
      <c r="T307" s="8"/>
      <c r="U307" s="8"/>
      <c r="V307" s="8"/>
      <c r="W307" s="8"/>
      <c r="X307" s="8"/>
      <c r="Y307" s="8"/>
      <c r="Z307" s="8"/>
      <c r="AA307" s="8"/>
      <c r="AB307" s="8"/>
      <c r="AC307" s="8"/>
      <c r="AD307" s="8"/>
      <c r="AE307" s="8"/>
      <c r="AF307" s="9" t="s">
        <v>291</v>
      </c>
      <c r="AG307" s="8"/>
      <c r="AH307" s="8"/>
      <c r="AI307" s="8" t="n">
        <v>0</v>
      </c>
      <c r="AJ307" s="8" t="n">
        <v>0</v>
      </c>
      <c r="AK307" s="8" t="n">
        <v>0</v>
      </c>
      <c r="AL307" s="8" t="n">
        <v>0</v>
      </c>
      <c r="AM307" s="8" t="n">
        <v>0</v>
      </c>
      <c r="AN307" s="8" t="n">
        <v>0</v>
      </c>
      <c r="AO307" s="8" t="n">
        <v>0</v>
      </c>
      <c r="AP307" s="8" t="n">
        <v>0</v>
      </c>
      <c r="AQ307" s="8" t="n">
        <v>0</v>
      </c>
      <c r="AR307" s="8" t="n">
        <v>0</v>
      </c>
      <c r="AS307" s="8" t="n">
        <v>0</v>
      </c>
      <c r="AT307" s="8" t="n">
        <v>0</v>
      </c>
      <c r="AU307" s="8" t="n">
        <v>0</v>
      </c>
      <c r="AV307" s="8" t="n">
        <v>0</v>
      </c>
      <c r="AW307" s="8" t="n">
        <v>1</v>
      </c>
      <c r="AX307" s="8" t="n">
        <v>1</v>
      </c>
      <c r="AY307" s="8" t="n">
        <v>0</v>
      </c>
      <c r="AZ307" s="8" t="n">
        <v>0</v>
      </c>
      <c r="BA307" s="8" t="n">
        <v>0</v>
      </c>
      <c r="BB307" s="8" t="n">
        <v>0</v>
      </c>
      <c r="BC307" s="8" t="n">
        <v>55</v>
      </c>
      <c r="BD307" s="8" t="n">
        <v>1</v>
      </c>
      <c r="BE307" s="8" t="n">
        <v>1</v>
      </c>
      <c r="BF307" s="8" t="n">
        <v>0</v>
      </c>
      <c r="BG307" s="10" t="s">
        <v>2567</v>
      </c>
      <c r="BH307" s="9" t="s">
        <v>2568</v>
      </c>
    </row>
    <row r="308" customFormat="false" ht="15" hidden="false" customHeight="false" outlineLevel="0" collapsed="false">
      <c r="A308" s="8" t="s">
        <v>2569</v>
      </c>
      <c r="B308" s="8" t="s">
        <v>2570</v>
      </c>
      <c r="C308" s="8" t="n">
        <v>1</v>
      </c>
      <c r="D308" s="8" t="n">
        <v>1949</v>
      </c>
      <c r="E308" s="8" t="n">
        <v>1949</v>
      </c>
      <c r="F308" s="8" t="str">
        <f aca="false">IF(D308="","?",IF(D308&lt;1796,"pre-1796",IF(D308&lt;1912,"1796-1911",IF(D308&lt;1949,"1912-1948","1949+"))))</f>
        <v>1949+</v>
      </c>
      <c r="G308" s="8" t="str">
        <f aca="false">IF(D308="","?",IF(D308&lt;1912,"Qing",IF(D308&lt;1949,"Republic","PRC")))</f>
        <v>PRC</v>
      </c>
      <c r="H308" s="8" t="s">
        <v>2571</v>
      </c>
      <c r="I308" s="8"/>
      <c r="J308" s="9" t="s">
        <v>2572</v>
      </c>
      <c r="K308" s="8" t="s">
        <v>84</v>
      </c>
      <c r="L308" s="8"/>
      <c r="M308" s="8"/>
      <c r="N308" s="8"/>
      <c r="O308" s="8" t="s">
        <v>2573</v>
      </c>
      <c r="P308" s="8" t="s">
        <v>87</v>
      </c>
      <c r="Q308" s="8"/>
      <c r="R308" s="8"/>
      <c r="S308" s="8"/>
      <c r="T308" s="8"/>
      <c r="U308" s="8"/>
      <c r="V308" s="8"/>
      <c r="W308" s="8"/>
      <c r="X308" s="8"/>
      <c r="Y308" s="8"/>
      <c r="Z308" s="8"/>
      <c r="AA308" s="8"/>
      <c r="AB308" s="8"/>
      <c r="AC308" s="8"/>
      <c r="AD308" s="8"/>
      <c r="AE308" s="8"/>
      <c r="AF308" s="8"/>
      <c r="AG308" s="8"/>
      <c r="AH308" s="8"/>
      <c r="AI308" s="8" t="n">
        <v>0</v>
      </c>
      <c r="AJ308" s="8" t="n">
        <v>0</v>
      </c>
      <c r="AK308" s="8" t="n">
        <v>0</v>
      </c>
      <c r="AL308" s="8" t="n">
        <v>0</v>
      </c>
      <c r="AM308" s="8" t="n">
        <v>0</v>
      </c>
      <c r="AN308" s="8" t="n">
        <v>0</v>
      </c>
      <c r="AO308" s="8" t="n">
        <v>0</v>
      </c>
      <c r="AP308" s="8" t="n">
        <v>0</v>
      </c>
      <c r="AQ308" s="8" t="n">
        <v>0</v>
      </c>
      <c r="AR308" s="8" t="n">
        <v>0</v>
      </c>
      <c r="AS308" s="8" t="n">
        <v>0</v>
      </c>
      <c r="AT308" s="8" t="n">
        <v>0</v>
      </c>
      <c r="AU308" s="8" t="n">
        <v>0</v>
      </c>
      <c r="AV308" s="8" t="n">
        <v>0</v>
      </c>
      <c r="AW308" s="8" t="n">
        <v>0</v>
      </c>
      <c r="AX308" s="8" t="n">
        <v>0</v>
      </c>
      <c r="AY308" s="8" t="n">
        <v>0</v>
      </c>
      <c r="AZ308" s="8" t="n">
        <v>0</v>
      </c>
      <c r="BA308" s="8" t="n">
        <v>0</v>
      </c>
      <c r="BB308" s="8" t="n">
        <v>0</v>
      </c>
      <c r="BC308" s="8" t="n">
        <v>0</v>
      </c>
      <c r="BD308" s="8" t="n">
        <v>50</v>
      </c>
      <c r="BE308" s="8" t="n">
        <v>0</v>
      </c>
      <c r="BF308" s="8" t="n">
        <v>0</v>
      </c>
      <c r="BG308" s="10" t="s">
        <v>2574</v>
      </c>
      <c r="BH308" s="8"/>
    </row>
    <row r="309" customFormat="false" ht="15" hidden="false" customHeight="false" outlineLevel="0" collapsed="false">
      <c r="A309" s="8" t="s">
        <v>2575</v>
      </c>
      <c r="B309" s="8" t="s">
        <v>2576</v>
      </c>
      <c r="C309" s="8" t="n">
        <v>1</v>
      </c>
      <c r="D309" s="8" t="n">
        <v>1953</v>
      </c>
      <c r="E309" s="8" t="n">
        <v>1953</v>
      </c>
      <c r="F309" s="8" t="str">
        <f aca="false">IF(D309="","?",IF(D309&lt;1796,"pre-1796",IF(D309&lt;1912,"1796-1911",IF(D309&lt;1949,"1912-1948","1949+"))))</f>
        <v>1949+</v>
      </c>
      <c r="G309" s="8" t="str">
        <f aca="false">IF(D309="","?",IF(D309&lt;1912,"Qing",IF(D309&lt;1949,"Republic","PRC")))</f>
        <v>PRC</v>
      </c>
      <c r="H309" s="8" t="s">
        <v>2201</v>
      </c>
      <c r="I309" s="8"/>
      <c r="J309" s="9" t="s">
        <v>2577</v>
      </c>
      <c r="K309" s="8" t="s">
        <v>84</v>
      </c>
      <c r="L309" s="9" t="s">
        <v>2578</v>
      </c>
      <c r="M309" s="8"/>
      <c r="N309" s="8"/>
      <c r="O309" s="8" t="s">
        <v>2579</v>
      </c>
      <c r="P309" s="8" t="s">
        <v>114</v>
      </c>
      <c r="Q309" s="8"/>
      <c r="R309" s="8"/>
      <c r="S309" s="8"/>
      <c r="T309" s="8"/>
      <c r="U309" s="8"/>
      <c r="V309" s="8"/>
      <c r="W309" s="8"/>
      <c r="X309" s="8"/>
      <c r="Y309" s="9" t="s">
        <v>246</v>
      </c>
      <c r="Z309" s="8"/>
      <c r="AA309" s="8"/>
      <c r="AB309" s="8"/>
      <c r="AC309" s="8"/>
      <c r="AD309" s="8"/>
      <c r="AE309" s="9" t="s">
        <v>2580</v>
      </c>
      <c r="AF309" s="8"/>
      <c r="AG309" s="8"/>
      <c r="AH309" s="9" t="s">
        <v>2581</v>
      </c>
      <c r="AI309" s="8" t="n">
        <v>0</v>
      </c>
      <c r="AJ309" s="8" t="n">
        <v>0</v>
      </c>
      <c r="AK309" s="8" t="n">
        <v>0</v>
      </c>
      <c r="AL309" s="8" t="n">
        <v>0</v>
      </c>
      <c r="AM309" s="8" t="n">
        <v>0</v>
      </c>
      <c r="AN309" s="8" t="n">
        <v>0</v>
      </c>
      <c r="AO309" s="8" t="n">
        <v>0</v>
      </c>
      <c r="AP309" s="8" t="n">
        <v>0</v>
      </c>
      <c r="AQ309" s="8" t="n">
        <v>0</v>
      </c>
      <c r="AR309" s="8" t="n">
        <v>0</v>
      </c>
      <c r="AS309" s="8" t="n">
        <v>0</v>
      </c>
      <c r="AT309" s="8" t="n">
        <v>0</v>
      </c>
      <c r="AU309" s="8" t="n">
        <v>0</v>
      </c>
      <c r="AV309" s="8" t="n">
        <v>0</v>
      </c>
      <c r="AW309" s="8" t="n">
        <v>0</v>
      </c>
      <c r="AX309" s="8" t="n">
        <v>0</v>
      </c>
      <c r="AY309" s="8" t="n">
        <v>0</v>
      </c>
      <c r="AZ309" s="8" t="n">
        <v>0</v>
      </c>
      <c r="BA309" s="8" t="n">
        <v>0</v>
      </c>
      <c r="BB309" s="8" t="n">
        <v>0</v>
      </c>
      <c r="BC309" s="8" t="n">
        <v>500</v>
      </c>
      <c r="BD309" s="8" t="n">
        <v>3</v>
      </c>
      <c r="BE309" s="8" t="n">
        <v>0</v>
      </c>
      <c r="BF309" s="8" t="n">
        <v>0</v>
      </c>
      <c r="BG309" s="10" t="s">
        <v>2582</v>
      </c>
      <c r="BH309" s="9" t="s">
        <v>2583</v>
      </c>
    </row>
    <row r="310" customFormat="false" ht="15" hidden="false" customHeight="false" outlineLevel="0" collapsed="false">
      <c r="A310" s="8" t="s">
        <v>2584</v>
      </c>
      <c r="B310" s="8" t="s">
        <v>2585</v>
      </c>
      <c r="C310" s="8" t="n">
        <v>1</v>
      </c>
      <c r="D310" s="8" t="n">
        <v>1949</v>
      </c>
      <c r="E310" s="8" t="n">
        <v>1952</v>
      </c>
      <c r="F310" s="8" t="str">
        <f aca="false">IF(D310="","?",IF(D310&lt;1796,"pre-1796",IF(D310&lt;1912,"1796-1911",IF(D310&lt;1949,"1912-1948","1949+"))))</f>
        <v>1949+</v>
      </c>
      <c r="G310" s="8" t="str">
        <f aca="false">IF(D310="","?",IF(D310&lt;1912,"Qing",IF(D310&lt;1949,"Republic","PRC")))</f>
        <v>PRC</v>
      </c>
      <c r="H310" s="8" t="s">
        <v>2586</v>
      </c>
      <c r="I310" s="9" t="s">
        <v>2294</v>
      </c>
      <c r="J310" s="9" t="s">
        <v>2295</v>
      </c>
      <c r="K310" s="8" t="s">
        <v>84</v>
      </c>
      <c r="L310" s="8"/>
      <c r="M310" s="9" t="s">
        <v>2587</v>
      </c>
      <c r="N310" s="9" t="s">
        <v>2588</v>
      </c>
      <c r="O310" s="8" t="s">
        <v>2589</v>
      </c>
      <c r="P310" s="8" t="s">
        <v>87</v>
      </c>
      <c r="Q310" s="9" t="s">
        <v>2590</v>
      </c>
      <c r="R310" s="8"/>
      <c r="S310" s="8"/>
      <c r="T310" s="8"/>
      <c r="U310" s="9" t="s">
        <v>2591</v>
      </c>
      <c r="V310" s="8"/>
      <c r="W310" s="8"/>
      <c r="X310" s="8"/>
      <c r="Y310" s="8"/>
      <c r="Z310" s="9" t="s">
        <v>2592</v>
      </c>
      <c r="AA310" s="9" t="s">
        <v>2593</v>
      </c>
      <c r="AB310" s="8"/>
      <c r="AC310" s="8"/>
      <c r="AD310" s="8"/>
      <c r="AE310" s="8"/>
      <c r="AF310" s="8"/>
      <c r="AG310" s="8"/>
      <c r="AH310" s="8"/>
      <c r="AI310" s="8" t="n">
        <v>1</v>
      </c>
      <c r="AJ310" s="8" t="n">
        <v>1</v>
      </c>
      <c r="AK310" s="8" t="n">
        <v>1</v>
      </c>
      <c r="AL310" s="8" t="n">
        <v>1</v>
      </c>
      <c r="AM310" s="8" t="n">
        <v>1</v>
      </c>
      <c r="AN310" s="8" t="n">
        <v>1</v>
      </c>
      <c r="AO310" s="8" t="n">
        <v>1</v>
      </c>
      <c r="AP310" s="8" t="n">
        <v>0</v>
      </c>
      <c r="AQ310" s="8" t="n">
        <v>0</v>
      </c>
      <c r="AR310" s="8" t="n">
        <v>1</v>
      </c>
      <c r="AS310" s="8" t="n">
        <v>1</v>
      </c>
      <c r="AT310" s="8" t="n">
        <v>0</v>
      </c>
      <c r="AU310" s="8" t="n">
        <v>1</v>
      </c>
      <c r="AV310" s="8" t="n">
        <v>0</v>
      </c>
      <c r="AW310" s="8" t="n">
        <v>0</v>
      </c>
      <c r="AX310" s="8" t="n">
        <v>0</v>
      </c>
      <c r="AY310" s="8" t="n">
        <v>0</v>
      </c>
      <c r="AZ310" s="8" t="n">
        <v>0</v>
      </c>
      <c r="BA310" s="8" t="n">
        <v>0</v>
      </c>
      <c r="BB310" s="8" t="n">
        <v>0</v>
      </c>
      <c r="BC310" s="8" t="n">
        <v>310</v>
      </c>
      <c r="BD310" s="8" t="n">
        <v>0</v>
      </c>
      <c r="BE310" s="8" t="n">
        <v>0</v>
      </c>
      <c r="BF310" s="8" t="n">
        <v>0</v>
      </c>
      <c r="BG310" s="10" t="s">
        <v>2594</v>
      </c>
      <c r="BH310" s="9" t="s">
        <v>2595</v>
      </c>
    </row>
    <row r="311" customFormat="false" ht="15" hidden="false" customHeight="false" outlineLevel="0" collapsed="false">
      <c r="A311" s="8" t="s">
        <v>2596</v>
      </c>
      <c r="B311" s="8" t="s">
        <v>2585</v>
      </c>
      <c r="C311" s="8" t="n">
        <v>2</v>
      </c>
      <c r="D311" s="8" t="n">
        <v>1949</v>
      </c>
      <c r="E311" s="8" t="n">
        <v>1952</v>
      </c>
      <c r="F311" s="8" t="str">
        <f aca="false">IF(D311="","?",IF(D311&lt;1796,"pre-1796",IF(D311&lt;1912,"1796-1911",IF(D311&lt;1949,"1912-1948","1949+"))))</f>
        <v>1949+</v>
      </c>
      <c r="G311" s="8" t="str">
        <f aca="false">IF(D311="","?",IF(D311&lt;1912,"Qing",IF(D311&lt;1949,"Republic","PRC")))</f>
        <v>PRC</v>
      </c>
      <c r="H311" s="8" t="s">
        <v>2586</v>
      </c>
      <c r="I311" s="9" t="s">
        <v>2294</v>
      </c>
      <c r="J311" s="9" t="s">
        <v>2295</v>
      </c>
      <c r="K311" s="8" t="s">
        <v>84</v>
      </c>
      <c r="L311" s="8"/>
      <c r="M311" s="9" t="s">
        <v>2587</v>
      </c>
      <c r="N311" s="9" t="s">
        <v>2588</v>
      </c>
      <c r="O311" s="8" t="s">
        <v>2589</v>
      </c>
      <c r="P311" s="8" t="s">
        <v>114</v>
      </c>
      <c r="Q311" s="8"/>
      <c r="R311" s="8"/>
      <c r="S311" s="8"/>
      <c r="T311" s="8"/>
      <c r="U311" s="8"/>
      <c r="V311" s="8"/>
      <c r="W311" s="8"/>
      <c r="X311" s="8"/>
      <c r="Y311" s="8"/>
      <c r="Z311" s="8"/>
      <c r="AA311" s="8"/>
      <c r="AB311" s="8"/>
      <c r="AC311" s="8"/>
      <c r="AD311" s="8"/>
      <c r="AE311" s="9" t="s">
        <v>2597</v>
      </c>
      <c r="AF311" s="8"/>
      <c r="AG311" s="8"/>
      <c r="AH311" s="8"/>
      <c r="AI311" s="8" t="n">
        <v>0</v>
      </c>
      <c r="AJ311" s="8" t="n">
        <v>0</v>
      </c>
      <c r="AK311" s="8" t="n">
        <v>0</v>
      </c>
      <c r="AL311" s="8" t="n">
        <v>0</v>
      </c>
      <c r="AM311" s="8" t="n">
        <v>0</v>
      </c>
      <c r="AN311" s="8" t="n">
        <v>0</v>
      </c>
      <c r="AO311" s="8" t="n">
        <v>0</v>
      </c>
      <c r="AP311" s="8" t="n">
        <v>0</v>
      </c>
      <c r="AQ311" s="8" t="n">
        <v>0</v>
      </c>
      <c r="AR311" s="8" t="n">
        <v>0</v>
      </c>
      <c r="AS311" s="8" t="n">
        <v>0</v>
      </c>
      <c r="AT311" s="8" t="n">
        <v>0</v>
      </c>
      <c r="AU311" s="8" t="n">
        <v>0</v>
      </c>
      <c r="AV311" s="8" t="n">
        <v>0</v>
      </c>
      <c r="AW311" s="8" t="n">
        <v>0</v>
      </c>
      <c r="AX311" s="8" t="n">
        <v>0</v>
      </c>
      <c r="AY311" s="8" t="n">
        <v>0</v>
      </c>
      <c r="AZ311" s="8" t="n">
        <v>0</v>
      </c>
      <c r="BA311" s="8" t="n">
        <v>0</v>
      </c>
      <c r="BB311" s="8" t="n">
        <v>0</v>
      </c>
      <c r="BC311" s="8" t="n">
        <v>6</v>
      </c>
      <c r="BD311" s="8" t="n">
        <v>0</v>
      </c>
      <c r="BE311" s="8" t="n">
        <v>0</v>
      </c>
      <c r="BF311" s="8" t="n">
        <v>0</v>
      </c>
      <c r="BG311" s="10" t="s">
        <v>2594</v>
      </c>
      <c r="BH311" s="9" t="s">
        <v>2597</v>
      </c>
    </row>
    <row r="312" customFormat="false" ht="15" hidden="false" customHeight="false" outlineLevel="0" collapsed="false">
      <c r="A312" s="8" t="s">
        <v>2598</v>
      </c>
      <c r="B312" s="8" t="s">
        <v>2585</v>
      </c>
      <c r="C312" s="8" t="n">
        <v>3</v>
      </c>
      <c r="D312" s="8" t="n">
        <v>1949</v>
      </c>
      <c r="E312" s="8" t="n">
        <v>1952</v>
      </c>
      <c r="F312" s="8" t="str">
        <f aca="false">IF(D312="","?",IF(D312&lt;1796,"pre-1796",IF(D312&lt;1912,"1796-1911",IF(D312&lt;1949,"1912-1948","1949+"))))</f>
        <v>1949+</v>
      </c>
      <c r="G312" s="8" t="str">
        <f aca="false">IF(D312="","?",IF(D312&lt;1912,"Qing",IF(D312&lt;1949,"Republic","PRC")))</f>
        <v>PRC</v>
      </c>
      <c r="H312" s="8" t="s">
        <v>2586</v>
      </c>
      <c r="I312" s="9" t="s">
        <v>2294</v>
      </c>
      <c r="J312" s="9" t="s">
        <v>2295</v>
      </c>
      <c r="K312" s="8" t="s">
        <v>84</v>
      </c>
      <c r="L312" s="8"/>
      <c r="M312" s="9" t="s">
        <v>2587</v>
      </c>
      <c r="N312" s="9" t="s">
        <v>2588</v>
      </c>
      <c r="O312" s="8" t="s">
        <v>2589</v>
      </c>
      <c r="P312" s="8" t="s">
        <v>87</v>
      </c>
      <c r="Q312" s="8"/>
      <c r="R312" s="8"/>
      <c r="S312" s="8"/>
      <c r="T312" s="8"/>
      <c r="U312" s="8"/>
      <c r="V312" s="8"/>
      <c r="W312" s="8"/>
      <c r="X312" s="8"/>
      <c r="Y312" s="8"/>
      <c r="Z312" s="8"/>
      <c r="AA312" s="8"/>
      <c r="AB312" s="8"/>
      <c r="AC312" s="8"/>
      <c r="AD312" s="8"/>
      <c r="AE312" s="9" t="s">
        <v>2313</v>
      </c>
      <c r="AF312" s="8"/>
      <c r="AG312" s="8"/>
      <c r="AH312" s="8"/>
      <c r="AI312" s="8" t="n">
        <v>0</v>
      </c>
      <c r="AJ312" s="8" t="n">
        <v>0</v>
      </c>
      <c r="AK312" s="8" t="n">
        <v>0</v>
      </c>
      <c r="AL312" s="8" t="n">
        <v>0</v>
      </c>
      <c r="AM312" s="8" t="n">
        <v>0</v>
      </c>
      <c r="AN312" s="8" t="n">
        <v>0</v>
      </c>
      <c r="AO312" s="8" t="n">
        <v>0</v>
      </c>
      <c r="AP312" s="8" t="n">
        <v>0</v>
      </c>
      <c r="AQ312" s="8" t="n">
        <v>0</v>
      </c>
      <c r="AR312" s="8" t="n">
        <v>0</v>
      </c>
      <c r="AS312" s="8" t="n">
        <v>0</v>
      </c>
      <c r="AT312" s="8" t="n">
        <v>0</v>
      </c>
      <c r="AU312" s="8" t="n">
        <v>0</v>
      </c>
      <c r="AV312" s="8" t="n">
        <v>0</v>
      </c>
      <c r="AW312" s="8" t="n">
        <v>0</v>
      </c>
      <c r="AX312" s="8" t="n">
        <v>0</v>
      </c>
      <c r="AY312" s="8" t="n">
        <v>0</v>
      </c>
      <c r="AZ312" s="8" t="n">
        <v>0</v>
      </c>
      <c r="BA312" s="8" t="n">
        <v>0</v>
      </c>
      <c r="BB312" s="8" t="n">
        <v>0</v>
      </c>
      <c r="BC312" s="8" t="n">
        <v>135</v>
      </c>
      <c r="BD312" s="8" t="n">
        <v>0</v>
      </c>
      <c r="BE312" s="8" t="n">
        <v>0</v>
      </c>
      <c r="BF312" s="8" t="n">
        <v>0</v>
      </c>
      <c r="BG312" s="10" t="s">
        <v>2594</v>
      </c>
      <c r="BH312" s="9" t="s">
        <v>2599</v>
      </c>
    </row>
    <row r="313" customFormat="false" ht="15" hidden="false" customHeight="false" outlineLevel="0" collapsed="false">
      <c r="A313" s="8" t="s">
        <v>2600</v>
      </c>
      <c r="B313" s="8" t="s">
        <v>2601</v>
      </c>
      <c r="C313" s="8" t="n">
        <v>1</v>
      </c>
      <c r="D313" s="8"/>
      <c r="E313" s="8"/>
      <c r="F313" s="8" t="str">
        <f aca="false">IF(D313="","?",IF(D313&lt;1796,"pre-1796",IF(D313&lt;1912,"1796-1911",IF(D313&lt;1949,"1912-1948","1949+"))))</f>
        <v>?</v>
      </c>
      <c r="G313" s="8" t="str">
        <f aca="false">IF(D313="","?",IF(D313&lt;1912,"Qing",IF(D313&lt;1949,"Republic","PRC")))</f>
        <v>?</v>
      </c>
      <c r="H313" s="8"/>
      <c r="I313" s="8"/>
      <c r="J313" s="8"/>
      <c r="K313" s="8" t="s">
        <v>130</v>
      </c>
      <c r="L313" s="8"/>
      <c r="M313" s="9" t="s">
        <v>2602</v>
      </c>
      <c r="N313" s="9" t="s">
        <v>1816</v>
      </c>
      <c r="O313" s="8" t="s">
        <v>2603</v>
      </c>
      <c r="P313" s="8" t="s">
        <v>133</v>
      </c>
      <c r="Q313" s="9" t="s">
        <v>300</v>
      </c>
      <c r="R313" s="9" t="s">
        <v>2604</v>
      </c>
      <c r="S313" s="9" t="s">
        <v>2605</v>
      </c>
      <c r="T313" s="8"/>
      <c r="U313" s="9" t="s">
        <v>2606</v>
      </c>
      <c r="V313" s="8"/>
      <c r="W313" s="8"/>
      <c r="X313" s="8"/>
      <c r="Y313" s="9" t="s">
        <v>2607</v>
      </c>
      <c r="Z313" s="9" t="s">
        <v>2608</v>
      </c>
      <c r="AA313" s="9" t="s">
        <v>2609</v>
      </c>
      <c r="AB313" s="9" t="s">
        <v>2610</v>
      </c>
      <c r="AC313" s="8"/>
      <c r="AD313" s="8"/>
      <c r="AE313" s="8"/>
      <c r="AF313" s="8"/>
      <c r="AG313" s="8"/>
      <c r="AH313" s="8"/>
      <c r="AI313" s="8" t="n">
        <v>1</v>
      </c>
      <c r="AJ313" s="8" t="n">
        <v>0</v>
      </c>
      <c r="AK313" s="8" t="n">
        <v>0</v>
      </c>
      <c r="AL313" s="8" t="n">
        <v>0</v>
      </c>
      <c r="AM313" s="8" t="n">
        <v>1</v>
      </c>
      <c r="AN313" s="8" t="n">
        <v>1</v>
      </c>
      <c r="AO313" s="8" t="n">
        <v>1</v>
      </c>
      <c r="AP313" s="8" t="n">
        <v>1</v>
      </c>
      <c r="AQ313" s="8" t="n">
        <v>0</v>
      </c>
      <c r="AR313" s="8" t="n">
        <v>1</v>
      </c>
      <c r="AS313" s="8" t="n">
        <v>1</v>
      </c>
      <c r="AT313" s="8" t="n">
        <v>0</v>
      </c>
      <c r="AU313" s="8" t="n">
        <v>1</v>
      </c>
      <c r="AV313" s="8" t="n">
        <v>0</v>
      </c>
      <c r="AW313" s="8" t="n">
        <v>0</v>
      </c>
      <c r="AX313" s="8" t="n">
        <v>0</v>
      </c>
      <c r="AY313" s="8" t="n">
        <v>0</v>
      </c>
      <c r="AZ313" s="8" t="n">
        <v>0</v>
      </c>
      <c r="BA313" s="8" t="n">
        <v>1</v>
      </c>
      <c r="BB313" s="8" t="n">
        <v>0</v>
      </c>
      <c r="BC313" s="8" t="n">
        <v>747</v>
      </c>
      <c r="BD313" s="8" t="n">
        <v>0</v>
      </c>
      <c r="BE313" s="8" t="n">
        <v>0</v>
      </c>
      <c r="BF313" s="8" t="n">
        <v>0</v>
      </c>
      <c r="BG313" s="10" t="s">
        <v>2611</v>
      </c>
      <c r="BH313" s="9" t="s">
        <v>2612</v>
      </c>
    </row>
    <row r="314" customFormat="false" ht="15" hidden="false" customHeight="false" outlineLevel="0" collapsed="false">
      <c r="A314" s="8" t="s">
        <v>2613</v>
      </c>
      <c r="B314" s="8" t="s">
        <v>2614</v>
      </c>
      <c r="C314" s="8" t="n">
        <v>1</v>
      </c>
      <c r="D314" s="8" t="n">
        <v>1939</v>
      </c>
      <c r="E314" s="8" t="n">
        <v>1939</v>
      </c>
      <c r="F314" s="8" t="str">
        <f aca="false">IF(D314="","?",IF(D314&lt;1796,"pre-1796",IF(D314&lt;1912,"1796-1911",IF(D314&lt;1949,"1912-1948","1949+"))))</f>
        <v>1912-1948</v>
      </c>
      <c r="G314" s="8" t="str">
        <f aca="false">IF(D314="","?",IF(D314&lt;1912,"Qing",IF(D314&lt;1949,"Republic","PRC")))</f>
        <v>Republic</v>
      </c>
      <c r="H314" s="8" t="s">
        <v>2615</v>
      </c>
      <c r="I314" s="9" t="s">
        <v>466</v>
      </c>
      <c r="J314" s="9" t="s">
        <v>467</v>
      </c>
      <c r="K314" s="8" t="s">
        <v>84</v>
      </c>
      <c r="L314" s="9" t="s">
        <v>2616</v>
      </c>
      <c r="M314" s="8"/>
      <c r="N314" s="8"/>
      <c r="O314" s="8" t="s">
        <v>2617</v>
      </c>
      <c r="P314" s="8" t="s">
        <v>133</v>
      </c>
      <c r="Q314" s="9" t="s">
        <v>453</v>
      </c>
      <c r="R314" s="9" t="s">
        <v>2357</v>
      </c>
      <c r="S314" s="9" t="s">
        <v>2618</v>
      </c>
      <c r="T314" s="8"/>
      <c r="U314" s="9" t="s">
        <v>2619</v>
      </c>
      <c r="V314" s="8"/>
      <c r="W314" s="8"/>
      <c r="X314" s="9" t="s">
        <v>2620</v>
      </c>
      <c r="Y314" s="9" t="s">
        <v>306</v>
      </c>
      <c r="Z314" s="9" t="s">
        <v>2621</v>
      </c>
      <c r="AA314" s="8"/>
      <c r="AB314" s="8"/>
      <c r="AC314" s="8"/>
      <c r="AD314" s="9" t="s">
        <v>790</v>
      </c>
      <c r="AE314" s="8"/>
      <c r="AF314" s="8"/>
      <c r="AG314" s="8"/>
      <c r="AH314" s="8"/>
      <c r="AI314" s="8" t="n">
        <v>1</v>
      </c>
      <c r="AJ314" s="8" t="n">
        <v>0</v>
      </c>
      <c r="AK314" s="8" t="n">
        <v>1</v>
      </c>
      <c r="AL314" s="8" t="n">
        <v>1</v>
      </c>
      <c r="AM314" s="8" t="n">
        <v>1</v>
      </c>
      <c r="AN314" s="8" t="n">
        <v>1</v>
      </c>
      <c r="AO314" s="8" t="n">
        <v>1</v>
      </c>
      <c r="AP314" s="8" t="n">
        <v>1</v>
      </c>
      <c r="AQ314" s="8" t="n">
        <v>0</v>
      </c>
      <c r="AR314" s="8" t="n">
        <v>0</v>
      </c>
      <c r="AS314" s="8" t="n">
        <v>1</v>
      </c>
      <c r="AT314" s="8" t="n">
        <v>1</v>
      </c>
      <c r="AU314" s="8" t="n">
        <v>0</v>
      </c>
      <c r="AV314" s="8" t="n">
        <v>0</v>
      </c>
      <c r="AW314" s="8" t="n">
        <v>0</v>
      </c>
      <c r="AX314" s="8" t="n">
        <v>0</v>
      </c>
      <c r="AY314" s="8" t="n">
        <v>0</v>
      </c>
      <c r="AZ314" s="8" t="n">
        <v>0</v>
      </c>
      <c r="BA314" s="8" t="n">
        <v>0</v>
      </c>
      <c r="BB314" s="8" t="n">
        <v>0</v>
      </c>
      <c r="BC314" s="8" t="n">
        <v>478</v>
      </c>
      <c r="BD314" s="8" t="n">
        <v>2</v>
      </c>
      <c r="BE314" s="8" t="n">
        <v>0</v>
      </c>
      <c r="BF314" s="8" t="n">
        <v>0</v>
      </c>
      <c r="BG314" s="10" t="s">
        <v>2622</v>
      </c>
      <c r="BH314" s="9" t="s">
        <v>2623</v>
      </c>
    </row>
    <row r="315" customFormat="false" ht="15" hidden="false" customHeight="false" outlineLevel="0" collapsed="false">
      <c r="A315" s="8" t="s">
        <v>2624</v>
      </c>
      <c r="B315" s="8" t="s">
        <v>2614</v>
      </c>
      <c r="C315" s="8" t="n">
        <v>2</v>
      </c>
      <c r="D315" s="8" t="n">
        <v>1939</v>
      </c>
      <c r="E315" s="8" t="n">
        <v>1939</v>
      </c>
      <c r="F315" s="8" t="str">
        <f aca="false">IF(D315="","?",IF(D315&lt;1796,"pre-1796",IF(D315&lt;1912,"1796-1911",IF(D315&lt;1949,"1912-1948","1949+"))))</f>
        <v>1912-1948</v>
      </c>
      <c r="G315" s="8" t="str">
        <f aca="false">IF(D315="","?",IF(D315&lt;1912,"Qing",IF(D315&lt;1949,"Republic","PRC")))</f>
        <v>Republic</v>
      </c>
      <c r="H315" s="8" t="s">
        <v>2615</v>
      </c>
      <c r="I315" s="9" t="s">
        <v>466</v>
      </c>
      <c r="J315" s="9" t="s">
        <v>467</v>
      </c>
      <c r="K315" s="8" t="s">
        <v>84</v>
      </c>
      <c r="L315" s="9" t="s">
        <v>2616</v>
      </c>
      <c r="M315" s="8"/>
      <c r="N315" s="8"/>
      <c r="O315" s="8" t="s">
        <v>2617</v>
      </c>
      <c r="P315" s="8" t="s">
        <v>114</v>
      </c>
      <c r="Q315" s="9" t="s">
        <v>98</v>
      </c>
      <c r="R315" s="9" t="s">
        <v>2625</v>
      </c>
      <c r="S315" s="8"/>
      <c r="T315" s="8"/>
      <c r="U315" s="8"/>
      <c r="V315" s="8"/>
      <c r="W315" s="9" t="s">
        <v>2626</v>
      </c>
      <c r="X315" s="8"/>
      <c r="Y315" s="8"/>
      <c r="Z315" s="8"/>
      <c r="AA315" s="8"/>
      <c r="AB315" s="8"/>
      <c r="AC315" s="8"/>
      <c r="AD315" s="8"/>
      <c r="AE315" s="9" t="s">
        <v>2627</v>
      </c>
      <c r="AF315" s="9" t="s">
        <v>2015</v>
      </c>
      <c r="AG315" s="9" t="s">
        <v>2628</v>
      </c>
      <c r="AH315" s="9" t="s">
        <v>2629</v>
      </c>
      <c r="AI315" s="8" t="n">
        <v>0</v>
      </c>
      <c r="AJ315" s="8" t="n">
        <v>0</v>
      </c>
      <c r="AK315" s="8" t="n">
        <v>0</v>
      </c>
      <c r="AL315" s="8" t="n">
        <v>0</v>
      </c>
      <c r="AM315" s="8" t="n">
        <v>0</v>
      </c>
      <c r="AN315" s="8" t="n">
        <v>0</v>
      </c>
      <c r="AO315" s="8" t="n">
        <v>0</v>
      </c>
      <c r="AP315" s="8" t="n">
        <v>0</v>
      </c>
      <c r="AQ315" s="8" t="n">
        <v>0</v>
      </c>
      <c r="AR315" s="8" t="n">
        <v>0</v>
      </c>
      <c r="AS315" s="8" t="n">
        <v>0</v>
      </c>
      <c r="AT315" s="8" t="n">
        <v>1</v>
      </c>
      <c r="AU315" s="8" t="n">
        <v>0</v>
      </c>
      <c r="AV315" s="8" t="n">
        <v>0</v>
      </c>
      <c r="AW315" s="8" t="n">
        <v>0</v>
      </c>
      <c r="AX315" s="8" t="n">
        <v>0</v>
      </c>
      <c r="AY315" s="8" t="n">
        <v>0</v>
      </c>
      <c r="AZ315" s="8" t="n">
        <v>1</v>
      </c>
      <c r="BA315" s="8" t="n">
        <v>1</v>
      </c>
      <c r="BB315" s="8" t="n">
        <v>0</v>
      </c>
      <c r="BC315" s="8" t="n">
        <v>623</v>
      </c>
      <c r="BD315" s="8" t="n">
        <v>1</v>
      </c>
      <c r="BE315" s="8" t="n">
        <v>0</v>
      </c>
      <c r="BF315" s="8" t="n">
        <v>0</v>
      </c>
      <c r="BG315" s="10" t="s">
        <v>2622</v>
      </c>
      <c r="BH315" s="9" t="s">
        <v>2630</v>
      </c>
    </row>
    <row r="316" customFormat="false" ht="15" hidden="false" customHeight="false" outlineLevel="0" collapsed="false">
      <c r="A316" s="8" t="s">
        <v>2631</v>
      </c>
      <c r="B316" s="8" t="s">
        <v>2614</v>
      </c>
      <c r="C316" s="8" t="n">
        <v>3</v>
      </c>
      <c r="D316" s="8" t="n">
        <v>1939</v>
      </c>
      <c r="E316" s="8" t="n">
        <v>1939</v>
      </c>
      <c r="F316" s="8" t="str">
        <f aca="false">IF(D316="","?",IF(D316&lt;1796,"pre-1796",IF(D316&lt;1912,"1796-1911",IF(D316&lt;1949,"1912-1948","1949+"))))</f>
        <v>1912-1948</v>
      </c>
      <c r="G316" s="8" t="str">
        <f aca="false">IF(D316="","?",IF(D316&lt;1912,"Qing",IF(D316&lt;1949,"Republic","PRC")))</f>
        <v>Republic</v>
      </c>
      <c r="H316" s="8" t="s">
        <v>2615</v>
      </c>
      <c r="I316" s="9" t="s">
        <v>466</v>
      </c>
      <c r="J316" s="9" t="s">
        <v>467</v>
      </c>
      <c r="K316" s="8" t="s">
        <v>84</v>
      </c>
      <c r="L316" s="9" t="s">
        <v>2616</v>
      </c>
      <c r="M316" s="8"/>
      <c r="N316" s="8"/>
      <c r="O316" s="8" t="s">
        <v>2617</v>
      </c>
      <c r="P316" s="8" t="s">
        <v>114</v>
      </c>
      <c r="Q316" s="8"/>
      <c r="R316" s="9" t="s">
        <v>2632</v>
      </c>
      <c r="S316" s="8"/>
      <c r="T316" s="8"/>
      <c r="U316" s="8"/>
      <c r="V316" s="8"/>
      <c r="W316" s="8"/>
      <c r="X316" s="8"/>
      <c r="Y316" s="8"/>
      <c r="Z316" s="8"/>
      <c r="AA316" s="8"/>
      <c r="AB316" s="8"/>
      <c r="AC316" s="8"/>
      <c r="AD316" s="8"/>
      <c r="AE316" s="9" t="s">
        <v>2633</v>
      </c>
      <c r="AF316" s="9" t="s">
        <v>2634</v>
      </c>
      <c r="AG316" s="8"/>
      <c r="AH316" s="9" t="s">
        <v>2635</v>
      </c>
      <c r="AI316" s="8" t="n">
        <v>0</v>
      </c>
      <c r="AJ316" s="8" t="n">
        <v>0</v>
      </c>
      <c r="AK316" s="8" t="n">
        <v>0</v>
      </c>
      <c r="AL316" s="8" t="n">
        <v>0</v>
      </c>
      <c r="AM316" s="8" t="n">
        <v>0</v>
      </c>
      <c r="AN316" s="8" t="n">
        <v>0</v>
      </c>
      <c r="AO316" s="8" t="n">
        <v>0</v>
      </c>
      <c r="AP316" s="8" t="n">
        <v>0</v>
      </c>
      <c r="AQ316" s="8" t="n">
        <v>0</v>
      </c>
      <c r="AR316" s="8" t="n">
        <v>0</v>
      </c>
      <c r="AS316" s="8" t="n">
        <v>0</v>
      </c>
      <c r="AT316" s="8" t="n">
        <v>0</v>
      </c>
      <c r="AU316" s="8" t="n">
        <v>0</v>
      </c>
      <c r="AV316" s="8" t="n">
        <v>0</v>
      </c>
      <c r="AW316" s="8" t="n">
        <v>0</v>
      </c>
      <c r="AX316" s="8" t="n">
        <v>0</v>
      </c>
      <c r="AY316" s="8" t="n">
        <v>0</v>
      </c>
      <c r="AZ316" s="8" t="n">
        <v>0</v>
      </c>
      <c r="BA316" s="8" t="n">
        <v>1</v>
      </c>
      <c r="BB316" s="8" t="n">
        <v>0</v>
      </c>
      <c r="BC316" s="8" t="n">
        <v>107</v>
      </c>
      <c r="BD316" s="8" t="n">
        <v>1</v>
      </c>
      <c r="BE316" s="8" t="n">
        <v>0</v>
      </c>
      <c r="BF316" s="8" t="n">
        <v>0</v>
      </c>
      <c r="BG316" s="10" t="s">
        <v>2622</v>
      </c>
      <c r="BH316" s="9" t="s">
        <v>2636</v>
      </c>
    </row>
    <row r="317" customFormat="false" ht="15" hidden="false" customHeight="false" outlineLevel="0" collapsed="false">
      <c r="A317" s="8" t="s">
        <v>2637</v>
      </c>
      <c r="B317" s="8" t="s">
        <v>2638</v>
      </c>
      <c r="C317" s="8" t="n">
        <v>1</v>
      </c>
      <c r="D317" s="8" t="n">
        <v>1921</v>
      </c>
      <c r="E317" s="8" t="n">
        <v>1921</v>
      </c>
      <c r="F317" s="8" t="str">
        <f aca="false">IF(D317="","?",IF(D317&lt;1796,"pre-1796",IF(D317&lt;1912,"1796-1911",IF(D317&lt;1949,"1912-1948","1949+"))))</f>
        <v>1912-1948</v>
      </c>
      <c r="G317" s="8" t="str">
        <f aca="false">IF(D317="","?",IF(D317&lt;1912,"Qing",IF(D317&lt;1949,"Republic","PRC")))</f>
        <v>Republic</v>
      </c>
      <c r="H317" s="8" t="s">
        <v>1044</v>
      </c>
      <c r="I317" s="9" t="s">
        <v>128</v>
      </c>
      <c r="J317" s="9" t="s">
        <v>223</v>
      </c>
      <c r="K317" s="8" t="s">
        <v>84</v>
      </c>
      <c r="L317" s="8"/>
      <c r="M317" s="9" t="s">
        <v>2639</v>
      </c>
      <c r="N317" s="9" t="s">
        <v>2640</v>
      </c>
      <c r="O317" s="8" t="s">
        <v>2641</v>
      </c>
      <c r="P317" s="8" t="s">
        <v>133</v>
      </c>
      <c r="Q317" s="9" t="s">
        <v>367</v>
      </c>
      <c r="R317" s="9" t="s">
        <v>2642</v>
      </c>
      <c r="S317" s="9" t="s">
        <v>2639</v>
      </c>
      <c r="T317" s="8"/>
      <c r="U317" s="9" t="s">
        <v>2643</v>
      </c>
      <c r="V317" s="9" t="s">
        <v>2644</v>
      </c>
      <c r="W317" s="8"/>
      <c r="X317" s="9" t="s">
        <v>2645</v>
      </c>
      <c r="Y317" s="9" t="s">
        <v>372</v>
      </c>
      <c r="Z317" s="8"/>
      <c r="AA317" s="9" t="s">
        <v>2646</v>
      </c>
      <c r="AB317" s="9" t="s">
        <v>2647</v>
      </c>
      <c r="AC317" s="8"/>
      <c r="AD317" s="8"/>
      <c r="AE317" s="8"/>
      <c r="AF317" s="8"/>
      <c r="AG317" s="8"/>
      <c r="AH317" s="8"/>
      <c r="AI317" s="8" t="n">
        <v>1</v>
      </c>
      <c r="AJ317" s="8" t="n">
        <v>1</v>
      </c>
      <c r="AK317" s="8" t="n">
        <v>1</v>
      </c>
      <c r="AL317" s="8" t="n">
        <v>1</v>
      </c>
      <c r="AM317" s="8" t="n">
        <v>1</v>
      </c>
      <c r="AN317" s="8" t="n">
        <v>1</v>
      </c>
      <c r="AO317" s="8" t="n">
        <v>1</v>
      </c>
      <c r="AP317" s="8" t="n">
        <v>0</v>
      </c>
      <c r="AQ317" s="8" t="n">
        <v>1</v>
      </c>
      <c r="AR317" s="8" t="n">
        <v>0</v>
      </c>
      <c r="AS317" s="8" t="n">
        <v>1</v>
      </c>
      <c r="AT317" s="8" t="n">
        <v>0</v>
      </c>
      <c r="AU317" s="8" t="n">
        <v>0</v>
      </c>
      <c r="AV317" s="8" t="n">
        <v>0</v>
      </c>
      <c r="AW317" s="8" t="n">
        <v>0</v>
      </c>
      <c r="AX317" s="8" t="n">
        <v>0</v>
      </c>
      <c r="AY317" s="8" t="n">
        <v>0</v>
      </c>
      <c r="AZ317" s="8" t="n">
        <v>0</v>
      </c>
      <c r="BA317" s="8" t="n">
        <v>0</v>
      </c>
      <c r="BB317" s="8" t="n">
        <v>0</v>
      </c>
      <c r="BC317" s="8" t="n">
        <v>235</v>
      </c>
      <c r="BD317" s="8" t="n">
        <v>0</v>
      </c>
      <c r="BE317" s="8" t="n">
        <v>0</v>
      </c>
      <c r="BF317" s="8" t="n">
        <v>0</v>
      </c>
      <c r="BG317" s="10" t="s">
        <v>2648</v>
      </c>
      <c r="BH317" s="9" t="s">
        <v>2649</v>
      </c>
    </row>
    <row r="318" customFormat="false" ht="15" hidden="false" customHeight="false" outlineLevel="0" collapsed="false">
      <c r="A318" s="8" t="s">
        <v>2650</v>
      </c>
      <c r="B318" s="8" t="s">
        <v>2638</v>
      </c>
      <c r="C318" s="8" t="n">
        <v>2</v>
      </c>
      <c r="D318" s="8" t="n">
        <v>1921</v>
      </c>
      <c r="E318" s="8" t="n">
        <v>1921</v>
      </c>
      <c r="F318" s="8" t="str">
        <f aca="false">IF(D318="","?",IF(D318&lt;1796,"pre-1796",IF(D318&lt;1912,"1796-1911",IF(D318&lt;1949,"1912-1948","1949+"))))</f>
        <v>1912-1948</v>
      </c>
      <c r="G318" s="8" t="str">
        <f aca="false">IF(D318="","?",IF(D318&lt;1912,"Qing",IF(D318&lt;1949,"Republic","PRC")))</f>
        <v>Republic</v>
      </c>
      <c r="H318" s="8" t="s">
        <v>1044</v>
      </c>
      <c r="I318" s="9" t="s">
        <v>128</v>
      </c>
      <c r="J318" s="9" t="s">
        <v>223</v>
      </c>
      <c r="K318" s="8" t="s">
        <v>84</v>
      </c>
      <c r="L318" s="8"/>
      <c r="M318" s="9" t="s">
        <v>2639</v>
      </c>
      <c r="N318" s="9" t="s">
        <v>2640</v>
      </c>
      <c r="O318" s="8" t="s">
        <v>2641</v>
      </c>
      <c r="P318" s="8" t="s">
        <v>97</v>
      </c>
      <c r="Q318" s="9" t="s">
        <v>98</v>
      </c>
      <c r="R318" s="9" t="s">
        <v>2651</v>
      </c>
      <c r="S318" s="8"/>
      <c r="T318" s="8"/>
      <c r="U318" s="9" t="s">
        <v>2652</v>
      </c>
      <c r="V318" s="9" t="s">
        <v>229</v>
      </c>
      <c r="W318" s="9" t="s">
        <v>2653</v>
      </c>
      <c r="X318" s="8"/>
      <c r="Y318" s="8"/>
      <c r="Z318" s="8"/>
      <c r="AA318" s="8"/>
      <c r="AB318" s="8"/>
      <c r="AC318" s="8"/>
      <c r="AD318" s="8"/>
      <c r="AE318" s="9" t="s">
        <v>2654</v>
      </c>
      <c r="AF318" s="8"/>
      <c r="AG318" s="8"/>
      <c r="AH318" s="8"/>
      <c r="AI318" s="8" t="n">
        <v>0</v>
      </c>
      <c r="AJ318" s="8" t="n">
        <v>0</v>
      </c>
      <c r="AK318" s="8" t="n">
        <v>0</v>
      </c>
      <c r="AL318" s="8" t="n">
        <v>0</v>
      </c>
      <c r="AM318" s="8" t="n">
        <v>0</v>
      </c>
      <c r="AN318" s="8" t="n">
        <v>0</v>
      </c>
      <c r="AO318" s="8" t="n">
        <v>0</v>
      </c>
      <c r="AP318" s="8" t="n">
        <v>0</v>
      </c>
      <c r="AQ318" s="8" t="n">
        <v>0</v>
      </c>
      <c r="AR318" s="8" t="n">
        <v>0</v>
      </c>
      <c r="AS318" s="8" t="n">
        <v>1</v>
      </c>
      <c r="AT318" s="8" t="n">
        <v>1</v>
      </c>
      <c r="AU318" s="8" t="n">
        <v>0</v>
      </c>
      <c r="AV318" s="8" t="n">
        <v>0</v>
      </c>
      <c r="AW318" s="8" t="n">
        <v>0</v>
      </c>
      <c r="AX318" s="8" t="n">
        <v>0</v>
      </c>
      <c r="AY318" s="8" t="n">
        <v>0</v>
      </c>
      <c r="AZ318" s="8" t="n">
        <v>0</v>
      </c>
      <c r="BA318" s="8" t="n">
        <v>1</v>
      </c>
      <c r="BB318" s="8" t="n">
        <v>1</v>
      </c>
      <c r="BC318" s="8" t="n">
        <v>602</v>
      </c>
      <c r="BD318" s="8" t="n">
        <v>0</v>
      </c>
      <c r="BE318" s="8" t="n">
        <v>0</v>
      </c>
      <c r="BF318" s="8" t="n">
        <v>0</v>
      </c>
      <c r="BG318" s="10" t="s">
        <v>2648</v>
      </c>
      <c r="BH318" s="9" t="s">
        <v>2655</v>
      </c>
    </row>
    <row r="319" customFormat="false" ht="15" hidden="false" customHeight="false" outlineLevel="0" collapsed="false">
      <c r="A319" s="8" t="s">
        <v>2656</v>
      </c>
      <c r="B319" s="8" t="s">
        <v>2657</v>
      </c>
      <c r="C319" s="8" t="n">
        <v>1</v>
      </c>
      <c r="D319" s="8" t="n">
        <v>1659</v>
      </c>
      <c r="E319" s="8" t="n">
        <v>1659</v>
      </c>
      <c r="F319" s="8" t="str">
        <f aca="false">IF(D319="","?",IF(D319&lt;1796,"pre-1796",IF(D319&lt;1912,"1796-1911",IF(D319&lt;1949,"1912-1948","1949+"))))</f>
        <v>pre-1796</v>
      </c>
      <c r="G319" s="8" t="str">
        <f aca="false">IF(D319="","?",IF(D319&lt;1912,"Qing",IF(D319&lt;1949,"Republic","PRC")))</f>
        <v>Qing</v>
      </c>
      <c r="H319" s="8" t="s">
        <v>2658</v>
      </c>
      <c r="I319" s="8"/>
      <c r="J319" s="8"/>
      <c r="K319" s="8" t="s">
        <v>130</v>
      </c>
      <c r="L319" s="8"/>
      <c r="M319" s="9" t="s">
        <v>2659</v>
      </c>
      <c r="N319" s="8"/>
      <c r="O319" s="8" t="s">
        <v>2660</v>
      </c>
      <c r="P319" s="8" t="s">
        <v>133</v>
      </c>
      <c r="Q319" s="9" t="s">
        <v>453</v>
      </c>
      <c r="R319" s="8"/>
      <c r="S319" s="9" t="s">
        <v>2661</v>
      </c>
      <c r="T319" s="8"/>
      <c r="U319" s="8"/>
      <c r="V319" s="8"/>
      <c r="W319" s="9" t="s">
        <v>2662</v>
      </c>
      <c r="X319" s="8"/>
      <c r="Y319" s="9" t="s">
        <v>167</v>
      </c>
      <c r="Z319" s="8"/>
      <c r="AA319" s="9" t="s">
        <v>2663</v>
      </c>
      <c r="AB319" s="8"/>
      <c r="AC319" s="8"/>
      <c r="AD319" s="8"/>
      <c r="AE319" s="8"/>
      <c r="AF319" s="8"/>
      <c r="AG319" s="8"/>
      <c r="AH319" s="8"/>
      <c r="AI319" s="8" t="n">
        <v>0</v>
      </c>
      <c r="AJ319" s="8" t="n">
        <v>0</v>
      </c>
      <c r="AK319" s="8" t="n">
        <v>0</v>
      </c>
      <c r="AL319" s="8" t="n">
        <v>0</v>
      </c>
      <c r="AM319" s="8" t="n">
        <v>0</v>
      </c>
      <c r="AN319" s="8" t="n">
        <v>1</v>
      </c>
      <c r="AO319" s="8" t="n">
        <v>1</v>
      </c>
      <c r="AP319" s="8" t="n">
        <v>0</v>
      </c>
      <c r="AQ319" s="8" t="n">
        <v>0</v>
      </c>
      <c r="AR319" s="8" t="n">
        <v>0</v>
      </c>
      <c r="AS319" s="8" t="n">
        <v>1</v>
      </c>
      <c r="AT319" s="8" t="n">
        <v>0</v>
      </c>
      <c r="AU319" s="8" t="n">
        <v>0</v>
      </c>
      <c r="AV319" s="8" t="n">
        <v>0</v>
      </c>
      <c r="AW319" s="8" t="n">
        <v>0</v>
      </c>
      <c r="AX319" s="8" t="n">
        <v>0</v>
      </c>
      <c r="AY319" s="8" t="n">
        <v>0</v>
      </c>
      <c r="AZ319" s="8" t="n">
        <v>0</v>
      </c>
      <c r="BA319" s="8" t="n">
        <v>0</v>
      </c>
      <c r="BB319" s="8" t="n">
        <v>0</v>
      </c>
      <c r="BC319" s="8" t="n">
        <v>156</v>
      </c>
      <c r="BD319" s="8" t="n">
        <v>0</v>
      </c>
      <c r="BE319" s="8" t="n">
        <v>0</v>
      </c>
      <c r="BF319" s="8" t="n">
        <v>0</v>
      </c>
      <c r="BG319" s="10" t="s">
        <v>2664</v>
      </c>
      <c r="BH319" s="9" t="s">
        <v>2665</v>
      </c>
    </row>
    <row r="320" customFormat="false" ht="15" hidden="false" customHeight="false" outlineLevel="0" collapsed="false">
      <c r="A320" s="8" t="s">
        <v>2666</v>
      </c>
      <c r="B320" s="8" t="s">
        <v>2667</v>
      </c>
      <c r="C320" s="8" t="n">
        <v>1</v>
      </c>
      <c r="D320" s="8" t="n">
        <v>1678</v>
      </c>
      <c r="E320" s="8" t="n">
        <v>1678</v>
      </c>
      <c r="F320" s="8" t="str">
        <f aca="false">IF(D320="","?",IF(D320&lt;1796,"pre-1796",IF(D320&lt;1912,"1796-1911",IF(D320&lt;1949,"1912-1948","1949+"))))</f>
        <v>pre-1796</v>
      </c>
      <c r="G320" s="8" t="str">
        <f aca="false">IF(D320="","?",IF(D320&lt;1912,"Qing",IF(D320&lt;1949,"Republic","PRC")))</f>
        <v>Qing</v>
      </c>
      <c r="H320" s="8" t="s">
        <v>2668</v>
      </c>
      <c r="I320" s="8"/>
      <c r="J320" s="8"/>
      <c r="K320" s="8" t="s">
        <v>84</v>
      </c>
      <c r="L320" s="8"/>
      <c r="M320" s="9" t="s">
        <v>2669</v>
      </c>
      <c r="N320" s="8"/>
      <c r="O320" s="8" t="s">
        <v>2670</v>
      </c>
      <c r="P320" s="8" t="s">
        <v>133</v>
      </c>
      <c r="Q320" s="9" t="s">
        <v>453</v>
      </c>
      <c r="R320" s="9" t="s">
        <v>2671</v>
      </c>
      <c r="S320" s="9" t="s">
        <v>2672</v>
      </c>
      <c r="T320" s="8"/>
      <c r="U320" s="9" t="s">
        <v>2673</v>
      </c>
      <c r="V320" s="8"/>
      <c r="W320" s="8"/>
      <c r="X320" s="8"/>
      <c r="Y320" s="9" t="s">
        <v>246</v>
      </c>
      <c r="Z320" s="9" t="s">
        <v>2674</v>
      </c>
      <c r="AA320" s="9" t="s">
        <v>2675</v>
      </c>
      <c r="AB320" s="8"/>
      <c r="AC320" s="8"/>
      <c r="AD320" s="8"/>
      <c r="AE320" s="8"/>
      <c r="AF320" s="8"/>
      <c r="AG320" s="8"/>
      <c r="AH320" s="8"/>
      <c r="AI320" s="8" t="n">
        <v>0</v>
      </c>
      <c r="AJ320" s="8" t="n">
        <v>1</v>
      </c>
      <c r="AK320" s="8" t="n">
        <v>0</v>
      </c>
      <c r="AL320" s="8" t="n">
        <v>0</v>
      </c>
      <c r="AM320" s="8" t="n">
        <v>1</v>
      </c>
      <c r="AN320" s="8" t="n">
        <v>1</v>
      </c>
      <c r="AO320" s="8" t="n">
        <v>1</v>
      </c>
      <c r="AP320" s="8" t="n">
        <v>0</v>
      </c>
      <c r="AQ320" s="8" t="n">
        <v>1</v>
      </c>
      <c r="AR320" s="8" t="n">
        <v>0</v>
      </c>
      <c r="AS320" s="8" t="n">
        <v>1</v>
      </c>
      <c r="AT320" s="8" t="n">
        <v>0</v>
      </c>
      <c r="AU320" s="8" t="n">
        <v>0</v>
      </c>
      <c r="AV320" s="8" t="n">
        <v>0</v>
      </c>
      <c r="AW320" s="8" t="n">
        <v>0</v>
      </c>
      <c r="AX320" s="8" t="n">
        <v>0</v>
      </c>
      <c r="AY320" s="8" t="n">
        <v>0</v>
      </c>
      <c r="AZ320" s="8" t="n">
        <v>0</v>
      </c>
      <c r="BA320" s="8" t="n">
        <v>0</v>
      </c>
      <c r="BB320" s="8" t="n">
        <v>0</v>
      </c>
      <c r="BC320" s="8" t="n">
        <v>275</v>
      </c>
      <c r="BD320" s="8" t="n">
        <v>2</v>
      </c>
      <c r="BE320" s="8" t="n">
        <v>0</v>
      </c>
      <c r="BF320" s="8" t="n">
        <v>0</v>
      </c>
      <c r="BG320" s="10" t="s">
        <v>2676</v>
      </c>
      <c r="BH320" s="9" t="s">
        <v>2677</v>
      </c>
    </row>
    <row r="321" customFormat="false" ht="15" hidden="false" customHeight="false" outlineLevel="0" collapsed="false">
      <c r="A321" s="8" t="s">
        <v>2678</v>
      </c>
      <c r="B321" s="8" t="s">
        <v>2679</v>
      </c>
      <c r="C321" s="8" t="n">
        <v>1</v>
      </c>
      <c r="D321" s="8" t="n">
        <v>1869</v>
      </c>
      <c r="E321" s="8" t="n">
        <v>1869</v>
      </c>
      <c r="F321" s="8" t="str">
        <f aca="false">IF(D321="","?",IF(D321&lt;1796,"pre-1796",IF(D321&lt;1912,"1796-1911",IF(D321&lt;1949,"1912-1948","1949+"))))</f>
        <v>1796-1911</v>
      </c>
      <c r="G321" s="8" t="str">
        <f aca="false">IF(D321="","?",IF(D321&lt;1912,"Qing",IF(D321&lt;1949,"Republic","PRC")))</f>
        <v>Qing</v>
      </c>
      <c r="H321" s="8" t="s">
        <v>898</v>
      </c>
      <c r="I321" s="8"/>
      <c r="J321" s="8"/>
      <c r="K321" s="8" t="s">
        <v>130</v>
      </c>
      <c r="L321" s="8"/>
      <c r="M321" s="9" t="s">
        <v>2680</v>
      </c>
      <c r="N321" s="8"/>
      <c r="O321" s="8" t="s">
        <v>2681</v>
      </c>
      <c r="P321" s="8" t="s">
        <v>133</v>
      </c>
      <c r="Q321" s="9" t="s">
        <v>2682</v>
      </c>
      <c r="R321" s="9" t="s">
        <v>1129</v>
      </c>
      <c r="S321" s="9" t="s">
        <v>2680</v>
      </c>
      <c r="T321" s="8"/>
      <c r="U321" s="8"/>
      <c r="V321" s="9" t="s">
        <v>1471</v>
      </c>
      <c r="W321" s="9" t="s">
        <v>2683</v>
      </c>
      <c r="X321" s="8"/>
      <c r="Y321" s="9" t="s">
        <v>458</v>
      </c>
      <c r="Z321" s="9" t="s">
        <v>2684</v>
      </c>
      <c r="AA321" s="8"/>
      <c r="AB321" s="8"/>
      <c r="AC321" s="8"/>
      <c r="AD321" s="8"/>
      <c r="AE321" s="8"/>
      <c r="AF321" s="8"/>
      <c r="AG321" s="8"/>
      <c r="AH321" s="8"/>
      <c r="AI321" s="8" t="n">
        <v>1</v>
      </c>
      <c r="AJ321" s="8" t="n">
        <v>1</v>
      </c>
      <c r="AK321" s="8" t="n">
        <v>1</v>
      </c>
      <c r="AL321" s="8" t="n">
        <v>1</v>
      </c>
      <c r="AM321" s="8" t="n">
        <v>1</v>
      </c>
      <c r="AN321" s="8" t="n">
        <v>0</v>
      </c>
      <c r="AO321" s="8" t="n">
        <v>0</v>
      </c>
      <c r="AP321" s="8" t="n">
        <v>0</v>
      </c>
      <c r="AQ321" s="8" t="n">
        <v>0</v>
      </c>
      <c r="AR321" s="8" t="n">
        <v>0</v>
      </c>
      <c r="AS321" s="8" t="n">
        <v>1</v>
      </c>
      <c r="AT321" s="8" t="n">
        <v>1</v>
      </c>
      <c r="AU321" s="8" t="n">
        <v>1</v>
      </c>
      <c r="AV321" s="8" t="n">
        <v>0</v>
      </c>
      <c r="AW321" s="8" t="n">
        <v>0</v>
      </c>
      <c r="AX321" s="8" t="n">
        <v>0</v>
      </c>
      <c r="AY321" s="8" t="n">
        <v>0</v>
      </c>
      <c r="AZ321" s="8" t="n">
        <v>0</v>
      </c>
      <c r="BA321" s="8" t="n">
        <v>0</v>
      </c>
      <c r="BB321" s="8" t="n">
        <v>0</v>
      </c>
      <c r="BC321" s="8" t="n">
        <v>359</v>
      </c>
      <c r="BD321" s="8" t="n">
        <v>0</v>
      </c>
      <c r="BE321" s="8" t="n">
        <v>0</v>
      </c>
      <c r="BF321" s="8" t="n">
        <v>0</v>
      </c>
      <c r="BG321" s="10" t="s">
        <v>2685</v>
      </c>
      <c r="BH321" s="9" t="s">
        <v>2686</v>
      </c>
    </row>
    <row r="322" customFormat="false" ht="15" hidden="false" customHeight="false" outlineLevel="0" collapsed="false">
      <c r="A322" s="8" t="s">
        <v>2687</v>
      </c>
      <c r="B322" s="8" t="s">
        <v>2688</v>
      </c>
      <c r="C322" s="8" t="n">
        <v>1</v>
      </c>
      <c r="D322" s="8" t="n">
        <v>1952</v>
      </c>
      <c r="E322" s="8" t="n">
        <v>1952</v>
      </c>
      <c r="F322" s="8" t="str">
        <f aca="false">IF(D322="","?",IF(D322&lt;1796,"pre-1796",IF(D322&lt;1912,"1796-1911",IF(D322&lt;1949,"1912-1948","1949+"))))</f>
        <v>1949+</v>
      </c>
      <c r="G322" s="8" t="str">
        <f aca="false">IF(D322="","?",IF(D322&lt;1912,"Qing",IF(D322&lt;1949,"Republic","PRC")))</f>
        <v>PRC</v>
      </c>
      <c r="H322" s="8" t="s">
        <v>2185</v>
      </c>
      <c r="I322" s="9" t="s">
        <v>2294</v>
      </c>
      <c r="J322" s="9" t="s">
        <v>2295</v>
      </c>
      <c r="K322" s="8" t="s">
        <v>84</v>
      </c>
      <c r="L322" s="8"/>
      <c r="M322" s="9" t="s">
        <v>2689</v>
      </c>
      <c r="N322" s="8"/>
      <c r="O322" s="8" t="s">
        <v>2690</v>
      </c>
      <c r="P322" s="8" t="s">
        <v>133</v>
      </c>
      <c r="Q322" s="9" t="s">
        <v>300</v>
      </c>
      <c r="R322" s="8"/>
      <c r="S322" s="9" t="s">
        <v>2691</v>
      </c>
      <c r="T322" s="8"/>
      <c r="U322" s="8"/>
      <c r="V322" s="9" t="s">
        <v>2299</v>
      </c>
      <c r="W322" s="8"/>
      <c r="X322" s="8"/>
      <c r="Y322" s="8"/>
      <c r="Z322" s="8"/>
      <c r="AA322" s="9" t="s">
        <v>2692</v>
      </c>
      <c r="AB322" s="9" t="s">
        <v>2693</v>
      </c>
      <c r="AC322" s="8"/>
      <c r="AD322" s="8"/>
      <c r="AE322" s="8"/>
      <c r="AF322" s="8"/>
      <c r="AG322" s="8"/>
      <c r="AH322" s="8"/>
      <c r="AI322" s="8" t="n">
        <v>1</v>
      </c>
      <c r="AJ322" s="8" t="n">
        <v>1</v>
      </c>
      <c r="AK322" s="8" t="n">
        <v>1</v>
      </c>
      <c r="AL322" s="8" t="n">
        <v>1</v>
      </c>
      <c r="AM322" s="8" t="n">
        <v>0</v>
      </c>
      <c r="AN322" s="8" t="n">
        <v>1</v>
      </c>
      <c r="AO322" s="8" t="n">
        <v>1</v>
      </c>
      <c r="AP322" s="8" t="n">
        <v>0</v>
      </c>
      <c r="AQ322" s="8" t="n">
        <v>0</v>
      </c>
      <c r="AR322" s="8" t="n">
        <v>0</v>
      </c>
      <c r="AS322" s="8" t="n">
        <v>1</v>
      </c>
      <c r="AT322" s="8" t="n">
        <v>0</v>
      </c>
      <c r="AU322" s="8" t="n">
        <v>0</v>
      </c>
      <c r="AV322" s="8" t="n">
        <v>0</v>
      </c>
      <c r="AW322" s="8" t="n">
        <v>0</v>
      </c>
      <c r="AX322" s="8" t="n">
        <v>0</v>
      </c>
      <c r="AY322" s="8" t="n">
        <v>0</v>
      </c>
      <c r="AZ322" s="8" t="n">
        <v>0</v>
      </c>
      <c r="BA322" s="8" t="n">
        <v>0</v>
      </c>
      <c r="BB322" s="8" t="n">
        <v>0</v>
      </c>
      <c r="BC322" s="8" t="n">
        <v>340</v>
      </c>
      <c r="BD322" s="8" t="n">
        <v>0</v>
      </c>
      <c r="BE322" s="8" t="n">
        <v>0</v>
      </c>
      <c r="BF322" s="8" t="n">
        <v>0</v>
      </c>
      <c r="BG322" s="10" t="s">
        <v>2694</v>
      </c>
      <c r="BH322" s="9" t="s">
        <v>2695</v>
      </c>
    </row>
    <row r="323" customFormat="false" ht="15" hidden="false" customHeight="false" outlineLevel="0" collapsed="false">
      <c r="A323" s="8" t="s">
        <v>2696</v>
      </c>
      <c r="B323" s="8" t="s">
        <v>2688</v>
      </c>
      <c r="C323" s="8" t="n">
        <v>2</v>
      </c>
      <c r="D323" s="8" t="n">
        <v>1952</v>
      </c>
      <c r="E323" s="8" t="n">
        <v>1952</v>
      </c>
      <c r="F323" s="8" t="str">
        <f aca="false">IF(D323="","?",IF(D323&lt;1796,"pre-1796",IF(D323&lt;1912,"1796-1911",IF(D323&lt;1949,"1912-1948","1949+"))))</f>
        <v>1949+</v>
      </c>
      <c r="G323" s="8" t="str">
        <f aca="false">IF(D323="","?",IF(D323&lt;1912,"Qing",IF(D323&lt;1949,"Republic","PRC")))</f>
        <v>PRC</v>
      </c>
      <c r="H323" s="8" t="s">
        <v>2185</v>
      </c>
      <c r="I323" s="9" t="s">
        <v>2294</v>
      </c>
      <c r="J323" s="9" t="s">
        <v>2295</v>
      </c>
      <c r="K323" s="8" t="s">
        <v>84</v>
      </c>
      <c r="L323" s="8"/>
      <c r="M323" s="9" t="s">
        <v>2689</v>
      </c>
      <c r="N323" s="8"/>
      <c r="O323" s="8" t="s">
        <v>2690</v>
      </c>
      <c r="P323" s="8" t="s">
        <v>114</v>
      </c>
      <c r="Q323" s="9" t="s">
        <v>98</v>
      </c>
      <c r="R323" s="9" t="s">
        <v>2697</v>
      </c>
      <c r="S323" s="8"/>
      <c r="T323" s="8"/>
      <c r="U323" s="9" t="s">
        <v>2698</v>
      </c>
      <c r="V323" s="8"/>
      <c r="W323" s="9" t="s">
        <v>2699</v>
      </c>
      <c r="X323" s="8"/>
      <c r="Y323" s="8"/>
      <c r="Z323" s="8"/>
      <c r="AA323" s="8"/>
      <c r="AB323" s="8"/>
      <c r="AC323" s="8"/>
      <c r="AD323" s="8"/>
      <c r="AE323" s="9" t="s">
        <v>2405</v>
      </c>
      <c r="AF323" s="9" t="s">
        <v>429</v>
      </c>
      <c r="AG323" s="8"/>
      <c r="AH323" s="8"/>
      <c r="AI323" s="8" t="n">
        <v>0</v>
      </c>
      <c r="AJ323" s="8" t="n">
        <v>0</v>
      </c>
      <c r="AK323" s="8" t="n">
        <v>0</v>
      </c>
      <c r="AL323" s="8" t="n">
        <v>0</v>
      </c>
      <c r="AM323" s="8" t="n">
        <v>0</v>
      </c>
      <c r="AN323" s="8" t="n">
        <v>0</v>
      </c>
      <c r="AO323" s="8" t="n">
        <v>0</v>
      </c>
      <c r="AP323" s="8" t="n">
        <v>0</v>
      </c>
      <c r="AQ323" s="8" t="n">
        <v>0</v>
      </c>
      <c r="AR323" s="8" t="n">
        <v>0</v>
      </c>
      <c r="AS323" s="8" t="n">
        <v>0</v>
      </c>
      <c r="AT323" s="8" t="n">
        <v>0</v>
      </c>
      <c r="AU323" s="8" t="n">
        <v>0</v>
      </c>
      <c r="AV323" s="8" t="n">
        <v>0</v>
      </c>
      <c r="AW323" s="8" t="n">
        <v>0</v>
      </c>
      <c r="AX323" s="8" t="n">
        <v>0</v>
      </c>
      <c r="AY323" s="8" t="n">
        <v>0</v>
      </c>
      <c r="AZ323" s="8" t="n">
        <v>0</v>
      </c>
      <c r="BA323" s="8" t="n">
        <v>0</v>
      </c>
      <c r="BB323" s="8" t="n">
        <v>0</v>
      </c>
      <c r="BC323" s="8" t="n">
        <v>1011</v>
      </c>
      <c r="BD323" s="8" t="n">
        <v>0</v>
      </c>
      <c r="BE323" s="8" t="n">
        <v>0</v>
      </c>
      <c r="BF323" s="8" t="n">
        <v>0</v>
      </c>
      <c r="BG323" s="10" t="s">
        <v>2694</v>
      </c>
      <c r="BH323" s="9" t="s">
        <v>2700</v>
      </c>
    </row>
    <row r="324" customFormat="false" ht="15" hidden="false" customHeight="false" outlineLevel="0" collapsed="false">
      <c r="A324" s="8" t="s">
        <v>2701</v>
      </c>
      <c r="B324" s="8" t="s">
        <v>2688</v>
      </c>
      <c r="C324" s="8" t="n">
        <v>3</v>
      </c>
      <c r="D324" s="8" t="n">
        <v>1952</v>
      </c>
      <c r="E324" s="8" t="n">
        <v>1952</v>
      </c>
      <c r="F324" s="8" t="str">
        <f aca="false">IF(D324="","?",IF(D324&lt;1796,"pre-1796",IF(D324&lt;1912,"1796-1911",IF(D324&lt;1949,"1912-1948","1949+"))))</f>
        <v>1949+</v>
      </c>
      <c r="G324" s="8" t="str">
        <f aca="false">IF(D324="","?",IF(D324&lt;1912,"Qing",IF(D324&lt;1949,"Republic","PRC")))</f>
        <v>PRC</v>
      </c>
      <c r="H324" s="8" t="s">
        <v>2185</v>
      </c>
      <c r="I324" s="9" t="s">
        <v>2294</v>
      </c>
      <c r="J324" s="9" t="s">
        <v>2295</v>
      </c>
      <c r="K324" s="8" t="s">
        <v>84</v>
      </c>
      <c r="L324" s="8"/>
      <c r="M324" s="9" t="s">
        <v>2689</v>
      </c>
      <c r="N324" s="8"/>
      <c r="O324" s="8" t="s">
        <v>2690</v>
      </c>
      <c r="P324" s="8" t="s">
        <v>114</v>
      </c>
      <c r="Q324" s="8"/>
      <c r="R324" s="8"/>
      <c r="S324" s="8"/>
      <c r="T324" s="8"/>
      <c r="U324" s="8"/>
      <c r="V324" s="8"/>
      <c r="W324" s="8"/>
      <c r="X324" s="8"/>
      <c r="Y324" s="8"/>
      <c r="Z324" s="8"/>
      <c r="AA324" s="8"/>
      <c r="AB324" s="8"/>
      <c r="AC324" s="8"/>
      <c r="AD324" s="8"/>
      <c r="AE324" s="9" t="s">
        <v>2313</v>
      </c>
      <c r="AF324" s="8"/>
      <c r="AG324" s="8"/>
      <c r="AH324" s="9" t="s">
        <v>2702</v>
      </c>
      <c r="AI324" s="8" t="n">
        <v>0</v>
      </c>
      <c r="AJ324" s="8" t="n">
        <v>0</v>
      </c>
      <c r="AK324" s="8" t="n">
        <v>0</v>
      </c>
      <c r="AL324" s="8" t="n">
        <v>0</v>
      </c>
      <c r="AM324" s="8" t="n">
        <v>0</v>
      </c>
      <c r="AN324" s="8" t="n">
        <v>0</v>
      </c>
      <c r="AO324" s="8" t="n">
        <v>0</v>
      </c>
      <c r="AP324" s="8" t="n">
        <v>0</v>
      </c>
      <c r="AQ324" s="8" t="n">
        <v>0</v>
      </c>
      <c r="AR324" s="8" t="n">
        <v>0</v>
      </c>
      <c r="AS324" s="8" t="n">
        <v>0</v>
      </c>
      <c r="AT324" s="8" t="n">
        <v>0</v>
      </c>
      <c r="AU324" s="8" t="n">
        <v>0</v>
      </c>
      <c r="AV324" s="8" t="n">
        <v>0</v>
      </c>
      <c r="AW324" s="8" t="n">
        <v>0</v>
      </c>
      <c r="AX324" s="8" t="n">
        <v>0</v>
      </c>
      <c r="AY324" s="8" t="n">
        <v>0</v>
      </c>
      <c r="AZ324" s="8" t="n">
        <v>0</v>
      </c>
      <c r="BA324" s="8" t="n">
        <v>0</v>
      </c>
      <c r="BB324" s="8" t="n">
        <v>0</v>
      </c>
      <c r="BC324" s="8" t="n">
        <v>158</v>
      </c>
      <c r="BD324" s="8" t="n">
        <v>2</v>
      </c>
      <c r="BE324" s="8" t="n">
        <v>0</v>
      </c>
      <c r="BF324" s="8" t="n">
        <v>0</v>
      </c>
      <c r="BG324" s="10" t="s">
        <v>2694</v>
      </c>
      <c r="BH324" s="9" t="s">
        <v>2703</v>
      </c>
    </row>
    <row r="325" customFormat="false" ht="15" hidden="false" customHeight="false" outlineLevel="0" collapsed="false">
      <c r="A325" s="8" t="s">
        <v>2704</v>
      </c>
      <c r="B325" s="8" t="s">
        <v>2705</v>
      </c>
      <c r="C325" s="8" t="n">
        <v>1</v>
      </c>
      <c r="D325" s="8" t="n">
        <v>1952</v>
      </c>
      <c r="E325" s="8" t="n">
        <v>1952</v>
      </c>
      <c r="F325" s="8" t="str">
        <f aca="false">IF(D325="","?",IF(D325&lt;1796,"pre-1796",IF(D325&lt;1912,"1796-1911",IF(D325&lt;1949,"1912-1948","1949+"))))</f>
        <v>1949+</v>
      </c>
      <c r="G325" s="8" t="str">
        <f aca="false">IF(D325="","?",IF(D325&lt;1912,"Qing",IF(D325&lt;1949,"Republic","PRC")))</f>
        <v>PRC</v>
      </c>
      <c r="H325" s="8" t="s">
        <v>2185</v>
      </c>
      <c r="I325" s="9" t="s">
        <v>2294</v>
      </c>
      <c r="J325" s="9" t="s">
        <v>2295</v>
      </c>
      <c r="K325" s="8" t="s">
        <v>84</v>
      </c>
      <c r="L325" s="8"/>
      <c r="M325" s="9" t="s">
        <v>2706</v>
      </c>
      <c r="N325" s="8"/>
      <c r="O325" s="8" t="s">
        <v>2707</v>
      </c>
      <c r="P325" s="8" t="s">
        <v>133</v>
      </c>
      <c r="Q325" s="9" t="s">
        <v>2708</v>
      </c>
      <c r="R325" s="9" t="s">
        <v>2709</v>
      </c>
      <c r="S325" s="9" t="s">
        <v>2710</v>
      </c>
      <c r="T325" s="8"/>
      <c r="U325" s="8"/>
      <c r="V325" s="8"/>
      <c r="W325" s="8"/>
      <c r="X325" s="8"/>
      <c r="Y325" s="8"/>
      <c r="Z325" s="8"/>
      <c r="AA325" s="9" t="s">
        <v>2711</v>
      </c>
      <c r="AB325" s="9" t="s">
        <v>2712</v>
      </c>
      <c r="AC325" s="8"/>
      <c r="AD325" s="8"/>
      <c r="AE325" s="8"/>
      <c r="AF325" s="8"/>
      <c r="AG325" s="8"/>
      <c r="AH325" s="8"/>
      <c r="AI325" s="8" t="n">
        <v>0</v>
      </c>
      <c r="AJ325" s="8" t="n">
        <v>0</v>
      </c>
      <c r="AK325" s="8" t="n">
        <v>0</v>
      </c>
      <c r="AL325" s="8" t="n">
        <v>0</v>
      </c>
      <c r="AM325" s="8" t="n">
        <v>1</v>
      </c>
      <c r="AN325" s="8" t="n">
        <v>0</v>
      </c>
      <c r="AO325" s="8" t="n">
        <v>0</v>
      </c>
      <c r="AP325" s="8" t="n">
        <v>0</v>
      </c>
      <c r="AQ325" s="8" t="n">
        <v>0</v>
      </c>
      <c r="AR325" s="8" t="n">
        <v>0</v>
      </c>
      <c r="AS325" s="8" t="n">
        <v>0</v>
      </c>
      <c r="AT325" s="8" t="n">
        <v>0</v>
      </c>
      <c r="AU325" s="8" t="n">
        <v>0</v>
      </c>
      <c r="AV325" s="8" t="n">
        <v>0</v>
      </c>
      <c r="AW325" s="8" t="n">
        <v>0</v>
      </c>
      <c r="AX325" s="8" t="n">
        <v>0</v>
      </c>
      <c r="AY325" s="8" t="n">
        <v>0</v>
      </c>
      <c r="AZ325" s="8" t="n">
        <v>0</v>
      </c>
      <c r="BA325" s="8" t="n">
        <v>0</v>
      </c>
      <c r="BB325" s="8" t="n">
        <v>0</v>
      </c>
      <c r="BC325" s="8" t="n">
        <v>66</v>
      </c>
      <c r="BD325" s="8" t="n">
        <v>0</v>
      </c>
      <c r="BE325" s="8" t="n">
        <v>0</v>
      </c>
      <c r="BF325" s="8" t="n">
        <v>0</v>
      </c>
      <c r="BG325" s="10" t="s">
        <v>2713</v>
      </c>
      <c r="BH325" s="9" t="s">
        <v>2714</v>
      </c>
    </row>
    <row r="326" customFormat="false" ht="15" hidden="false" customHeight="false" outlineLevel="0" collapsed="false">
      <c r="A326" s="8" t="s">
        <v>2715</v>
      </c>
      <c r="B326" s="8" t="s">
        <v>2705</v>
      </c>
      <c r="C326" s="8" t="n">
        <v>2</v>
      </c>
      <c r="D326" s="8" t="n">
        <v>1952</v>
      </c>
      <c r="E326" s="8" t="n">
        <v>1952</v>
      </c>
      <c r="F326" s="8" t="str">
        <f aca="false">IF(D326="","?",IF(D326&lt;1796,"pre-1796",IF(D326&lt;1912,"1796-1911",IF(D326&lt;1949,"1912-1948","1949+"))))</f>
        <v>1949+</v>
      </c>
      <c r="G326" s="8" t="str">
        <f aca="false">IF(D326="","?",IF(D326&lt;1912,"Qing",IF(D326&lt;1949,"Republic","PRC")))</f>
        <v>PRC</v>
      </c>
      <c r="H326" s="8" t="s">
        <v>2185</v>
      </c>
      <c r="I326" s="9" t="s">
        <v>2294</v>
      </c>
      <c r="J326" s="9" t="s">
        <v>2295</v>
      </c>
      <c r="K326" s="8" t="s">
        <v>84</v>
      </c>
      <c r="L326" s="8"/>
      <c r="M326" s="9" t="s">
        <v>2706</v>
      </c>
      <c r="N326" s="8"/>
      <c r="O326" s="8" t="s">
        <v>2707</v>
      </c>
      <c r="P326" s="8" t="s">
        <v>114</v>
      </c>
      <c r="Q326" s="8"/>
      <c r="R326" s="8"/>
      <c r="S326" s="8"/>
      <c r="T326" s="8"/>
      <c r="U326" s="8"/>
      <c r="V326" s="8"/>
      <c r="W326" s="8"/>
      <c r="X326" s="8"/>
      <c r="Y326" s="8"/>
      <c r="Z326" s="8"/>
      <c r="AA326" s="8"/>
      <c r="AB326" s="8"/>
      <c r="AC326" s="8"/>
      <c r="AD326" s="8"/>
      <c r="AE326" s="9" t="s">
        <v>2597</v>
      </c>
      <c r="AF326" s="8"/>
      <c r="AG326" s="8"/>
      <c r="AH326" s="8"/>
      <c r="AI326" s="8" t="n">
        <v>0</v>
      </c>
      <c r="AJ326" s="8" t="n">
        <v>0</v>
      </c>
      <c r="AK326" s="8" t="n">
        <v>0</v>
      </c>
      <c r="AL326" s="8" t="n">
        <v>0</v>
      </c>
      <c r="AM326" s="8" t="n">
        <v>0</v>
      </c>
      <c r="AN326" s="8" t="n">
        <v>0</v>
      </c>
      <c r="AO326" s="8" t="n">
        <v>0</v>
      </c>
      <c r="AP326" s="8" t="n">
        <v>0</v>
      </c>
      <c r="AQ326" s="8" t="n">
        <v>0</v>
      </c>
      <c r="AR326" s="8" t="n">
        <v>0</v>
      </c>
      <c r="AS326" s="8" t="n">
        <v>0</v>
      </c>
      <c r="AT326" s="8" t="n">
        <v>0</v>
      </c>
      <c r="AU326" s="8" t="n">
        <v>0</v>
      </c>
      <c r="AV326" s="8" t="n">
        <v>0</v>
      </c>
      <c r="AW326" s="8" t="n">
        <v>0</v>
      </c>
      <c r="AX326" s="8" t="n">
        <v>0</v>
      </c>
      <c r="AY326" s="8" t="n">
        <v>0</v>
      </c>
      <c r="AZ326" s="8" t="n">
        <v>0</v>
      </c>
      <c r="BA326" s="8" t="n">
        <v>0</v>
      </c>
      <c r="BB326" s="8" t="n">
        <v>0</v>
      </c>
      <c r="BC326" s="8" t="n">
        <v>6</v>
      </c>
      <c r="BD326" s="8" t="n">
        <v>0</v>
      </c>
      <c r="BE326" s="8" t="n">
        <v>0</v>
      </c>
      <c r="BF326" s="8" t="n">
        <v>0</v>
      </c>
      <c r="BG326" s="10" t="s">
        <v>2713</v>
      </c>
      <c r="BH326" s="9" t="s">
        <v>2597</v>
      </c>
    </row>
    <row r="327" customFormat="false" ht="15" hidden="false" customHeight="false" outlineLevel="0" collapsed="false">
      <c r="A327" s="8" t="s">
        <v>2716</v>
      </c>
      <c r="B327" s="8" t="s">
        <v>2717</v>
      </c>
      <c r="C327" s="8" t="n">
        <v>1</v>
      </c>
      <c r="D327" s="8" t="n">
        <v>1916</v>
      </c>
      <c r="E327" s="8" t="n">
        <v>1916</v>
      </c>
      <c r="F327" s="8" t="str">
        <f aca="false">IF(D327="","?",IF(D327&lt;1796,"pre-1796",IF(D327&lt;1912,"1796-1911",IF(D327&lt;1949,"1912-1948","1949+"))))</f>
        <v>1912-1948</v>
      </c>
      <c r="G327" s="8" t="str">
        <f aca="false">IF(D327="","?",IF(D327&lt;1912,"Qing",IF(D327&lt;1949,"Republic","PRC")))</f>
        <v>Republic</v>
      </c>
      <c r="H327" s="8" t="s">
        <v>2718</v>
      </c>
      <c r="I327" s="9" t="s">
        <v>296</v>
      </c>
      <c r="J327" s="9" t="s">
        <v>297</v>
      </c>
      <c r="K327" s="8" t="s">
        <v>84</v>
      </c>
      <c r="L327" s="8"/>
      <c r="M327" s="9" t="s">
        <v>2719</v>
      </c>
      <c r="N327" s="8"/>
      <c r="O327" s="8" t="s">
        <v>2720</v>
      </c>
      <c r="P327" s="8" t="s">
        <v>133</v>
      </c>
      <c r="Q327" s="9" t="s">
        <v>300</v>
      </c>
      <c r="R327" s="9" t="s">
        <v>1370</v>
      </c>
      <c r="S327" s="8"/>
      <c r="T327" s="9" t="s">
        <v>2721</v>
      </c>
      <c r="U327" s="9" t="s">
        <v>2722</v>
      </c>
      <c r="V327" s="9" t="s">
        <v>1750</v>
      </c>
      <c r="W327" s="9" t="s">
        <v>2723</v>
      </c>
      <c r="X327" s="8"/>
      <c r="Y327" s="9" t="s">
        <v>2724</v>
      </c>
      <c r="Z327" s="9" t="s">
        <v>2725</v>
      </c>
      <c r="AA327" s="8"/>
      <c r="AB327" s="9" t="s">
        <v>2726</v>
      </c>
      <c r="AC327" s="8"/>
      <c r="AD327" s="8"/>
      <c r="AE327" s="8"/>
      <c r="AF327" s="8"/>
      <c r="AG327" s="8"/>
      <c r="AH327" s="8"/>
      <c r="AI327" s="8" t="n">
        <v>0</v>
      </c>
      <c r="AJ327" s="8" t="n">
        <v>0</v>
      </c>
      <c r="AK327" s="8" t="n">
        <v>1</v>
      </c>
      <c r="AL327" s="8" t="n">
        <v>1</v>
      </c>
      <c r="AM327" s="8" t="n">
        <v>1</v>
      </c>
      <c r="AN327" s="8" t="n">
        <v>1</v>
      </c>
      <c r="AO327" s="8" t="n">
        <v>1</v>
      </c>
      <c r="AP327" s="8" t="n">
        <v>1</v>
      </c>
      <c r="AQ327" s="8" t="n">
        <v>0</v>
      </c>
      <c r="AR327" s="8" t="n">
        <v>0</v>
      </c>
      <c r="AS327" s="8" t="n">
        <v>1</v>
      </c>
      <c r="AT327" s="8" t="n">
        <v>0</v>
      </c>
      <c r="AU327" s="8" t="n">
        <v>0</v>
      </c>
      <c r="AV327" s="8" t="n">
        <v>0</v>
      </c>
      <c r="AW327" s="8" t="n">
        <v>0</v>
      </c>
      <c r="AX327" s="8" t="n">
        <v>0</v>
      </c>
      <c r="AY327" s="8" t="n">
        <v>0</v>
      </c>
      <c r="AZ327" s="8" t="n">
        <v>0</v>
      </c>
      <c r="BA327" s="8" t="n">
        <v>0</v>
      </c>
      <c r="BB327" s="8" t="n">
        <v>0</v>
      </c>
      <c r="BC327" s="8" t="n">
        <v>306</v>
      </c>
      <c r="BD327" s="8" t="n">
        <v>0</v>
      </c>
      <c r="BE327" s="8" t="n">
        <v>0</v>
      </c>
      <c r="BF327" s="8" t="n">
        <v>0</v>
      </c>
      <c r="BG327" s="10" t="s">
        <v>2727</v>
      </c>
      <c r="BH327" s="9" t="s">
        <v>2728</v>
      </c>
    </row>
    <row r="328" customFormat="false" ht="15" hidden="false" customHeight="false" outlineLevel="0" collapsed="false">
      <c r="A328" s="8" t="s">
        <v>2729</v>
      </c>
      <c r="B328" s="8" t="s">
        <v>2717</v>
      </c>
      <c r="C328" s="8" t="n">
        <v>2</v>
      </c>
      <c r="D328" s="8" t="n">
        <v>1916</v>
      </c>
      <c r="E328" s="8" t="n">
        <v>1916</v>
      </c>
      <c r="F328" s="8" t="str">
        <f aca="false">IF(D328="","?",IF(D328&lt;1796,"pre-1796",IF(D328&lt;1912,"1796-1911",IF(D328&lt;1949,"1912-1948","1949+"))))</f>
        <v>1912-1948</v>
      </c>
      <c r="G328" s="8" t="str">
        <f aca="false">IF(D328="","?",IF(D328&lt;1912,"Qing",IF(D328&lt;1949,"Republic","PRC")))</f>
        <v>Republic</v>
      </c>
      <c r="H328" s="8" t="s">
        <v>2718</v>
      </c>
      <c r="I328" s="9" t="s">
        <v>296</v>
      </c>
      <c r="J328" s="9" t="s">
        <v>297</v>
      </c>
      <c r="K328" s="8" t="s">
        <v>84</v>
      </c>
      <c r="L328" s="8"/>
      <c r="M328" s="9" t="s">
        <v>2719</v>
      </c>
      <c r="N328" s="8"/>
      <c r="O328" s="8" t="s">
        <v>2720</v>
      </c>
      <c r="P328" s="8" t="s">
        <v>114</v>
      </c>
      <c r="Q328" s="8"/>
      <c r="R328" s="9" t="s">
        <v>2730</v>
      </c>
      <c r="S328" s="8"/>
      <c r="T328" s="8"/>
      <c r="U328" s="9" t="s">
        <v>2731</v>
      </c>
      <c r="V328" s="9" t="s">
        <v>396</v>
      </c>
      <c r="W328" s="9" t="s">
        <v>2732</v>
      </c>
      <c r="X328" s="9" t="s">
        <v>2733</v>
      </c>
      <c r="Y328" s="8"/>
      <c r="Z328" s="9" t="s">
        <v>2734</v>
      </c>
      <c r="AA328" s="8"/>
      <c r="AB328" s="8"/>
      <c r="AC328" s="8"/>
      <c r="AD328" s="8"/>
      <c r="AE328" s="9" t="s">
        <v>2735</v>
      </c>
      <c r="AF328" s="9" t="s">
        <v>120</v>
      </c>
      <c r="AG328" s="9" t="s">
        <v>2719</v>
      </c>
      <c r="AH328" s="9" t="s">
        <v>2736</v>
      </c>
      <c r="AI328" s="8" t="n">
        <v>0</v>
      </c>
      <c r="AJ328" s="8" t="n">
        <v>0</v>
      </c>
      <c r="AK328" s="8" t="n">
        <v>0</v>
      </c>
      <c r="AL328" s="8" t="n">
        <v>0</v>
      </c>
      <c r="AM328" s="8" t="n">
        <v>0</v>
      </c>
      <c r="AN328" s="8" t="n">
        <v>0</v>
      </c>
      <c r="AO328" s="8" t="n">
        <v>0</v>
      </c>
      <c r="AP328" s="8" t="n">
        <v>0</v>
      </c>
      <c r="AQ328" s="8" t="n">
        <v>0</v>
      </c>
      <c r="AR328" s="8" t="n">
        <v>0</v>
      </c>
      <c r="AS328" s="8" t="n">
        <v>0</v>
      </c>
      <c r="AT328" s="8" t="n">
        <v>0</v>
      </c>
      <c r="AU328" s="8" t="n">
        <v>0</v>
      </c>
      <c r="AV328" s="8" t="n">
        <v>0</v>
      </c>
      <c r="AW328" s="8" t="n">
        <v>1</v>
      </c>
      <c r="AX328" s="8" t="n">
        <v>1</v>
      </c>
      <c r="AY328" s="8" t="n">
        <v>1</v>
      </c>
      <c r="AZ328" s="8" t="n">
        <v>1</v>
      </c>
      <c r="BA328" s="8" t="n">
        <v>0</v>
      </c>
      <c r="BB328" s="8" t="n">
        <v>0</v>
      </c>
      <c r="BC328" s="8" t="n">
        <v>395</v>
      </c>
      <c r="BD328" s="8" t="n">
        <v>3</v>
      </c>
      <c r="BE328" s="8" t="n">
        <v>0</v>
      </c>
      <c r="BF328" s="8" t="n">
        <v>1</v>
      </c>
      <c r="BG328" s="10" t="s">
        <v>2727</v>
      </c>
      <c r="BH328" s="9" t="s">
        <v>2737</v>
      </c>
    </row>
    <row r="329" customFormat="false" ht="15" hidden="false" customHeight="false" outlineLevel="0" collapsed="false">
      <c r="A329" s="8" t="s">
        <v>2738</v>
      </c>
      <c r="B329" s="8" t="s">
        <v>2739</v>
      </c>
      <c r="C329" s="8" t="n">
        <v>1</v>
      </c>
      <c r="D329" s="8" t="n">
        <v>1949</v>
      </c>
      <c r="E329" s="8" t="n">
        <v>1949</v>
      </c>
      <c r="F329" s="8" t="str">
        <f aca="false">IF(D329="","?",IF(D329&lt;1796,"pre-1796",IF(D329&lt;1912,"1796-1911",IF(D329&lt;1949,"1912-1948","1949+"))))</f>
        <v>1949+</v>
      </c>
      <c r="G329" s="8" t="str">
        <f aca="false">IF(D329="","?",IF(D329&lt;1912,"Qing",IF(D329&lt;1949,"Republic","PRC")))</f>
        <v>PRC</v>
      </c>
      <c r="H329" s="8" t="s">
        <v>2571</v>
      </c>
      <c r="I329" s="8"/>
      <c r="J329" s="9" t="s">
        <v>2740</v>
      </c>
      <c r="K329" s="8" t="s">
        <v>84</v>
      </c>
      <c r="L329" s="9" t="s">
        <v>2741</v>
      </c>
      <c r="M329" s="8"/>
      <c r="N329" s="8"/>
      <c r="O329" s="8" t="s">
        <v>2742</v>
      </c>
      <c r="P329" s="8" t="s">
        <v>114</v>
      </c>
      <c r="Q329" s="8"/>
      <c r="R329" s="9" t="s">
        <v>2743</v>
      </c>
      <c r="S329" s="8"/>
      <c r="T329" s="8"/>
      <c r="U329" s="8"/>
      <c r="V329" s="8"/>
      <c r="W329" s="8"/>
      <c r="X329" s="8"/>
      <c r="Y329" s="8"/>
      <c r="Z329" s="8"/>
      <c r="AA329" s="8"/>
      <c r="AB329" s="8"/>
      <c r="AC329" s="8"/>
      <c r="AD329" s="8"/>
      <c r="AE329" s="9" t="s">
        <v>2744</v>
      </c>
      <c r="AF329" s="8"/>
      <c r="AG329" s="8"/>
      <c r="AH329" s="9" t="s">
        <v>2745</v>
      </c>
      <c r="AI329" s="8" t="n">
        <v>0</v>
      </c>
      <c r="AJ329" s="8" t="n">
        <v>0</v>
      </c>
      <c r="AK329" s="8" t="n">
        <v>0</v>
      </c>
      <c r="AL329" s="8" t="n">
        <v>0</v>
      </c>
      <c r="AM329" s="8" t="n">
        <v>0</v>
      </c>
      <c r="AN329" s="8" t="n">
        <v>0</v>
      </c>
      <c r="AO329" s="8" t="n">
        <v>0</v>
      </c>
      <c r="AP329" s="8" t="n">
        <v>0</v>
      </c>
      <c r="AQ329" s="8" t="n">
        <v>0</v>
      </c>
      <c r="AR329" s="8" t="n">
        <v>0</v>
      </c>
      <c r="AS329" s="8" t="n">
        <v>0</v>
      </c>
      <c r="AT329" s="8" t="n">
        <v>0</v>
      </c>
      <c r="AU329" s="8" t="n">
        <v>0</v>
      </c>
      <c r="AV329" s="8" t="n">
        <v>0</v>
      </c>
      <c r="AW329" s="8" t="n">
        <v>0</v>
      </c>
      <c r="AX329" s="8" t="n">
        <v>0</v>
      </c>
      <c r="AY329" s="8" t="n">
        <v>0</v>
      </c>
      <c r="AZ329" s="8" t="n">
        <v>0</v>
      </c>
      <c r="BA329" s="8" t="n">
        <v>0</v>
      </c>
      <c r="BB329" s="8" t="n">
        <v>0</v>
      </c>
      <c r="BC329" s="8" t="n">
        <v>226</v>
      </c>
      <c r="BD329" s="8" t="n">
        <v>3</v>
      </c>
      <c r="BE329" s="8" t="n">
        <v>0</v>
      </c>
      <c r="BF329" s="8" t="n">
        <v>0</v>
      </c>
      <c r="BG329" s="10" t="s">
        <v>2746</v>
      </c>
      <c r="BH329" s="9" t="s">
        <v>2747</v>
      </c>
    </row>
    <row r="330" customFormat="false" ht="15" hidden="false" customHeight="false" outlineLevel="0" collapsed="false">
      <c r="A330" s="8" t="s">
        <v>2748</v>
      </c>
      <c r="B330" s="8" t="s">
        <v>2749</v>
      </c>
      <c r="C330" s="8" t="n">
        <v>1</v>
      </c>
      <c r="D330" s="8" t="n">
        <v>1584</v>
      </c>
      <c r="E330" s="8" t="n">
        <v>1584</v>
      </c>
      <c r="F330" s="8" t="str">
        <f aca="false">IF(D330="","?",IF(D330&lt;1796,"pre-1796",IF(D330&lt;1912,"1796-1911",IF(D330&lt;1949,"1912-1948","1949+"))))</f>
        <v>pre-1796</v>
      </c>
      <c r="G330" s="8" t="str">
        <f aca="false">IF(D330="","?",IF(D330&lt;1912,"Qing",IF(D330&lt;1949,"Republic","PRC")))</f>
        <v>Qing</v>
      </c>
      <c r="H330" s="8" t="s">
        <v>2750</v>
      </c>
      <c r="I330" s="9" t="s">
        <v>1832</v>
      </c>
      <c r="J330" s="9" t="s">
        <v>1833</v>
      </c>
      <c r="K330" s="8" t="s">
        <v>130</v>
      </c>
      <c r="L330" s="9" t="s">
        <v>2751</v>
      </c>
      <c r="M330" s="8"/>
      <c r="N330" s="8"/>
      <c r="O330" s="8" t="s">
        <v>2752</v>
      </c>
      <c r="P330" s="8" t="s">
        <v>87</v>
      </c>
      <c r="Q330" s="8"/>
      <c r="R330" s="8"/>
      <c r="S330" s="8"/>
      <c r="T330" s="8"/>
      <c r="U330" s="8"/>
      <c r="V330" s="8"/>
      <c r="W330" s="9" t="s">
        <v>2753</v>
      </c>
      <c r="X330" s="8"/>
      <c r="Y330" s="8"/>
      <c r="Z330" s="8"/>
      <c r="AA330" s="8"/>
      <c r="AB330" s="8"/>
      <c r="AC330" s="8"/>
      <c r="AD330" s="8"/>
      <c r="AE330" s="9" t="s">
        <v>2754</v>
      </c>
      <c r="AF330" s="8"/>
      <c r="AG330" s="8"/>
      <c r="AH330" s="8"/>
      <c r="AI330" s="8" t="n">
        <v>0</v>
      </c>
      <c r="AJ330" s="8" t="n">
        <v>0</v>
      </c>
      <c r="AK330" s="8" t="n">
        <v>0</v>
      </c>
      <c r="AL330" s="8" t="n">
        <v>0</v>
      </c>
      <c r="AM330" s="8" t="n">
        <v>0</v>
      </c>
      <c r="AN330" s="8" t="n">
        <v>0</v>
      </c>
      <c r="AO330" s="8" t="n">
        <v>0</v>
      </c>
      <c r="AP330" s="8" t="n">
        <v>0</v>
      </c>
      <c r="AQ330" s="8" t="n">
        <v>0</v>
      </c>
      <c r="AR330" s="8" t="n">
        <v>0</v>
      </c>
      <c r="AS330" s="8" t="n">
        <v>0</v>
      </c>
      <c r="AT330" s="8" t="n">
        <v>0</v>
      </c>
      <c r="AU330" s="8" t="n">
        <v>0</v>
      </c>
      <c r="AV330" s="8" t="n">
        <v>0</v>
      </c>
      <c r="AW330" s="8" t="n">
        <v>0</v>
      </c>
      <c r="AX330" s="8" t="n">
        <v>0</v>
      </c>
      <c r="AY330" s="8" t="n">
        <v>0</v>
      </c>
      <c r="AZ330" s="8" t="n">
        <v>0</v>
      </c>
      <c r="BA330" s="8" t="n">
        <v>0</v>
      </c>
      <c r="BB330" s="8" t="n">
        <v>0</v>
      </c>
      <c r="BC330" s="8" t="n">
        <v>230</v>
      </c>
      <c r="BD330" s="8" t="n">
        <v>0</v>
      </c>
      <c r="BE330" s="8" t="n">
        <v>0</v>
      </c>
      <c r="BF330" s="8" t="n">
        <v>0</v>
      </c>
      <c r="BG330" s="10" t="s">
        <v>2755</v>
      </c>
      <c r="BH330" s="9" t="s">
        <v>2756</v>
      </c>
    </row>
    <row r="331" customFormat="false" ht="15" hidden="false" customHeight="false" outlineLevel="0" collapsed="false">
      <c r="A331" s="8" t="s">
        <v>2757</v>
      </c>
      <c r="B331" s="8" t="s">
        <v>2758</v>
      </c>
      <c r="C331" s="8" t="n">
        <v>1</v>
      </c>
      <c r="D331" s="8" t="n">
        <v>1949</v>
      </c>
      <c r="E331" s="8" t="n">
        <v>1952</v>
      </c>
      <c r="F331" s="8" t="str">
        <f aca="false">IF(D331="","?",IF(D331&lt;1796,"pre-1796",IF(D331&lt;1912,"1796-1911",IF(D331&lt;1949,"1912-1948","1949+"))))</f>
        <v>1949+</v>
      </c>
      <c r="G331" s="8" t="str">
        <f aca="false">IF(D331="","?",IF(D331&lt;1912,"Qing",IF(D331&lt;1949,"Republic","PRC")))</f>
        <v>PRC</v>
      </c>
      <c r="H331" s="8" t="s">
        <v>2586</v>
      </c>
      <c r="I331" s="9" t="s">
        <v>2294</v>
      </c>
      <c r="J331" s="9" t="s">
        <v>2295</v>
      </c>
      <c r="K331" s="8" t="s">
        <v>84</v>
      </c>
      <c r="L331" s="8"/>
      <c r="M331" s="9" t="s">
        <v>2759</v>
      </c>
      <c r="N331" s="9" t="s">
        <v>2760</v>
      </c>
      <c r="O331" s="8" t="s">
        <v>2761</v>
      </c>
      <c r="P331" s="8" t="s">
        <v>133</v>
      </c>
      <c r="Q331" s="9" t="s">
        <v>2762</v>
      </c>
      <c r="R331" s="8"/>
      <c r="S331" s="8"/>
      <c r="T331" s="8"/>
      <c r="U331" s="8"/>
      <c r="V331" s="8"/>
      <c r="W331" s="8"/>
      <c r="X331" s="8"/>
      <c r="Y331" s="8"/>
      <c r="Z331" s="8"/>
      <c r="AA331" s="9" t="s">
        <v>2763</v>
      </c>
      <c r="AB331" s="8"/>
      <c r="AC331" s="8"/>
      <c r="AD331" s="8"/>
      <c r="AE331" s="8"/>
      <c r="AF331" s="8"/>
      <c r="AG331" s="8"/>
      <c r="AH331" s="8"/>
      <c r="AI331" s="8" t="n">
        <v>0</v>
      </c>
      <c r="AJ331" s="8" t="n">
        <v>0</v>
      </c>
      <c r="AK331" s="8" t="n">
        <v>1</v>
      </c>
      <c r="AL331" s="8" t="n">
        <v>1</v>
      </c>
      <c r="AM331" s="8" t="n">
        <v>1</v>
      </c>
      <c r="AN331" s="8" t="n">
        <v>0</v>
      </c>
      <c r="AO331" s="8" t="n">
        <v>0</v>
      </c>
      <c r="AP331" s="8" t="n">
        <v>0</v>
      </c>
      <c r="AQ331" s="8" t="n">
        <v>0</v>
      </c>
      <c r="AR331" s="8" t="n">
        <v>0</v>
      </c>
      <c r="AS331" s="8" t="n">
        <v>1</v>
      </c>
      <c r="AT331" s="8" t="n">
        <v>0</v>
      </c>
      <c r="AU331" s="8" t="n">
        <v>0</v>
      </c>
      <c r="AV331" s="8" t="n">
        <v>0</v>
      </c>
      <c r="AW331" s="8" t="n">
        <v>0</v>
      </c>
      <c r="AX331" s="8" t="n">
        <v>0</v>
      </c>
      <c r="AY331" s="8" t="n">
        <v>0</v>
      </c>
      <c r="AZ331" s="8" t="n">
        <v>0</v>
      </c>
      <c r="BA331" s="8" t="n">
        <v>0</v>
      </c>
      <c r="BB331" s="8" t="n">
        <v>0</v>
      </c>
      <c r="BC331" s="8" t="n">
        <v>168</v>
      </c>
      <c r="BD331" s="8" t="n">
        <v>0</v>
      </c>
      <c r="BE331" s="8" t="n">
        <v>0</v>
      </c>
      <c r="BF331" s="8" t="n">
        <v>0</v>
      </c>
      <c r="BG331" s="10" t="s">
        <v>2764</v>
      </c>
      <c r="BH331" s="9" t="s">
        <v>2765</v>
      </c>
    </row>
    <row r="332" customFormat="false" ht="15" hidden="false" customHeight="false" outlineLevel="0" collapsed="false">
      <c r="A332" s="8" t="s">
        <v>2766</v>
      </c>
      <c r="B332" s="8" t="s">
        <v>2758</v>
      </c>
      <c r="C332" s="8" t="n">
        <v>2</v>
      </c>
      <c r="D332" s="8" t="n">
        <v>1949</v>
      </c>
      <c r="E332" s="8" t="n">
        <v>1952</v>
      </c>
      <c r="F332" s="8" t="str">
        <f aca="false">IF(D332="","?",IF(D332&lt;1796,"pre-1796",IF(D332&lt;1912,"1796-1911",IF(D332&lt;1949,"1912-1948","1949+"))))</f>
        <v>1949+</v>
      </c>
      <c r="G332" s="8" t="str">
        <f aca="false">IF(D332="","?",IF(D332&lt;1912,"Qing",IF(D332&lt;1949,"Republic","PRC")))</f>
        <v>PRC</v>
      </c>
      <c r="H332" s="8" t="s">
        <v>2586</v>
      </c>
      <c r="I332" s="9" t="s">
        <v>2294</v>
      </c>
      <c r="J332" s="9" t="s">
        <v>2295</v>
      </c>
      <c r="K332" s="8" t="s">
        <v>84</v>
      </c>
      <c r="L332" s="8"/>
      <c r="M332" s="9" t="s">
        <v>2759</v>
      </c>
      <c r="N332" s="9" t="s">
        <v>2760</v>
      </c>
      <c r="O332" s="8" t="s">
        <v>2761</v>
      </c>
      <c r="P332" s="8" t="s">
        <v>114</v>
      </c>
      <c r="Q332" s="9" t="s">
        <v>98</v>
      </c>
      <c r="R332" s="9" t="s">
        <v>2767</v>
      </c>
      <c r="S332" s="9" t="s">
        <v>2768</v>
      </c>
      <c r="T332" s="8"/>
      <c r="U332" s="9" t="s">
        <v>2769</v>
      </c>
      <c r="V332" s="8"/>
      <c r="W332" s="9" t="s">
        <v>2770</v>
      </c>
      <c r="X332" s="8"/>
      <c r="Y332" s="8"/>
      <c r="Z332" s="8"/>
      <c r="AA332" s="8"/>
      <c r="AB332" s="8"/>
      <c r="AC332" s="8"/>
      <c r="AD332" s="8"/>
      <c r="AE332" s="9" t="s">
        <v>2427</v>
      </c>
      <c r="AF332" s="9" t="s">
        <v>429</v>
      </c>
      <c r="AG332" s="8"/>
      <c r="AH332" s="8"/>
      <c r="AI332" s="8" t="n">
        <v>0</v>
      </c>
      <c r="AJ332" s="8" t="n">
        <v>0</v>
      </c>
      <c r="AK332" s="8" t="n">
        <v>0</v>
      </c>
      <c r="AL332" s="8" t="n">
        <v>0</v>
      </c>
      <c r="AM332" s="8" t="n">
        <v>0</v>
      </c>
      <c r="AN332" s="8" t="n">
        <v>0</v>
      </c>
      <c r="AO332" s="8" t="n">
        <v>0</v>
      </c>
      <c r="AP332" s="8" t="n">
        <v>0</v>
      </c>
      <c r="AQ332" s="8" t="n">
        <v>0</v>
      </c>
      <c r="AR332" s="8" t="n">
        <v>0</v>
      </c>
      <c r="AS332" s="8" t="n">
        <v>0</v>
      </c>
      <c r="AT332" s="8" t="n">
        <v>0</v>
      </c>
      <c r="AU332" s="8" t="n">
        <v>0</v>
      </c>
      <c r="AV332" s="8" t="n">
        <v>0</v>
      </c>
      <c r="AW332" s="8" t="n">
        <v>0</v>
      </c>
      <c r="AX332" s="8" t="n">
        <v>0</v>
      </c>
      <c r="AY332" s="8" t="n">
        <v>0</v>
      </c>
      <c r="AZ332" s="8" t="n">
        <v>0</v>
      </c>
      <c r="BA332" s="8" t="n">
        <v>0</v>
      </c>
      <c r="BB332" s="8" t="n">
        <v>0</v>
      </c>
      <c r="BC332" s="8" t="n">
        <v>1226</v>
      </c>
      <c r="BD332" s="8" t="n">
        <v>0</v>
      </c>
      <c r="BE332" s="8" t="n">
        <v>0</v>
      </c>
      <c r="BF332" s="8" t="n">
        <v>0</v>
      </c>
      <c r="BG332" s="10" t="s">
        <v>2764</v>
      </c>
      <c r="BH332" s="9" t="s">
        <v>2771</v>
      </c>
    </row>
    <row r="333" customFormat="false" ht="15" hidden="false" customHeight="false" outlineLevel="0" collapsed="false">
      <c r="A333" s="8" t="s">
        <v>2772</v>
      </c>
      <c r="B333" s="8" t="s">
        <v>2758</v>
      </c>
      <c r="C333" s="8" t="n">
        <v>3</v>
      </c>
      <c r="D333" s="8" t="n">
        <v>1949</v>
      </c>
      <c r="E333" s="8" t="n">
        <v>1952</v>
      </c>
      <c r="F333" s="8" t="str">
        <f aca="false">IF(D333="","?",IF(D333&lt;1796,"pre-1796",IF(D333&lt;1912,"1796-1911",IF(D333&lt;1949,"1912-1948","1949+"))))</f>
        <v>1949+</v>
      </c>
      <c r="G333" s="8" t="str">
        <f aca="false">IF(D333="","?",IF(D333&lt;1912,"Qing",IF(D333&lt;1949,"Republic","PRC")))</f>
        <v>PRC</v>
      </c>
      <c r="H333" s="8" t="s">
        <v>2586</v>
      </c>
      <c r="I333" s="9" t="s">
        <v>2294</v>
      </c>
      <c r="J333" s="9" t="s">
        <v>2295</v>
      </c>
      <c r="K333" s="8" t="s">
        <v>84</v>
      </c>
      <c r="L333" s="8"/>
      <c r="M333" s="9" t="s">
        <v>2759</v>
      </c>
      <c r="N333" s="9" t="s">
        <v>2760</v>
      </c>
      <c r="O333" s="8" t="s">
        <v>2761</v>
      </c>
      <c r="P333" s="8" t="s">
        <v>114</v>
      </c>
      <c r="Q333" s="8"/>
      <c r="R333" s="8"/>
      <c r="S333" s="8"/>
      <c r="T333" s="8"/>
      <c r="U333" s="8"/>
      <c r="V333" s="8"/>
      <c r="W333" s="8"/>
      <c r="X333" s="8"/>
      <c r="Y333" s="8"/>
      <c r="Z333" s="8"/>
      <c r="AA333" s="8"/>
      <c r="AB333" s="8"/>
      <c r="AC333" s="8"/>
      <c r="AD333" s="8"/>
      <c r="AE333" s="9" t="s">
        <v>2313</v>
      </c>
      <c r="AF333" s="8"/>
      <c r="AG333" s="8"/>
      <c r="AH333" s="9" t="s">
        <v>2773</v>
      </c>
      <c r="AI333" s="8" t="n">
        <v>0</v>
      </c>
      <c r="AJ333" s="8" t="n">
        <v>0</v>
      </c>
      <c r="AK333" s="8" t="n">
        <v>0</v>
      </c>
      <c r="AL333" s="8" t="n">
        <v>0</v>
      </c>
      <c r="AM333" s="8" t="n">
        <v>0</v>
      </c>
      <c r="AN333" s="8" t="n">
        <v>0</v>
      </c>
      <c r="AO333" s="8" t="n">
        <v>0</v>
      </c>
      <c r="AP333" s="8" t="n">
        <v>0</v>
      </c>
      <c r="AQ333" s="8" t="n">
        <v>0</v>
      </c>
      <c r="AR333" s="8" t="n">
        <v>0</v>
      </c>
      <c r="AS333" s="8" t="n">
        <v>0</v>
      </c>
      <c r="AT333" s="8" t="n">
        <v>1</v>
      </c>
      <c r="AU333" s="8" t="n">
        <v>0</v>
      </c>
      <c r="AV333" s="8" t="n">
        <v>0</v>
      </c>
      <c r="AW333" s="8" t="n">
        <v>0</v>
      </c>
      <c r="AX333" s="8" t="n">
        <v>0</v>
      </c>
      <c r="AY333" s="8" t="n">
        <v>0</v>
      </c>
      <c r="AZ333" s="8" t="n">
        <v>0</v>
      </c>
      <c r="BA333" s="8" t="n">
        <v>0</v>
      </c>
      <c r="BB333" s="8" t="n">
        <v>0</v>
      </c>
      <c r="BC333" s="8" t="n">
        <v>142</v>
      </c>
      <c r="BD333" s="8" t="n">
        <v>2</v>
      </c>
      <c r="BE333" s="8" t="n">
        <v>0</v>
      </c>
      <c r="BF333" s="8" t="n">
        <v>0</v>
      </c>
      <c r="BG333" s="10" t="s">
        <v>2764</v>
      </c>
      <c r="BH333" s="9" t="s">
        <v>2774</v>
      </c>
    </row>
    <row r="334" customFormat="false" ht="15" hidden="false" customHeight="false" outlineLevel="0" collapsed="false">
      <c r="A334" s="8" t="s">
        <v>2775</v>
      </c>
      <c r="B334" s="8" t="s">
        <v>2776</v>
      </c>
      <c r="C334" s="8" t="n">
        <v>1</v>
      </c>
      <c r="D334" s="8" t="n">
        <v>1854</v>
      </c>
      <c r="E334" s="8" t="n">
        <v>1913</v>
      </c>
      <c r="F334" s="8" t="str">
        <f aca="false">IF(D334="","?",IF(D334&lt;1796,"pre-1796",IF(D334&lt;1912,"1796-1911",IF(D334&lt;1949,"1912-1948","1949+"))))</f>
        <v>1796-1911</v>
      </c>
      <c r="G334" s="8" t="str">
        <f aca="false">IF(D334="","?",IF(D334&lt;1912,"Qing",IF(D334&lt;1949,"Republic","PRC")))</f>
        <v>Qing</v>
      </c>
      <c r="H334" s="8" t="s">
        <v>2777</v>
      </c>
      <c r="I334" s="9" t="s">
        <v>128</v>
      </c>
      <c r="J334" s="9" t="s">
        <v>2778</v>
      </c>
      <c r="K334" s="8" t="s">
        <v>84</v>
      </c>
      <c r="L334" s="9" t="s">
        <v>1745</v>
      </c>
      <c r="M334" s="9" t="s">
        <v>1748</v>
      </c>
      <c r="N334" s="9" t="s">
        <v>1745</v>
      </c>
      <c r="O334" s="8" t="s">
        <v>2779</v>
      </c>
      <c r="P334" s="8" t="s">
        <v>114</v>
      </c>
      <c r="Q334" s="8"/>
      <c r="R334" s="9" t="s">
        <v>2566</v>
      </c>
      <c r="S334" s="8"/>
      <c r="T334" s="8"/>
      <c r="U334" s="9" t="s">
        <v>2780</v>
      </c>
      <c r="V334" s="8"/>
      <c r="W334" s="9" t="s">
        <v>2781</v>
      </c>
      <c r="X334" s="8"/>
      <c r="Y334" s="9" t="s">
        <v>1761</v>
      </c>
      <c r="Z334" s="8"/>
      <c r="AA334" s="9" t="s">
        <v>2782</v>
      </c>
      <c r="AB334" s="8"/>
      <c r="AC334" s="8"/>
      <c r="AD334" s="8"/>
      <c r="AE334" s="8"/>
      <c r="AF334" s="9" t="s">
        <v>291</v>
      </c>
      <c r="AG334" s="8"/>
      <c r="AH334" s="8"/>
      <c r="AI334" s="8" t="n">
        <v>0</v>
      </c>
      <c r="AJ334" s="8" t="n">
        <v>0</v>
      </c>
      <c r="AK334" s="8" t="n">
        <v>0</v>
      </c>
      <c r="AL334" s="8" t="n">
        <v>0</v>
      </c>
      <c r="AM334" s="8" t="n">
        <v>0</v>
      </c>
      <c r="AN334" s="8" t="n">
        <v>0</v>
      </c>
      <c r="AO334" s="8" t="n">
        <v>0</v>
      </c>
      <c r="AP334" s="8" t="n">
        <v>0</v>
      </c>
      <c r="AQ334" s="8" t="n">
        <v>0</v>
      </c>
      <c r="AR334" s="8" t="n">
        <v>0</v>
      </c>
      <c r="AS334" s="8" t="n">
        <v>0</v>
      </c>
      <c r="AT334" s="8" t="n">
        <v>0</v>
      </c>
      <c r="AU334" s="8" t="n">
        <v>0</v>
      </c>
      <c r="AV334" s="8" t="n">
        <v>0</v>
      </c>
      <c r="AW334" s="8" t="n">
        <v>0</v>
      </c>
      <c r="AX334" s="8" t="n">
        <v>1</v>
      </c>
      <c r="AY334" s="8" t="n">
        <v>0</v>
      </c>
      <c r="AZ334" s="8" t="n">
        <v>0</v>
      </c>
      <c r="BA334" s="8" t="n">
        <v>0</v>
      </c>
      <c r="BB334" s="8" t="n">
        <v>0</v>
      </c>
      <c r="BC334" s="8" t="n">
        <v>453</v>
      </c>
      <c r="BD334" s="8" t="n">
        <v>2</v>
      </c>
      <c r="BE334" s="8" t="n">
        <v>0</v>
      </c>
      <c r="BF334" s="8" t="n">
        <v>0</v>
      </c>
      <c r="BG334" s="10" t="s">
        <v>2783</v>
      </c>
      <c r="BH334" s="9" t="s">
        <v>2784</v>
      </c>
    </row>
    <row r="335" customFormat="false" ht="15" hidden="false" customHeight="false" outlineLevel="0" collapsed="false">
      <c r="A335" s="8" t="s">
        <v>2785</v>
      </c>
      <c r="B335" s="8" t="s">
        <v>2776</v>
      </c>
      <c r="C335" s="8" t="n">
        <v>2</v>
      </c>
      <c r="D335" s="8" t="n">
        <v>1854</v>
      </c>
      <c r="E335" s="8" t="n">
        <v>1913</v>
      </c>
      <c r="F335" s="8" t="str">
        <f aca="false">IF(D335="","?",IF(D335&lt;1796,"pre-1796",IF(D335&lt;1912,"1796-1911",IF(D335&lt;1949,"1912-1948","1949+"))))</f>
        <v>1796-1911</v>
      </c>
      <c r="G335" s="8" t="str">
        <f aca="false">IF(D335="","?",IF(D335&lt;1912,"Qing",IF(D335&lt;1949,"Republic","PRC")))</f>
        <v>Qing</v>
      </c>
      <c r="H335" s="8" t="s">
        <v>2777</v>
      </c>
      <c r="I335" s="9" t="s">
        <v>128</v>
      </c>
      <c r="J335" s="9" t="s">
        <v>2778</v>
      </c>
      <c r="K335" s="8" t="s">
        <v>84</v>
      </c>
      <c r="L335" s="9" t="s">
        <v>1745</v>
      </c>
      <c r="M335" s="9" t="s">
        <v>1748</v>
      </c>
      <c r="N335" s="9" t="s">
        <v>1745</v>
      </c>
      <c r="O335" s="8" t="s">
        <v>2779</v>
      </c>
      <c r="P335" s="8" t="s">
        <v>114</v>
      </c>
      <c r="Q335" s="9" t="s">
        <v>115</v>
      </c>
      <c r="R335" s="9" t="s">
        <v>2786</v>
      </c>
      <c r="S335" s="8"/>
      <c r="T335" s="8"/>
      <c r="U335" s="9" t="s">
        <v>2787</v>
      </c>
      <c r="V335" s="8"/>
      <c r="W335" s="9" t="s">
        <v>2788</v>
      </c>
      <c r="X335" s="8"/>
      <c r="Y335" s="9" t="s">
        <v>1761</v>
      </c>
      <c r="Z335" s="8"/>
      <c r="AA335" s="8"/>
      <c r="AB335" s="8"/>
      <c r="AC335" s="8"/>
      <c r="AD335" s="8"/>
      <c r="AE335" s="9" t="s">
        <v>2789</v>
      </c>
      <c r="AF335" s="9" t="s">
        <v>399</v>
      </c>
      <c r="AG335" s="9" t="s">
        <v>1745</v>
      </c>
      <c r="AH335" s="9" t="s">
        <v>2790</v>
      </c>
      <c r="AI335" s="8" t="n">
        <v>0</v>
      </c>
      <c r="AJ335" s="8" t="n">
        <v>0</v>
      </c>
      <c r="AK335" s="8" t="n">
        <v>0</v>
      </c>
      <c r="AL335" s="8" t="n">
        <v>0</v>
      </c>
      <c r="AM335" s="8" t="n">
        <v>0</v>
      </c>
      <c r="AN335" s="8" t="n">
        <v>0</v>
      </c>
      <c r="AO335" s="8" t="n">
        <v>0</v>
      </c>
      <c r="AP335" s="8" t="n">
        <v>0</v>
      </c>
      <c r="AQ335" s="8" t="n">
        <v>0</v>
      </c>
      <c r="AR335" s="8" t="n">
        <v>0</v>
      </c>
      <c r="AS335" s="8" t="n">
        <v>1</v>
      </c>
      <c r="AT335" s="8" t="n">
        <v>0</v>
      </c>
      <c r="AU335" s="8" t="n">
        <v>0</v>
      </c>
      <c r="AV335" s="8" t="n">
        <v>0</v>
      </c>
      <c r="AW335" s="8" t="n">
        <v>0</v>
      </c>
      <c r="AX335" s="8" t="n">
        <v>1</v>
      </c>
      <c r="AY335" s="8" t="n">
        <v>0</v>
      </c>
      <c r="AZ335" s="8" t="n">
        <v>1</v>
      </c>
      <c r="BA335" s="8" t="n">
        <v>1</v>
      </c>
      <c r="BB335" s="8" t="n">
        <v>1</v>
      </c>
      <c r="BC335" s="8" t="n">
        <v>341</v>
      </c>
      <c r="BD335" s="8" t="n">
        <v>0</v>
      </c>
      <c r="BE335" s="8" t="n">
        <v>0</v>
      </c>
      <c r="BF335" s="8" t="n">
        <v>0</v>
      </c>
      <c r="BG335" s="10" t="s">
        <v>2783</v>
      </c>
      <c r="BH335" s="9" t="s">
        <v>2791</v>
      </c>
    </row>
    <row r="336" customFormat="false" ht="15" hidden="false" customHeight="false" outlineLevel="0" collapsed="false">
      <c r="A336" s="8" t="s">
        <v>2792</v>
      </c>
      <c r="B336" s="8" t="s">
        <v>2793</v>
      </c>
      <c r="C336" s="8" t="n">
        <v>1</v>
      </c>
      <c r="D336" s="8" t="n">
        <v>1892</v>
      </c>
      <c r="E336" s="8" t="n">
        <v>1894</v>
      </c>
      <c r="F336" s="8" t="str">
        <f aca="false">IF(D336="","?",IF(D336&lt;1796,"pre-1796",IF(D336&lt;1912,"1796-1911",IF(D336&lt;1949,"1912-1948","1949+"))))</f>
        <v>1796-1911</v>
      </c>
      <c r="G336" s="8" t="str">
        <f aca="false">IF(D336="","?",IF(D336&lt;1912,"Qing",IF(D336&lt;1949,"Republic","PRC")))</f>
        <v>Qing</v>
      </c>
      <c r="H336" s="8" t="s">
        <v>2794</v>
      </c>
      <c r="I336" s="8"/>
      <c r="J336" s="9" t="s">
        <v>426</v>
      </c>
      <c r="K336" s="8" t="s">
        <v>84</v>
      </c>
      <c r="L336" s="9" t="s">
        <v>2795</v>
      </c>
      <c r="M336" s="8"/>
      <c r="N336" s="8"/>
      <c r="O336" s="8" t="s">
        <v>2796</v>
      </c>
      <c r="P336" s="8" t="s">
        <v>114</v>
      </c>
      <c r="Q336" s="8"/>
      <c r="R336" s="9" t="s">
        <v>2797</v>
      </c>
      <c r="S336" s="8"/>
      <c r="T336" s="8"/>
      <c r="U336" s="8"/>
      <c r="V336" s="8"/>
      <c r="W336" s="8"/>
      <c r="X336" s="8"/>
      <c r="Y336" s="8"/>
      <c r="Z336" s="8"/>
      <c r="AA336" s="8"/>
      <c r="AB336" s="8"/>
      <c r="AC336" s="8"/>
      <c r="AD336" s="8"/>
      <c r="AE336" s="9" t="s">
        <v>1384</v>
      </c>
      <c r="AF336" s="8"/>
      <c r="AG336" s="8"/>
      <c r="AH336" s="9" t="s">
        <v>2798</v>
      </c>
      <c r="AI336" s="8" t="n">
        <v>0</v>
      </c>
      <c r="AJ336" s="8" t="n">
        <v>0</v>
      </c>
      <c r="AK336" s="8" t="n">
        <v>0</v>
      </c>
      <c r="AL336" s="8" t="n">
        <v>0</v>
      </c>
      <c r="AM336" s="8" t="n">
        <v>0</v>
      </c>
      <c r="AN336" s="8" t="n">
        <v>0</v>
      </c>
      <c r="AO336" s="8" t="n">
        <v>0</v>
      </c>
      <c r="AP336" s="8" t="n">
        <v>0</v>
      </c>
      <c r="AQ336" s="8" t="n">
        <v>0</v>
      </c>
      <c r="AR336" s="8" t="n">
        <v>0</v>
      </c>
      <c r="AS336" s="8" t="n">
        <v>0</v>
      </c>
      <c r="AT336" s="8" t="n">
        <v>0</v>
      </c>
      <c r="AU336" s="8" t="n">
        <v>0</v>
      </c>
      <c r="AV336" s="8" t="n">
        <v>0</v>
      </c>
      <c r="AW336" s="8" t="n">
        <v>1</v>
      </c>
      <c r="AX336" s="8" t="n">
        <v>0</v>
      </c>
      <c r="AY336" s="8" t="n">
        <v>0</v>
      </c>
      <c r="AZ336" s="8" t="n">
        <v>0</v>
      </c>
      <c r="BA336" s="8" t="n">
        <v>0</v>
      </c>
      <c r="BB336" s="8" t="n">
        <v>0</v>
      </c>
      <c r="BC336" s="8" t="n">
        <v>122</v>
      </c>
      <c r="BD336" s="8" t="n">
        <v>0</v>
      </c>
      <c r="BE336" s="8" t="n">
        <v>0</v>
      </c>
      <c r="BF336" s="8" t="n">
        <v>0</v>
      </c>
      <c r="BG336" s="10" t="s">
        <v>2799</v>
      </c>
      <c r="BH336" s="9" t="s">
        <v>2800</v>
      </c>
    </row>
    <row r="337" customFormat="false" ht="15" hidden="false" customHeight="false" outlineLevel="0" collapsed="false">
      <c r="A337" s="8" t="s">
        <v>2801</v>
      </c>
      <c r="B337" s="8" t="s">
        <v>2793</v>
      </c>
      <c r="C337" s="8" t="n">
        <v>2</v>
      </c>
      <c r="D337" s="8" t="n">
        <v>1892</v>
      </c>
      <c r="E337" s="8" t="n">
        <v>1894</v>
      </c>
      <c r="F337" s="8" t="str">
        <f aca="false">IF(D337="","?",IF(D337&lt;1796,"pre-1796",IF(D337&lt;1912,"1796-1911",IF(D337&lt;1949,"1912-1948","1949+"))))</f>
        <v>1796-1911</v>
      </c>
      <c r="G337" s="8" t="str">
        <f aca="false">IF(D337="","?",IF(D337&lt;1912,"Qing",IF(D337&lt;1949,"Republic","PRC")))</f>
        <v>Qing</v>
      </c>
      <c r="H337" s="8" t="s">
        <v>2794</v>
      </c>
      <c r="I337" s="8"/>
      <c r="J337" s="9" t="s">
        <v>426</v>
      </c>
      <c r="K337" s="8" t="s">
        <v>84</v>
      </c>
      <c r="L337" s="9" t="s">
        <v>2795</v>
      </c>
      <c r="M337" s="8"/>
      <c r="N337" s="8"/>
      <c r="O337" s="8" t="s">
        <v>2796</v>
      </c>
      <c r="P337" s="8" t="s">
        <v>114</v>
      </c>
      <c r="Q337" s="8"/>
      <c r="R337" s="9" t="s">
        <v>2797</v>
      </c>
      <c r="S337" s="8"/>
      <c r="T337" s="8"/>
      <c r="U337" s="8"/>
      <c r="V337" s="8"/>
      <c r="W337" s="8"/>
      <c r="X337" s="8"/>
      <c r="Y337" s="8"/>
      <c r="Z337" s="8"/>
      <c r="AA337" s="8"/>
      <c r="AB337" s="8"/>
      <c r="AC337" s="8"/>
      <c r="AD337" s="8"/>
      <c r="AE337" s="9" t="s">
        <v>1384</v>
      </c>
      <c r="AF337" s="8"/>
      <c r="AG337" s="8"/>
      <c r="AH337" s="8"/>
      <c r="AI337" s="8" t="n">
        <v>0</v>
      </c>
      <c r="AJ337" s="8" t="n">
        <v>0</v>
      </c>
      <c r="AK337" s="8" t="n">
        <v>0</v>
      </c>
      <c r="AL337" s="8" t="n">
        <v>0</v>
      </c>
      <c r="AM337" s="8" t="n">
        <v>0</v>
      </c>
      <c r="AN337" s="8" t="n">
        <v>0</v>
      </c>
      <c r="AO337" s="8" t="n">
        <v>0</v>
      </c>
      <c r="AP337" s="8" t="n">
        <v>0</v>
      </c>
      <c r="AQ337" s="8" t="n">
        <v>0</v>
      </c>
      <c r="AR337" s="8" t="n">
        <v>0</v>
      </c>
      <c r="AS337" s="8" t="n">
        <v>0</v>
      </c>
      <c r="AT337" s="8" t="n">
        <v>0</v>
      </c>
      <c r="AU337" s="8" t="n">
        <v>0</v>
      </c>
      <c r="AV337" s="8" t="n">
        <v>0</v>
      </c>
      <c r="AW337" s="8" t="n">
        <v>1</v>
      </c>
      <c r="AX337" s="8" t="n">
        <v>0</v>
      </c>
      <c r="AY337" s="8" t="n">
        <v>0</v>
      </c>
      <c r="AZ337" s="8" t="n">
        <v>0</v>
      </c>
      <c r="BA337" s="8" t="n">
        <v>0</v>
      </c>
      <c r="BB337" s="8" t="n">
        <v>0</v>
      </c>
      <c r="BC337" s="8" t="n">
        <v>113</v>
      </c>
      <c r="BD337" s="8" t="n">
        <v>0</v>
      </c>
      <c r="BE337" s="8" t="n">
        <v>0</v>
      </c>
      <c r="BF337" s="8" t="n">
        <v>0</v>
      </c>
      <c r="BG337" s="10" t="s">
        <v>2799</v>
      </c>
      <c r="BH337" s="9" t="s">
        <v>2802</v>
      </c>
    </row>
    <row r="338" customFormat="false" ht="15" hidden="false" customHeight="false" outlineLevel="0" collapsed="false">
      <c r="A338" s="8" t="s">
        <v>2803</v>
      </c>
      <c r="B338" s="8" t="s">
        <v>2793</v>
      </c>
      <c r="C338" s="8" t="n">
        <v>3</v>
      </c>
      <c r="D338" s="8" t="n">
        <v>1892</v>
      </c>
      <c r="E338" s="8" t="n">
        <v>1894</v>
      </c>
      <c r="F338" s="8" t="str">
        <f aca="false">IF(D338="","?",IF(D338&lt;1796,"pre-1796",IF(D338&lt;1912,"1796-1911",IF(D338&lt;1949,"1912-1948","1949+"))))</f>
        <v>1796-1911</v>
      </c>
      <c r="G338" s="8" t="str">
        <f aca="false">IF(D338="","?",IF(D338&lt;1912,"Qing",IF(D338&lt;1949,"Republic","PRC")))</f>
        <v>Qing</v>
      </c>
      <c r="H338" s="8" t="s">
        <v>2794</v>
      </c>
      <c r="I338" s="8"/>
      <c r="J338" s="9" t="s">
        <v>426</v>
      </c>
      <c r="K338" s="8" t="s">
        <v>84</v>
      </c>
      <c r="L338" s="9" t="s">
        <v>2795</v>
      </c>
      <c r="M338" s="8"/>
      <c r="N338" s="8"/>
      <c r="O338" s="8" t="s">
        <v>2796</v>
      </c>
      <c r="P338" s="8" t="s">
        <v>114</v>
      </c>
      <c r="Q338" s="8"/>
      <c r="R338" s="9" t="s">
        <v>2797</v>
      </c>
      <c r="S338" s="8"/>
      <c r="T338" s="8"/>
      <c r="U338" s="8"/>
      <c r="V338" s="8"/>
      <c r="W338" s="8"/>
      <c r="X338" s="8"/>
      <c r="Y338" s="8"/>
      <c r="Z338" s="8"/>
      <c r="AA338" s="8"/>
      <c r="AB338" s="8"/>
      <c r="AC338" s="8"/>
      <c r="AD338" s="8"/>
      <c r="AE338" s="9" t="s">
        <v>2804</v>
      </c>
      <c r="AF338" s="8"/>
      <c r="AG338" s="8" t="s">
        <v>913</v>
      </c>
      <c r="AH338" s="8"/>
      <c r="AI338" s="8" t="n">
        <v>0</v>
      </c>
      <c r="AJ338" s="8" t="n">
        <v>0</v>
      </c>
      <c r="AK338" s="8" t="n">
        <v>0</v>
      </c>
      <c r="AL338" s="8" t="n">
        <v>0</v>
      </c>
      <c r="AM338" s="8" t="n">
        <v>0</v>
      </c>
      <c r="AN338" s="8" t="n">
        <v>0</v>
      </c>
      <c r="AO338" s="8" t="n">
        <v>0</v>
      </c>
      <c r="AP338" s="8" t="n">
        <v>0</v>
      </c>
      <c r="AQ338" s="8" t="n">
        <v>0</v>
      </c>
      <c r="AR338" s="8" t="n">
        <v>0</v>
      </c>
      <c r="AS338" s="8" t="n">
        <v>0</v>
      </c>
      <c r="AT338" s="8" t="n">
        <v>0</v>
      </c>
      <c r="AU338" s="8" t="n">
        <v>0</v>
      </c>
      <c r="AV338" s="8" t="n">
        <v>0</v>
      </c>
      <c r="AW338" s="8" t="n">
        <v>0</v>
      </c>
      <c r="AX338" s="8" t="n">
        <v>0</v>
      </c>
      <c r="AY338" s="8" t="n">
        <v>0</v>
      </c>
      <c r="AZ338" s="8" t="n">
        <v>0</v>
      </c>
      <c r="BA338" s="8" t="n">
        <v>0</v>
      </c>
      <c r="BB338" s="8" t="n">
        <v>0</v>
      </c>
      <c r="BC338" s="8" t="n">
        <v>118</v>
      </c>
      <c r="BD338" s="8" t="n">
        <v>0</v>
      </c>
      <c r="BE338" s="8" t="n">
        <v>1</v>
      </c>
      <c r="BF338" s="8" t="n">
        <v>0</v>
      </c>
      <c r="BG338" s="10" t="s">
        <v>2799</v>
      </c>
      <c r="BH338" s="9" t="s">
        <v>2805</v>
      </c>
    </row>
    <row r="339" customFormat="false" ht="15" hidden="false" customHeight="false" outlineLevel="0" collapsed="false">
      <c r="A339" s="8" t="s">
        <v>2806</v>
      </c>
      <c r="B339" s="8" t="s">
        <v>2793</v>
      </c>
      <c r="C339" s="8" t="n">
        <v>4</v>
      </c>
      <c r="D339" s="8" t="n">
        <v>1892</v>
      </c>
      <c r="E339" s="8" t="n">
        <v>1894</v>
      </c>
      <c r="F339" s="8" t="str">
        <f aca="false">IF(D339="","?",IF(D339&lt;1796,"pre-1796",IF(D339&lt;1912,"1796-1911",IF(D339&lt;1949,"1912-1948","1949+"))))</f>
        <v>1796-1911</v>
      </c>
      <c r="G339" s="8" t="str">
        <f aca="false">IF(D339="","?",IF(D339&lt;1912,"Qing",IF(D339&lt;1949,"Republic","PRC")))</f>
        <v>Qing</v>
      </c>
      <c r="H339" s="8" t="s">
        <v>2794</v>
      </c>
      <c r="I339" s="8"/>
      <c r="J339" s="9" t="s">
        <v>426</v>
      </c>
      <c r="K339" s="8" t="s">
        <v>84</v>
      </c>
      <c r="L339" s="9" t="s">
        <v>2795</v>
      </c>
      <c r="M339" s="8"/>
      <c r="N339" s="8"/>
      <c r="O339" s="8" t="s">
        <v>2796</v>
      </c>
      <c r="P339" s="8" t="s">
        <v>114</v>
      </c>
      <c r="Q339" s="8"/>
      <c r="R339" s="9" t="s">
        <v>2797</v>
      </c>
      <c r="S339" s="8"/>
      <c r="T339" s="8"/>
      <c r="U339" s="8"/>
      <c r="V339" s="8"/>
      <c r="W339" s="8"/>
      <c r="X339" s="8"/>
      <c r="Y339" s="8"/>
      <c r="Z339" s="8"/>
      <c r="AA339" s="8"/>
      <c r="AB339" s="8"/>
      <c r="AC339" s="8"/>
      <c r="AD339" s="8"/>
      <c r="AE339" s="9" t="s">
        <v>1384</v>
      </c>
      <c r="AF339" s="8"/>
      <c r="AG339" s="8"/>
      <c r="AH339" s="8"/>
      <c r="AI339" s="8" t="n">
        <v>0</v>
      </c>
      <c r="AJ339" s="8" t="n">
        <v>0</v>
      </c>
      <c r="AK339" s="8" t="n">
        <v>0</v>
      </c>
      <c r="AL339" s="8" t="n">
        <v>0</v>
      </c>
      <c r="AM339" s="8" t="n">
        <v>0</v>
      </c>
      <c r="AN339" s="8" t="n">
        <v>0</v>
      </c>
      <c r="AO339" s="8" t="n">
        <v>0</v>
      </c>
      <c r="AP339" s="8" t="n">
        <v>0</v>
      </c>
      <c r="AQ339" s="8" t="n">
        <v>0</v>
      </c>
      <c r="AR339" s="8" t="n">
        <v>0</v>
      </c>
      <c r="AS339" s="8" t="n">
        <v>0</v>
      </c>
      <c r="AT339" s="8" t="n">
        <v>0</v>
      </c>
      <c r="AU339" s="8" t="n">
        <v>0</v>
      </c>
      <c r="AV339" s="8" t="n">
        <v>0</v>
      </c>
      <c r="AW339" s="8" t="n">
        <v>1</v>
      </c>
      <c r="AX339" s="8" t="n">
        <v>0</v>
      </c>
      <c r="AY339" s="8" t="n">
        <v>0</v>
      </c>
      <c r="AZ339" s="8" t="n">
        <v>0</v>
      </c>
      <c r="BA339" s="8" t="n">
        <v>0</v>
      </c>
      <c r="BB339" s="8" t="n">
        <v>0</v>
      </c>
      <c r="BC339" s="8" t="n">
        <v>77</v>
      </c>
      <c r="BD339" s="8" t="n">
        <v>0</v>
      </c>
      <c r="BE339" s="8" t="n">
        <v>0</v>
      </c>
      <c r="BF339" s="8" t="n">
        <v>0</v>
      </c>
      <c r="BG339" s="10" t="s">
        <v>2799</v>
      </c>
      <c r="BH339" s="9" t="s">
        <v>2807</v>
      </c>
    </row>
    <row r="340" customFormat="false" ht="15" hidden="false" customHeight="false" outlineLevel="0" collapsed="false">
      <c r="A340" s="8" t="s">
        <v>2808</v>
      </c>
      <c r="B340" s="8" t="s">
        <v>2793</v>
      </c>
      <c r="C340" s="8" t="n">
        <v>5</v>
      </c>
      <c r="D340" s="8" t="n">
        <v>1892</v>
      </c>
      <c r="E340" s="8" t="n">
        <v>1894</v>
      </c>
      <c r="F340" s="8" t="str">
        <f aca="false">IF(D340="","?",IF(D340&lt;1796,"pre-1796",IF(D340&lt;1912,"1796-1911",IF(D340&lt;1949,"1912-1948","1949+"))))</f>
        <v>1796-1911</v>
      </c>
      <c r="G340" s="8" t="str">
        <f aca="false">IF(D340="","?",IF(D340&lt;1912,"Qing",IF(D340&lt;1949,"Republic","PRC")))</f>
        <v>Qing</v>
      </c>
      <c r="H340" s="8" t="s">
        <v>2794</v>
      </c>
      <c r="I340" s="8"/>
      <c r="J340" s="9" t="s">
        <v>426</v>
      </c>
      <c r="K340" s="8" t="s">
        <v>84</v>
      </c>
      <c r="L340" s="9" t="s">
        <v>2795</v>
      </c>
      <c r="M340" s="8"/>
      <c r="N340" s="8"/>
      <c r="O340" s="8" t="s">
        <v>2796</v>
      </c>
      <c r="P340" s="8" t="s">
        <v>114</v>
      </c>
      <c r="Q340" s="8"/>
      <c r="R340" s="8"/>
      <c r="S340" s="8"/>
      <c r="T340" s="8"/>
      <c r="U340" s="8"/>
      <c r="V340" s="8"/>
      <c r="W340" s="8"/>
      <c r="X340" s="8"/>
      <c r="Y340" s="8"/>
      <c r="Z340" s="8"/>
      <c r="AA340" s="8"/>
      <c r="AB340" s="8"/>
      <c r="AC340" s="8"/>
      <c r="AD340" s="8"/>
      <c r="AE340" s="9" t="s">
        <v>1384</v>
      </c>
      <c r="AF340" s="8"/>
      <c r="AG340" s="8"/>
      <c r="AH340" s="8"/>
      <c r="AI340" s="8" t="n">
        <v>0</v>
      </c>
      <c r="AJ340" s="8" t="n">
        <v>0</v>
      </c>
      <c r="AK340" s="8" t="n">
        <v>0</v>
      </c>
      <c r="AL340" s="8" t="n">
        <v>0</v>
      </c>
      <c r="AM340" s="8" t="n">
        <v>0</v>
      </c>
      <c r="AN340" s="8" t="n">
        <v>0</v>
      </c>
      <c r="AO340" s="8" t="n">
        <v>0</v>
      </c>
      <c r="AP340" s="8" t="n">
        <v>0</v>
      </c>
      <c r="AQ340" s="8" t="n">
        <v>0</v>
      </c>
      <c r="AR340" s="8" t="n">
        <v>0</v>
      </c>
      <c r="AS340" s="8" t="n">
        <v>0</v>
      </c>
      <c r="AT340" s="8" t="n">
        <v>0</v>
      </c>
      <c r="AU340" s="8" t="n">
        <v>0</v>
      </c>
      <c r="AV340" s="8" t="n">
        <v>0</v>
      </c>
      <c r="AW340" s="8" t="n">
        <v>1</v>
      </c>
      <c r="AX340" s="8" t="n">
        <v>0</v>
      </c>
      <c r="AY340" s="8" t="n">
        <v>0</v>
      </c>
      <c r="AZ340" s="8" t="n">
        <v>0</v>
      </c>
      <c r="BA340" s="8" t="n">
        <v>0</v>
      </c>
      <c r="BB340" s="8" t="n">
        <v>0</v>
      </c>
      <c r="BC340" s="8" t="n">
        <v>41</v>
      </c>
      <c r="BD340" s="8" t="n">
        <v>0</v>
      </c>
      <c r="BE340" s="8" t="n">
        <v>0</v>
      </c>
      <c r="BF340" s="8" t="n">
        <v>0</v>
      </c>
      <c r="BG340" s="10" t="s">
        <v>2799</v>
      </c>
      <c r="BH340" s="9" t="s">
        <v>2809</v>
      </c>
    </row>
    <row r="341" customFormat="false" ht="15" hidden="false" customHeight="false" outlineLevel="0" collapsed="false">
      <c r="A341" s="8" t="s">
        <v>2810</v>
      </c>
      <c r="B341" s="8" t="s">
        <v>2793</v>
      </c>
      <c r="C341" s="8" t="n">
        <v>6</v>
      </c>
      <c r="D341" s="8" t="n">
        <v>1892</v>
      </c>
      <c r="E341" s="8" t="n">
        <v>1894</v>
      </c>
      <c r="F341" s="8" t="str">
        <f aca="false">IF(D341="","?",IF(D341&lt;1796,"pre-1796",IF(D341&lt;1912,"1796-1911",IF(D341&lt;1949,"1912-1948","1949+"))))</f>
        <v>1796-1911</v>
      </c>
      <c r="G341" s="8" t="str">
        <f aca="false">IF(D341="","?",IF(D341&lt;1912,"Qing",IF(D341&lt;1949,"Republic","PRC")))</f>
        <v>Qing</v>
      </c>
      <c r="H341" s="8" t="s">
        <v>2794</v>
      </c>
      <c r="I341" s="8"/>
      <c r="J341" s="9" t="s">
        <v>426</v>
      </c>
      <c r="K341" s="8" t="s">
        <v>84</v>
      </c>
      <c r="L341" s="9" t="s">
        <v>2795</v>
      </c>
      <c r="M341" s="8"/>
      <c r="N341" s="8"/>
      <c r="O341" s="8" t="s">
        <v>2796</v>
      </c>
      <c r="P341" s="8" t="s">
        <v>114</v>
      </c>
      <c r="Q341" s="8"/>
      <c r="R341" s="9" t="s">
        <v>725</v>
      </c>
      <c r="S341" s="8"/>
      <c r="T341" s="8"/>
      <c r="U341" s="8"/>
      <c r="V341" s="8"/>
      <c r="W341" s="8"/>
      <c r="X341" s="8"/>
      <c r="Y341" s="8"/>
      <c r="Z341" s="8"/>
      <c r="AA341" s="8"/>
      <c r="AB341" s="8"/>
      <c r="AC341" s="8"/>
      <c r="AD341" s="8"/>
      <c r="AE341" s="9" t="s">
        <v>1384</v>
      </c>
      <c r="AF341" s="8"/>
      <c r="AG341" s="8"/>
      <c r="AH341" s="8"/>
      <c r="AI341" s="8" t="n">
        <v>0</v>
      </c>
      <c r="AJ341" s="8" t="n">
        <v>0</v>
      </c>
      <c r="AK341" s="8" t="n">
        <v>0</v>
      </c>
      <c r="AL341" s="8" t="n">
        <v>0</v>
      </c>
      <c r="AM341" s="8" t="n">
        <v>0</v>
      </c>
      <c r="AN341" s="8" t="n">
        <v>0</v>
      </c>
      <c r="AO341" s="8" t="n">
        <v>0</v>
      </c>
      <c r="AP341" s="8" t="n">
        <v>0</v>
      </c>
      <c r="AQ341" s="8" t="n">
        <v>0</v>
      </c>
      <c r="AR341" s="8" t="n">
        <v>0</v>
      </c>
      <c r="AS341" s="8" t="n">
        <v>0</v>
      </c>
      <c r="AT341" s="8" t="n">
        <v>0</v>
      </c>
      <c r="AU341" s="8" t="n">
        <v>0</v>
      </c>
      <c r="AV341" s="8" t="n">
        <v>0</v>
      </c>
      <c r="AW341" s="8" t="n">
        <v>1</v>
      </c>
      <c r="AX341" s="8" t="n">
        <v>0</v>
      </c>
      <c r="AY341" s="8" t="n">
        <v>1</v>
      </c>
      <c r="AZ341" s="8" t="n">
        <v>0</v>
      </c>
      <c r="BA341" s="8" t="n">
        <v>0</v>
      </c>
      <c r="BB341" s="8" t="n">
        <v>0</v>
      </c>
      <c r="BC341" s="8" t="n">
        <v>62</v>
      </c>
      <c r="BD341" s="8" t="n">
        <v>0</v>
      </c>
      <c r="BE341" s="8" t="n">
        <v>0</v>
      </c>
      <c r="BF341" s="8" t="n">
        <v>0</v>
      </c>
      <c r="BG341" s="10" t="s">
        <v>2799</v>
      </c>
      <c r="BH341" s="9" t="s">
        <v>2811</v>
      </c>
    </row>
    <row r="342" customFormat="false" ht="15" hidden="false" customHeight="false" outlineLevel="0" collapsed="false">
      <c r="A342" s="8" t="s">
        <v>2812</v>
      </c>
      <c r="B342" s="8" t="s">
        <v>2793</v>
      </c>
      <c r="C342" s="8" t="n">
        <v>7</v>
      </c>
      <c r="D342" s="8" t="n">
        <v>1892</v>
      </c>
      <c r="E342" s="8" t="n">
        <v>1894</v>
      </c>
      <c r="F342" s="8" t="str">
        <f aca="false">IF(D342="","?",IF(D342&lt;1796,"pre-1796",IF(D342&lt;1912,"1796-1911",IF(D342&lt;1949,"1912-1948","1949+"))))</f>
        <v>1796-1911</v>
      </c>
      <c r="G342" s="8" t="str">
        <f aca="false">IF(D342="","?",IF(D342&lt;1912,"Qing",IF(D342&lt;1949,"Republic","PRC")))</f>
        <v>Qing</v>
      </c>
      <c r="H342" s="8" t="s">
        <v>2794</v>
      </c>
      <c r="I342" s="8"/>
      <c r="J342" s="9" t="s">
        <v>426</v>
      </c>
      <c r="K342" s="8" t="s">
        <v>84</v>
      </c>
      <c r="L342" s="9" t="s">
        <v>2795</v>
      </c>
      <c r="M342" s="8"/>
      <c r="N342" s="8"/>
      <c r="O342" s="8" t="s">
        <v>2796</v>
      </c>
      <c r="P342" s="8" t="s">
        <v>114</v>
      </c>
      <c r="Q342" s="8"/>
      <c r="R342" s="9" t="s">
        <v>725</v>
      </c>
      <c r="S342" s="8"/>
      <c r="T342" s="8"/>
      <c r="U342" s="8"/>
      <c r="V342" s="8"/>
      <c r="W342" s="8"/>
      <c r="X342" s="8"/>
      <c r="Y342" s="8"/>
      <c r="Z342" s="8"/>
      <c r="AA342" s="8"/>
      <c r="AB342" s="8"/>
      <c r="AC342" s="8"/>
      <c r="AD342" s="8"/>
      <c r="AE342" s="9" t="s">
        <v>1384</v>
      </c>
      <c r="AF342" s="8"/>
      <c r="AG342" s="8"/>
      <c r="AH342" s="8"/>
      <c r="AI342" s="8" t="n">
        <v>0</v>
      </c>
      <c r="AJ342" s="8" t="n">
        <v>0</v>
      </c>
      <c r="AK342" s="8" t="n">
        <v>0</v>
      </c>
      <c r="AL342" s="8" t="n">
        <v>0</v>
      </c>
      <c r="AM342" s="8" t="n">
        <v>0</v>
      </c>
      <c r="AN342" s="8" t="n">
        <v>0</v>
      </c>
      <c r="AO342" s="8" t="n">
        <v>0</v>
      </c>
      <c r="AP342" s="8" t="n">
        <v>0</v>
      </c>
      <c r="AQ342" s="8" t="n">
        <v>0</v>
      </c>
      <c r="AR342" s="8" t="n">
        <v>0</v>
      </c>
      <c r="AS342" s="8" t="n">
        <v>0</v>
      </c>
      <c r="AT342" s="8" t="n">
        <v>0</v>
      </c>
      <c r="AU342" s="8" t="n">
        <v>0</v>
      </c>
      <c r="AV342" s="8" t="n">
        <v>0</v>
      </c>
      <c r="AW342" s="8" t="n">
        <v>1</v>
      </c>
      <c r="AX342" s="8" t="n">
        <v>0</v>
      </c>
      <c r="AY342" s="8" t="n">
        <v>0</v>
      </c>
      <c r="AZ342" s="8" t="n">
        <v>0</v>
      </c>
      <c r="BA342" s="8" t="n">
        <v>0</v>
      </c>
      <c r="BB342" s="8" t="n">
        <v>0</v>
      </c>
      <c r="BC342" s="8" t="n">
        <v>105</v>
      </c>
      <c r="BD342" s="8" t="n">
        <v>0</v>
      </c>
      <c r="BE342" s="8" t="n">
        <v>0</v>
      </c>
      <c r="BF342" s="8" t="n">
        <v>0</v>
      </c>
      <c r="BG342" s="10" t="s">
        <v>2799</v>
      </c>
      <c r="BH342" s="9" t="s">
        <v>2813</v>
      </c>
    </row>
    <row r="343" customFormat="false" ht="15" hidden="false" customHeight="false" outlineLevel="0" collapsed="false">
      <c r="A343" s="8" t="s">
        <v>2814</v>
      </c>
      <c r="B343" s="8" t="s">
        <v>2793</v>
      </c>
      <c r="C343" s="8" t="n">
        <v>8</v>
      </c>
      <c r="D343" s="8" t="n">
        <v>1892</v>
      </c>
      <c r="E343" s="8" t="n">
        <v>1894</v>
      </c>
      <c r="F343" s="8" t="str">
        <f aca="false">IF(D343="","?",IF(D343&lt;1796,"pre-1796",IF(D343&lt;1912,"1796-1911",IF(D343&lt;1949,"1912-1948","1949+"))))</f>
        <v>1796-1911</v>
      </c>
      <c r="G343" s="8" t="str">
        <f aca="false">IF(D343="","?",IF(D343&lt;1912,"Qing",IF(D343&lt;1949,"Republic","PRC")))</f>
        <v>Qing</v>
      </c>
      <c r="H343" s="8" t="s">
        <v>2794</v>
      </c>
      <c r="I343" s="8"/>
      <c r="J343" s="9" t="s">
        <v>426</v>
      </c>
      <c r="K343" s="8" t="s">
        <v>84</v>
      </c>
      <c r="L343" s="9" t="s">
        <v>2795</v>
      </c>
      <c r="M343" s="8"/>
      <c r="N343" s="8"/>
      <c r="O343" s="8" t="s">
        <v>2796</v>
      </c>
      <c r="P343" s="8" t="s">
        <v>114</v>
      </c>
      <c r="Q343" s="8"/>
      <c r="R343" s="9" t="s">
        <v>725</v>
      </c>
      <c r="S343" s="8"/>
      <c r="T343" s="8"/>
      <c r="U343" s="8"/>
      <c r="V343" s="8"/>
      <c r="W343" s="8"/>
      <c r="X343" s="8"/>
      <c r="Y343" s="8"/>
      <c r="Z343" s="8"/>
      <c r="AA343" s="8"/>
      <c r="AB343" s="8"/>
      <c r="AC343" s="8"/>
      <c r="AD343" s="8"/>
      <c r="AE343" s="9" t="s">
        <v>1384</v>
      </c>
      <c r="AF343" s="8"/>
      <c r="AG343" s="8"/>
      <c r="AH343" s="8"/>
      <c r="AI343" s="8" t="n">
        <v>0</v>
      </c>
      <c r="AJ343" s="8" t="n">
        <v>0</v>
      </c>
      <c r="AK343" s="8" t="n">
        <v>0</v>
      </c>
      <c r="AL343" s="8" t="n">
        <v>0</v>
      </c>
      <c r="AM343" s="8" t="n">
        <v>0</v>
      </c>
      <c r="AN343" s="8" t="n">
        <v>0</v>
      </c>
      <c r="AO343" s="8" t="n">
        <v>0</v>
      </c>
      <c r="AP343" s="8" t="n">
        <v>0</v>
      </c>
      <c r="AQ343" s="8" t="n">
        <v>0</v>
      </c>
      <c r="AR343" s="8" t="n">
        <v>0</v>
      </c>
      <c r="AS343" s="8" t="n">
        <v>1</v>
      </c>
      <c r="AT343" s="8" t="n">
        <v>0</v>
      </c>
      <c r="AU343" s="8" t="n">
        <v>0</v>
      </c>
      <c r="AV343" s="8" t="n">
        <v>0</v>
      </c>
      <c r="AW343" s="8" t="n">
        <v>1</v>
      </c>
      <c r="AX343" s="8" t="n">
        <v>0</v>
      </c>
      <c r="AY343" s="8" t="n">
        <v>1</v>
      </c>
      <c r="AZ343" s="8" t="n">
        <v>0</v>
      </c>
      <c r="BA343" s="8" t="n">
        <v>0</v>
      </c>
      <c r="BB343" s="8" t="n">
        <v>0</v>
      </c>
      <c r="BC343" s="8" t="n">
        <v>113</v>
      </c>
      <c r="BD343" s="8" t="n">
        <v>0</v>
      </c>
      <c r="BE343" s="8" t="n">
        <v>0</v>
      </c>
      <c r="BF343" s="8" t="n">
        <v>0</v>
      </c>
      <c r="BG343" s="10" t="s">
        <v>2799</v>
      </c>
      <c r="BH343" s="9" t="s">
        <v>2815</v>
      </c>
    </row>
    <row r="344" customFormat="false" ht="15" hidden="false" customHeight="false" outlineLevel="0" collapsed="false">
      <c r="A344" s="8" t="s">
        <v>2816</v>
      </c>
      <c r="B344" s="8" t="s">
        <v>2793</v>
      </c>
      <c r="C344" s="8" t="n">
        <v>9</v>
      </c>
      <c r="D344" s="8" t="n">
        <v>1892</v>
      </c>
      <c r="E344" s="8" t="n">
        <v>1894</v>
      </c>
      <c r="F344" s="8" t="str">
        <f aca="false">IF(D344="","?",IF(D344&lt;1796,"pre-1796",IF(D344&lt;1912,"1796-1911",IF(D344&lt;1949,"1912-1948","1949+"))))</f>
        <v>1796-1911</v>
      </c>
      <c r="G344" s="8" t="str">
        <f aca="false">IF(D344="","?",IF(D344&lt;1912,"Qing",IF(D344&lt;1949,"Republic","PRC")))</f>
        <v>Qing</v>
      </c>
      <c r="H344" s="8" t="s">
        <v>2794</v>
      </c>
      <c r="I344" s="8"/>
      <c r="J344" s="9" t="s">
        <v>426</v>
      </c>
      <c r="K344" s="8" t="s">
        <v>84</v>
      </c>
      <c r="L344" s="9" t="s">
        <v>2795</v>
      </c>
      <c r="M344" s="8"/>
      <c r="N344" s="8"/>
      <c r="O344" s="8" t="s">
        <v>2796</v>
      </c>
      <c r="P344" s="8" t="s">
        <v>114</v>
      </c>
      <c r="Q344" s="8"/>
      <c r="R344" s="9" t="s">
        <v>725</v>
      </c>
      <c r="S344" s="8"/>
      <c r="T344" s="8"/>
      <c r="U344" s="8"/>
      <c r="V344" s="8"/>
      <c r="W344" s="8"/>
      <c r="X344" s="8"/>
      <c r="Y344" s="8"/>
      <c r="Z344" s="8"/>
      <c r="AA344" s="8"/>
      <c r="AB344" s="8"/>
      <c r="AC344" s="8"/>
      <c r="AD344" s="8"/>
      <c r="AE344" s="9" t="s">
        <v>2804</v>
      </c>
      <c r="AF344" s="8"/>
      <c r="AG344" s="8"/>
      <c r="AH344" s="8"/>
      <c r="AI344" s="8" t="n">
        <v>0</v>
      </c>
      <c r="AJ344" s="8" t="n">
        <v>0</v>
      </c>
      <c r="AK344" s="8" t="n">
        <v>0</v>
      </c>
      <c r="AL344" s="8" t="n">
        <v>0</v>
      </c>
      <c r="AM344" s="8" t="n">
        <v>0</v>
      </c>
      <c r="AN344" s="8" t="n">
        <v>0</v>
      </c>
      <c r="AO344" s="8" t="n">
        <v>0</v>
      </c>
      <c r="AP344" s="8" t="n">
        <v>0</v>
      </c>
      <c r="AQ344" s="8" t="n">
        <v>0</v>
      </c>
      <c r="AR344" s="8" t="n">
        <v>0</v>
      </c>
      <c r="AS344" s="8" t="n">
        <v>0</v>
      </c>
      <c r="AT344" s="8" t="n">
        <v>0</v>
      </c>
      <c r="AU344" s="8" t="n">
        <v>0</v>
      </c>
      <c r="AV344" s="8" t="n">
        <v>0</v>
      </c>
      <c r="AW344" s="8" t="n">
        <v>1</v>
      </c>
      <c r="AX344" s="8" t="n">
        <v>0</v>
      </c>
      <c r="AY344" s="8" t="n">
        <v>1</v>
      </c>
      <c r="AZ344" s="8" t="n">
        <v>0</v>
      </c>
      <c r="BA344" s="8" t="n">
        <v>0</v>
      </c>
      <c r="BB344" s="8" t="n">
        <v>0</v>
      </c>
      <c r="BC344" s="8" t="n">
        <v>198</v>
      </c>
      <c r="BD344" s="8" t="n">
        <v>0</v>
      </c>
      <c r="BE344" s="8" t="n">
        <v>0</v>
      </c>
      <c r="BF344" s="8" t="n">
        <v>0</v>
      </c>
      <c r="BG344" s="10" t="s">
        <v>2799</v>
      </c>
      <c r="BH344" s="9" t="s">
        <v>2817</v>
      </c>
    </row>
    <row r="345" customFormat="false" ht="15" hidden="false" customHeight="false" outlineLevel="0" collapsed="false">
      <c r="A345" s="8" t="s">
        <v>2818</v>
      </c>
      <c r="B345" s="8" t="s">
        <v>2793</v>
      </c>
      <c r="C345" s="8" t="n">
        <v>10</v>
      </c>
      <c r="D345" s="8" t="n">
        <v>1892</v>
      </c>
      <c r="E345" s="8" t="n">
        <v>1894</v>
      </c>
      <c r="F345" s="8" t="str">
        <f aca="false">IF(D345="","?",IF(D345&lt;1796,"pre-1796",IF(D345&lt;1912,"1796-1911",IF(D345&lt;1949,"1912-1948","1949+"))))</f>
        <v>1796-1911</v>
      </c>
      <c r="G345" s="8" t="str">
        <f aca="false">IF(D345="","?",IF(D345&lt;1912,"Qing",IF(D345&lt;1949,"Republic","PRC")))</f>
        <v>Qing</v>
      </c>
      <c r="H345" s="8" t="s">
        <v>2794</v>
      </c>
      <c r="I345" s="8"/>
      <c r="J345" s="9" t="s">
        <v>426</v>
      </c>
      <c r="K345" s="8" t="s">
        <v>84</v>
      </c>
      <c r="L345" s="9" t="s">
        <v>2795</v>
      </c>
      <c r="M345" s="8"/>
      <c r="N345" s="8"/>
      <c r="O345" s="8" t="s">
        <v>2796</v>
      </c>
      <c r="P345" s="8" t="s">
        <v>114</v>
      </c>
      <c r="Q345" s="8"/>
      <c r="R345" s="9" t="s">
        <v>725</v>
      </c>
      <c r="S345" s="8"/>
      <c r="T345" s="8"/>
      <c r="U345" s="8"/>
      <c r="V345" s="8"/>
      <c r="W345" s="8"/>
      <c r="X345" s="8"/>
      <c r="Y345" s="8"/>
      <c r="Z345" s="8"/>
      <c r="AA345" s="8"/>
      <c r="AB345" s="8"/>
      <c r="AC345" s="8"/>
      <c r="AD345" s="8"/>
      <c r="AE345" s="9" t="s">
        <v>1384</v>
      </c>
      <c r="AF345" s="8"/>
      <c r="AG345" s="8"/>
      <c r="AH345" s="8"/>
      <c r="AI345" s="8" t="n">
        <v>0</v>
      </c>
      <c r="AJ345" s="8" t="n">
        <v>0</v>
      </c>
      <c r="AK345" s="8" t="n">
        <v>0</v>
      </c>
      <c r="AL345" s="8" t="n">
        <v>0</v>
      </c>
      <c r="AM345" s="8" t="n">
        <v>0</v>
      </c>
      <c r="AN345" s="8" t="n">
        <v>0</v>
      </c>
      <c r="AO345" s="8" t="n">
        <v>0</v>
      </c>
      <c r="AP345" s="8" t="n">
        <v>0</v>
      </c>
      <c r="AQ345" s="8" t="n">
        <v>0</v>
      </c>
      <c r="AR345" s="8" t="n">
        <v>0</v>
      </c>
      <c r="AS345" s="8" t="n">
        <v>0</v>
      </c>
      <c r="AT345" s="8" t="n">
        <v>0</v>
      </c>
      <c r="AU345" s="8" t="n">
        <v>0</v>
      </c>
      <c r="AV345" s="8" t="n">
        <v>0</v>
      </c>
      <c r="AW345" s="8" t="n">
        <v>1</v>
      </c>
      <c r="AX345" s="8" t="n">
        <v>0</v>
      </c>
      <c r="AY345" s="8" t="n">
        <v>0</v>
      </c>
      <c r="AZ345" s="8" t="n">
        <v>0</v>
      </c>
      <c r="BA345" s="8" t="n">
        <v>0</v>
      </c>
      <c r="BB345" s="8" t="n">
        <v>0</v>
      </c>
      <c r="BC345" s="8" t="n">
        <v>127</v>
      </c>
      <c r="BD345" s="8" t="n">
        <v>0</v>
      </c>
      <c r="BE345" s="8" t="n">
        <v>0</v>
      </c>
      <c r="BF345" s="8" t="n">
        <v>0</v>
      </c>
      <c r="BG345" s="10" t="s">
        <v>2799</v>
      </c>
      <c r="BH345" s="9" t="s">
        <v>2819</v>
      </c>
    </row>
    <row r="346" customFormat="false" ht="15" hidden="false" customHeight="false" outlineLevel="0" collapsed="false">
      <c r="A346" s="8" t="s">
        <v>2820</v>
      </c>
      <c r="B346" s="8" t="s">
        <v>2793</v>
      </c>
      <c r="C346" s="8" t="n">
        <v>11</v>
      </c>
      <c r="D346" s="8" t="n">
        <v>1892</v>
      </c>
      <c r="E346" s="8" t="n">
        <v>1894</v>
      </c>
      <c r="F346" s="8" t="str">
        <f aca="false">IF(D346="","?",IF(D346&lt;1796,"pre-1796",IF(D346&lt;1912,"1796-1911",IF(D346&lt;1949,"1912-1948","1949+"))))</f>
        <v>1796-1911</v>
      </c>
      <c r="G346" s="8" t="str">
        <f aca="false">IF(D346="","?",IF(D346&lt;1912,"Qing",IF(D346&lt;1949,"Republic","PRC")))</f>
        <v>Qing</v>
      </c>
      <c r="H346" s="8" t="s">
        <v>2794</v>
      </c>
      <c r="I346" s="8"/>
      <c r="J346" s="9" t="s">
        <v>426</v>
      </c>
      <c r="K346" s="8" t="s">
        <v>84</v>
      </c>
      <c r="L346" s="9" t="s">
        <v>2795</v>
      </c>
      <c r="M346" s="8"/>
      <c r="N346" s="8"/>
      <c r="O346" s="8" t="s">
        <v>2796</v>
      </c>
      <c r="P346" s="8" t="s">
        <v>114</v>
      </c>
      <c r="Q346" s="8"/>
      <c r="R346" s="9" t="s">
        <v>2821</v>
      </c>
      <c r="S346" s="8"/>
      <c r="T346" s="8"/>
      <c r="U346" s="8"/>
      <c r="V346" s="8"/>
      <c r="W346" s="8"/>
      <c r="X346" s="8"/>
      <c r="Y346" s="8"/>
      <c r="Z346" s="8"/>
      <c r="AA346" s="8"/>
      <c r="AB346" s="8"/>
      <c r="AC346" s="8"/>
      <c r="AD346" s="8"/>
      <c r="AE346" s="9" t="s">
        <v>2822</v>
      </c>
      <c r="AF346" s="8"/>
      <c r="AG346" s="8"/>
      <c r="AH346" s="8"/>
      <c r="AI346" s="8" t="n">
        <v>0</v>
      </c>
      <c r="AJ346" s="8" t="n">
        <v>0</v>
      </c>
      <c r="AK346" s="8" t="n">
        <v>0</v>
      </c>
      <c r="AL346" s="8" t="n">
        <v>0</v>
      </c>
      <c r="AM346" s="8" t="n">
        <v>0</v>
      </c>
      <c r="AN346" s="8" t="n">
        <v>0</v>
      </c>
      <c r="AO346" s="8" t="n">
        <v>0</v>
      </c>
      <c r="AP346" s="8" t="n">
        <v>0</v>
      </c>
      <c r="AQ346" s="8" t="n">
        <v>0</v>
      </c>
      <c r="AR346" s="8" t="n">
        <v>0</v>
      </c>
      <c r="AS346" s="8" t="n">
        <v>0</v>
      </c>
      <c r="AT346" s="8" t="n">
        <v>0</v>
      </c>
      <c r="AU346" s="8" t="n">
        <v>0</v>
      </c>
      <c r="AV346" s="8" t="n">
        <v>0</v>
      </c>
      <c r="AW346" s="8" t="n">
        <v>0</v>
      </c>
      <c r="AX346" s="8" t="n">
        <v>0</v>
      </c>
      <c r="AY346" s="8" t="n">
        <v>0</v>
      </c>
      <c r="AZ346" s="8" t="n">
        <v>0</v>
      </c>
      <c r="BA346" s="8" t="n">
        <v>0</v>
      </c>
      <c r="BB346" s="8" t="n">
        <v>0</v>
      </c>
      <c r="BC346" s="8" t="n">
        <v>45</v>
      </c>
      <c r="BD346" s="8" t="n">
        <v>0</v>
      </c>
      <c r="BE346" s="8" t="n">
        <v>0</v>
      </c>
      <c r="BF346" s="8" t="n">
        <v>0</v>
      </c>
      <c r="BG346" s="10" t="s">
        <v>2799</v>
      </c>
      <c r="BH346" s="9" t="s">
        <v>2823</v>
      </c>
    </row>
    <row r="347" customFormat="false" ht="15" hidden="false" customHeight="false" outlineLevel="0" collapsed="false">
      <c r="A347" s="8" t="s">
        <v>2824</v>
      </c>
      <c r="B347" s="8" t="s">
        <v>2793</v>
      </c>
      <c r="C347" s="8" t="n">
        <v>12</v>
      </c>
      <c r="D347" s="8" t="n">
        <v>1892</v>
      </c>
      <c r="E347" s="8" t="n">
        <v>1894</v>
      </c>
      <c r="F347" s="8" t="str">
        <f aca="false">IF(D347="","?",IF(D347&lt;1796,"pre-1796",IF(D347&lt;1912,"1796-1911",IF(D347&lt;1949,"1912-1948","1949+"))))</f>
        <v>1796-1911</v>
      </c>
      <c r="G347" s="8" t="str">
        <f aca="false">IF(D347="","?",IF(D347&lt;1912,"Qing",IF(D347&lt;1949,"Republic","PRC")))</f>
        <v>Qing</v>
      </c>
      <c r="H347" s="8" t="s">
        <v>2794</v>
      </c>
      <c r="I347" s="8"/>
      <c r="J347" s="9" t="s">
        <v>426</v>
      </c>
      <c r="K347" s="8" t="s">
        <v>84</v>
      </c>
      <c r="L347" s="9" t="s">
        <v>2795</v>
      </c>
      <c r="M347" s="8"/>
      <c r="N347" s="8"/>
      <c r="O347" s="8" t="s">
        <v>2796</v>
      </c>
      <c r="P347" s="8" t="s">
        <v>114</v>
      </c>
      <c r="Q347" s="8"/>
      <c r="R347" s="9" t="s">
        <v>1370</v>
      </c>
      <c r="S347" s="8"/>
      <c r="T347" s="8"/>
      <c r="U347" s="8"/>
      <c r="V347" s="8"/>
      <c r="W347" s="8"/>
      <c r="X347" s="8"/>
      <c r="Y347" s="8"/>
      <c r="Z347" s="8"/>
      <c r="AA347" s="8"/>
      <c r="AB347" s="8"/>
      <c r="AC347" s="8"/>
      <c r="AD347" s="8"/>
      <c r="AE347" s="9" t="s">
        <v>2825</v>
      </c>
      <c r="AF347" s="8"/>
      <c r="AG347" s="8"/>
      <c r="AH347" s="8"/>
      <c r="AI347" s="8" t="n">
        <v>0</v>
      </c>
      <c r="AJ347" s="8" t="n">
        <v>0</v>
      </c>
      <c r="AK347" s="8" t="n">
        <v>0</v>
      </c>
      <c r="AL347" s="8" t="n">
        <v>0</v>
      </c>
      <c r="AM347" s="8" t="n">
        <v>0</v>
      </c>
      <c r="AN347" s="8" t="n">
        <v>0</v>
      </c>
      <c r="AO347" s="8" t="n">
        <v>0</v>
      </c>
      <c r="AP347" s="8" t="n">
        <v>0</v>
      </c>
      <c r="AQ347" s="8" t="n">
        <v>0</v>
      </c>
      <c r="AR347" s="8" t="n">
        <v>0</v>
      </c>
      <c r="AS347" s="8" t="n">
        <v>0</v>
      </c>
      <c r="AT347" s="8" t="n">
        <v>0</v>
      </c>
      <c r="AU347" s="8" t="n">
        <v>0</v>
      </c>
      <c r="AV347" s="8" t="n">
        <v>0</v>
      </c>
      <c r="AW347" s="8" t="n">
        <v>0</v>
      </c>
      <c r="AX347" s="8" t="n">
        <v>0</v>
      </c>
      <c r="AY347" s="8" t="n">
        <v>0</v>
      </c>
      <c r="AZ347" s="8" t="n">
        <v>0</v>
      </c>
      <c r="BA347" s="8" t="n">
        <v>0</v>
      </c>
      <c r="BB347" s="8" t="n">
        <v>0</v>
      </c>
      <c r="BC347" s="8" t="n">
        <v>66</v>
      </c>
      <c r="BD347" s="8" t="n">
        <v>0</v>
      </c>
      <c r="BE347" s="8" t="n">
        <v>0</v>
      </c>
      <c r="BF347" s="8" t="n">
        <v>0</v>
      </c>
      <c r="BG347" s="10" t="s">
        <v>2799</v>
      </c>
      <c r="BH347" s="9" t="s">
        <v>2826</v>
      </c>
    </row>
    <row r="348" customFormat="false" ht="15" hidden="false" customHeight="false" outlineLevel="0" collapsed="false">
      <c r="A348" s="8" t="s">
        <v>2827</v>
      </c>
      <c r="B348" s="8" t="s">
        <v>2793</v>
      </c>
      <c r="C348" s="8" t="n">
        <v>13</v>
      </c>
      <c r="D348" s="8" t="n">
        <v>1892</v>
      </c>
      <c r="E348" s="8" t="n">
        <v>1894</v>
      </c>
      <c r="F348" s="8" t="str">
        <f aca="false">IF(D348="","?",IF(D348&lt;1796,"pre-1796",IF(D348&lt;1912,"1796-1911",IF(D348&lt;1949,"1912-1948","1949+"))))</f>
        <v>1796-1911</v>
      </c>
      <c r="G348" s="8" t="str">
        <f aca="false">IF(D348="","?",IF(D348&lt;1912,"Qing",IF(D348&lt;1949,"Republic","PRC")))</f>
        <v>Qing</v>
      </c>
      <c r="H348" s="8" t="s">
        <v>2794</v>
      </c>
      <c r="I348" s="8"/>
      <c r="J348" s="9" t="s">
        <v>426</v>
      </c>
      <c r="K348" s="8" t="s">
        <v>84</v>
      </c>
      <c r="L348" s="9" t="s">
        <v>2795</v>
      </c>
      <c r="M348" s="8"/>
      <c r="N348" s="8"/>
      <c r="O348" s="8" t="s">
        <v>2796</v>
      </c>
      <c r="P348" s="8" t="s">
        <v>114</v>
      </c>
      <c r="Q348" s="8"/>
      <c r="R348" s="9" t="s">
        <v>2828</v>
      </c>
      <c r="S348" s="8"/>
      <c r="T348" s="8"/>
      <c r="U348" s="8"/>
      <c r="V348" s="8"/>
      <c r="W348" s="8"/>
      <c r="X348" s="8"/>
      <c r="Y348" s="8"/>
      <c r="Z348" s="8"/>
      <c r="AA348" s="8"/>
      <c r="AB348" s="8"/>
      <c r="AC348" s="8"/>
      <c r="AD348" s="8"/>
      <c r="AE348" s="8"/>
      <c r="AF348" s="8"/>
      <c r="AG348" s="8"/>
      <c r="AH348" s="8"/>
      <c r="AI348" s="8" t="n">
        <v>0</v>
      </c>
      <c r="AJ348" s="8" t="n">
        <v>0</v>
      </c>
      <c r="AK348" s="8" t="n">
        <v>0</v>
      </c>
      <c r="AL348" s="8" t="n">
        <v>0</v>
      </c>
      <c r="AM348" s="8" t="n">
        <v>0</v>
      </c>
      <c r="AN348" s="8" t="n">
        <v>0</v>
      </c>
      <c r="AO348" s="8" t="n">
        <v>0</v>
      </c>
      <c r="AP348" s="8" t="n">
        <v>0</v>
      </c>
      <c r="AQ348" s="8" t="n">
        <v>0</v>
      </c>
      <c r="AR348" s="8" t="n">
        <v>0</v>
      </c>
      <c r="AS348" s="8" t="n">
        <v>0</v>
      </c>
      <c r="AT348" s="8" t="n">
        <v>0</v>
      </c>
      <c r="AU348" s="8" t="n">
        <v>0</v>
      </c>
      <c r="AV348" s="8" t="n">
        <v>0</v>
      </c>
      <c r="AW348" s="8" t="n">
        <v>0</v>
      </c>
      <c r="AX348" s="8" t="n">
        <v>0</v>
      </c>
      <c r="AY348" s="8" t="n">
        <v>0</v>
      </c>
      <c r="AZ348" s="8" t="n">
        <v>0</v>
      </c>
      <c r="BA348" s="8" t="n">
        <v>0</v>
      </c>
      <c r="BB348" s="8" t="n">
        <v>0</v>
      </c>
      <c r="BC348" s="8" t="n">
        <v>98</v>
      </c>
      <c r="BD348" s="8" t="n">
        <v>0</v>
      </c>
      <c r="BE348" s="8" t="n">
        <v>0</v>
      </c>
      <c r="BF348" s="8" t="n">
        <v>0</v>
      </c>
      <c r="BG348" s="10" t="s">
        <v>2799</v>
      </c>
      <c r="BH348" s="9" t="s">
        <v>2829</v>
      </c>
    </row>
    <row r="349" customFormat="false" ht="15" hidden="false" customHeight="false" outlineLevel="0" collapsed="false">
      <c r="A349" s="8" t="s">
        <v>2830</v>
      </c>
      <c r="B349" s="8" t="s">
        <v>2793</v>
      </c>
      <c r="C349" s="8" t="n">
        <v>14</v>
      </c>
      <c r="D349" s="8" t="n">
        <v>1892</v>
      </c>
      <c r="E349" s="8" t="n">
        <v>1894</v>
      </c>
      <c r="F349" s="8" t="str">
        <f aca="false">IF(D349="","?",IF(D349&lt;1796,"pre-1796",IF(D349&lt;1912,"1796-1911",IF(D349&lt;1949,"1912-1948","1949+"))))</f>
        <v>1796-1911</v>
      </c>
      <c r="G349" s="8" t="str">
        <f aca="false">IF(D349="","?",IF(D349&lt;1912,"Qing",IF(D349&lt;1949,"Republic","PRC")))</f>
        <v>Qing</v>
      </c>
      <c r="H349" s="8" t="s">
        <v>2794</v>
      </c>
      <c r="I349" s="8"/>
      <c r="J349" s="9" t="s">
        <v>426</v>
      </c>
      <c r="K349" s="8" t="s">
        <v>84</v>
      </c>
      <c r="L349" s="9" t="s">
        <v>2795</v>
      </c>
      <c r="M349" s="8"/>
      <c r="N349" s="8"/>
      <c r="O349" s="8" t="s">
        <v>2796</v>
      </c>
      <c r="P349" s="8" t="s">
        <v>114</v>
      </c>
      <c r="Q349" s="8"/>
      <c r="R349" s="9" t="s">
        <v>1370</v>
      </c>
      <c r="S349" s="8"/>
      <c r="T349" s="8"/>
      <c r="U349" s="8"/>
      <c r="V349" s="8"/>
      <c r="W349" s="8"/>
      <c r="X349" s="8"/>
      <c r="Y349" s="8"/>
      <c r="Z349" s="8"/>
      <c r="AA349" s="8"/>
      <c r="AB349" s="8"/>
      <c r="AC349" s="8"/>
      <c r="AD349" s="8"/>
      <c r="AE349" s="9" t="s">
        <v>2831</v>
      </c>
      <c r="AF349" s="8"/>
      <c r="AG349" s="8"/>
      <c r="AH349" s="8"/>
      <c r="AI349" s="8" t="n">
        <v>0</v>
      </c>
      <c r="AJ349" s="8" t="n">
        <v>0</v>
      </c>
      <c r="AK349" s="8" t="n">
        <v>0</v>
      </c>
      <c r="AL349" s="8" t="n">
        <v>0</v>
      </c>
      <c r="AM349" s="8" t="n">
        <v>0</v>
      </c>
      <c r="AN349" s="8" t="n">
        <v>0</v>
      </c>
      <c r="AO349" s="8" t="n">
        <v>0</v>
      </c>
      <c r="AP349" s="8" t="n">
        <v>0</v>
      </c>
      <c r="AQ349" s="8" t="n">
        <v>0</v>
      </c>
      <c r="AR349" s="8" t="n">
        <v>0</v>
      </c>
      <c r="AS349" s="8" t="n">
        <v>0</v>
      </c>
      <c r="AT349" s="8" t="n">
        <v>0</v>
      </c>
      <c r="AU349" s="8" t="n">
        <v>0</v>
      </c>
      <c r="AV349" s="8" t="n">
        <v>0</v>
      </c>
      <c r="AW349" s="8" t="n">
        <v>0</v>
      </c>
      <c r="AX349" s="8" t="n">
        <v>0</v>
      </c>
      <c r="AY349" s="8" t="n">
        <v>0</v>
      </c>
      <c r="AZ349" s="8" t="n">
        <v>0</v>
      </c>
      <c r="BA349" s="8" t="n">
        <v>0</v>
      </c>
      <c r="BB349" s="8" t="n">
        <v>0</v>
      </c>
      <c r="BC349" s="8" t="n">
        <v>102</v>
      </c>
      <c r="BD349" s="8" t="n">
        <v>0</v>
      </c>
      <c r="BE349" s="8" t="n">
        <v>0</v>
      </c>
      <c r="BF349" s="8" t="n">
        <v>0</v>
      </c>
      <c r="BG349" s="10" t="s">
        <v>2799</v>
      </c>
      <c r="BH349" s="9" t="s">
        <v>2832</v>
      </c>
    </row>
    <row r="350" customFormat="false" ht="15" hidden="false" customHeight="false" outlineLevel="0" collapsed="false">
      <c r="A350" s="8" t="s">
        <v>2833</v>
      </c>
      <c r="B350" s="8" t="s">
        <v>2793</v>
      </c>
      <c r="C350" s="8" t="n">
        <v>15</v>
      </c>
      <c r="D350" s="8" t="n">
        <v>1892</v>
      </c>
      <c r="E350" s="8" t="n">
        <v>1894</v>
      </c>
      <c r="F350" s="8" t="str">
        <f aca="false">IF(D350="","?",IF(D350&lt;1796,"pre-1796",IF(D350&lt;1912,"1796-1911",IF(D350&lt;1949,"1912-1948","1949+"))))</f>
        <v>1796-1911</v>
      </c>
      <c r="G350" s="8" t="str">
        <f aca="false">IF(D350="","?",IF(D350&lt;1912,"Qing",IF(D350&lt;1949,"Republic","PRC")))</f>
        <v>Qing</v>
      </c>
      <c r="H350" s="8" t="s">
        <v>2794</v>
      </c>
      <c r="I350" s="8"/>
      <c r="J350" s="9" t="s">
        <v>426</v>
      </c>
      <c r="K350" s="8" t="s">
        <v>84</v>
      </c>
      <c r="L350" s="9" t="s">
        <v>2795</v>
      </c>
      <c r="M350" s="8"/>
      <c r="N350" s="8"/>
      <c r="O350" s="8" t="s">
        <v>2796</v>
      </c>
      <c r="P350" s="8" t="s">
        <v>114</v>
      </c>
      <c r="Q350" s="8"/>
      <c r="R350" s="8"/>
      <c r="S350" s="8"/>
      <c r="T350" s="8"/>
      <c r="U350" s="8"/>
      <c r="V350" s="8"/>
      <c r="W350" s="8"/>
      <c r="X350" s="8"/>
      <c r="Y350" s="8"/>
      <c r="Z350" s="8"/>
      <c r="AA350" s="8"/>
      <c r="AB350" s="8"/>
      <c r="AC350" s="8"/>
      <c r="AD350" s="8"/>
      <c r="AE350" s="9" t="s">
        <v>2831</v>
      </c>
      <c r="AF350" s="8"/>
      <c r="AG350" s="8"/>
      <c r="AH350" s="8"/>
      <c r="AI350" s="8" t="n">
        <v>0</v>
      </c>
      <c r="AJ350" s="8" t="n">
        <v>0</v>
      </c>
      <c r="AK350" s="8" t="n">
        <v>0</v>
      </c>
      <c r="AL350" s="8" t="n">
        <v>0</v>
      </c>
      <c r="AM350" s="8" t="n">
        <v>0</v>
      </c>
      <c r="AN350" s="8" t="n">
        <v>0</v>
      </c>
      <c r="AO350" s="8" t="n">
        <v>0</v>
      </c>
      <c r="AP350" s="8" t="n">
        <v>0</v>
      </c>
      <c r="AQ350" s="8" t="n">
        <v>0</v>
      </c>
      <c r="AR350" s="8" t="n">
        <v>0</v>
      </c>
      <c r="AS350" s="8" t="n">
        <v>0</v>
      </c>
      <c r="AT350" s="8" t="n">
        <v>0</v>
      </c>
      <c r="AU350" s="8" t="n">
        <v>0</v>
      </c>
      <c r="AV350" s="8" t="n">
        <v>0</v>
      </c>
      <c r="AW350" s="8" t="n">
        <v>0</v>
      </c>
      <c r="AX350" s="8" t="n">
        <v>0</v>
      </c>
      <c r="AY350" s="8" t="n">
        <v>0</v>
      </c>
      <c r="AZ350" s="8" t="n">
        <v>0</v>
      </c>
      <c r="BA350" s="8" t="n">
        <v>0</v>
      </c>
      <c r="BB350" s="8" t="n">
        <v>0</v>
      </c>
      <c r="BC350" s="8" t="n">
        <v>42</v>
      </c>
      <c r="BD350" s="8" t="n">
        <v>0</v>
      </c>
      <c r="BE350" s="8" t="n">
        <v>0</v>
      </c>
      <c r="BF350" s="8" t="n">
        <v>0</v>
      </c>
      <c r="BG350" s="10" t="s">
        <v>2799</v>
      </c>
      <c r="BH350" s="9" t="s">
        <v>2834</v>
      </c>
    </row>
    <row r="351" customFormat="false" ht="15" hidden="false" customHeight="false" outlineLevel="0" collapsed="false">
      <c r="A351" s="8" t="s">
        <v>2835</v>
      </c>
      <c r="B351" s="8" t="s">
        <v>2836</v>
      </c>
      <c r="C351" s="8" t="n">
        <v>1</v>
      </c>
      <c r="D351" s="8" t="n">
        <v>1886</v>
      </c>
      <c r="E351" s="8" t="n">
        <v>1913</v>
      </c>
      <c r="F351" s="8" t="str">
        <f aca="false">IF(D351="","?",IF(D351&lt;1796,"pre-1796",IF(D351&lt;1912,"1796-1911",IF(D351&lt;1949,"1912-1948","1949+"))))</f>
        <v>1796-1911</v>
      </c>
      <c r="G351" s="8" t="str">
        <f aca="false">IF(D351="","?",IF(D351&lt;1912,"Qing",IF(D351&lt;1949,"Republic","PRC")))</f>
        <v>Qing</v>
      </c>
      <c r="H351" s="8" t="s">
        <v>2837</v>
      </c>
      <c r="I351" s="9" t="s">
        <v>128</v>
      </c>
      <c r="J351" s="9" t="s">
        <v>223</v>
      </c>
      <c r="K351" s="8" t="s">
        <v>84</v>
      </c>
      <c r="L351" s="8"/>
      <c r="M351" s="9" t="s">
        <v>2838</v>
      </c>
      <c r="N351" s="9" t="s">
        <v>2839</v>
      </c>
      <c r="O351" s="8" t="s">
        <v>2840</v>
      </c>
      <c r="P351" s="8" t="s">
        <v>97</v>
      </c>
      <c r="Q351" s="9" t="s">
        <v>134</v>
      </c>
      <c r="R351" s="9" t="s">
        <v>2841</v>
      </c>
      <c r="S351" s="9" t="s">
        <v>2838</v>
      </c>
      <c r="T351" s="9" t="s">
        <v>2839</v>
      </c>
      <c r="U351" s="9" t="s">
        <v>1749</v>
      </c>
      <c r="V351" s="8"/>
      <c r="W351" s="9" t="s">
        <v>2842</v>
      </c>
      <c r="X351" s="9" t="s">
        <v>2843</v>
      </c>
      <c r="Y351" s="9" t="s">
        <v>715</v>
      </c>
      <c r="Z351" s="9" t="s">
        <v>2844</v>
      </c>
      <c r="AA351" s="9" t="s">
        <v>2845</v>
      </c>
      <c r="AB351" s="9" t="s">
        <v>2846</v>
      </c>
      <c r="AC351" s="9" t="s">
        <v>2009</v>
      </c>
      <c r="AD351" s="8"/>
      <c r="AE351" s="8"/>
      <c r="AF351" s="9" t="s">
        <v>399</v>
      </c>
      <c r="AG351" s="8"/>
      <c r="AH351" s="9" t="s">
        <v>2847</v>
      </c>
      <c r="AI351" s="8" t="n">
        <v>1</v>
      </c>
      <c r="AJ351" s="8" t="n">
        <v>0</v>
      </c>
      <c r="AK351" s="8" t="n">
        <v>1</v>
      </c>
      <c r="AL351" s="8" t="n">
        <v>1</v>
      </c>
      <c r="AM351" s="8" t="n">
        <v>1</v>
      </c>
      <c r="AN351" s="8" t="n">
        <v>1</v>
      </c>
      <c r="AO351" s="8" t="n">
        <v>1</v>
      </c>
      <c r="AP351" s="8" t="n">
        <v>0</v>
      </c>
      <c r="AQ351" s="8" t="n">
        <v>1</v>
      </c>
      <c r="AR351" s="8" t="n">
        <v>1</v>
      </c>
      <c r="AS351" s="8" t="n">
        <v>1</v>
      </c>
      <c r="AT351" s="8" t="n">
        <v>0</v>
      </c>
      <c r="AU351" s="8" t="n">
        <v>0</v>
      </c>
      <c r="AV351" s="8" t="n">
        <v>1</v>
      </c>
      <c r="AW351" s="8" t="n">
        <v>0</v>
      </c>
      <c r="AX351" s="8" t="n">
        <v>0</v>
      </c>
      <c r="AY351" s="8" t="n">
        <v>0</v>
      </c>
      <c r="AZ351" s="8" t="n">
        <v>0</v>
      </c>
      <c r="BA351" s="8" t="n">
        <v>0</v>
      </c>
      <c r="BB351" s="8" t="n">
        <v>0</v>
      </c>
      <c r="BC351" s="8" t="n">
        <v>342</v>
      </c>
      <c r="BD351" s="8" t="n">
        <v>0</v>
      </c>
      <c r="BE351" s="8" t="n">
        <v>0</v>
      </c>
      <c r="BF351" s="8" t="n">
        <v>0</v>
      </c>
      <c r="BG351" s="10" t="s">
        <v>2848</v>
      </c>
      <c r="BH351" s="9" t="s">
        <v>2849</v>
      </c>
    </row>
    <row r="352" customFormat="false" ht="15" hidden="false" customHeight="false" outlineLevel="0" collapsed="false">
      <c r="A352" s="8" t="s">
        <v>2850</v>
      </c>
      <c r="B352" s="8" t="s">
        <v>2836</v>
      </c>
      <c r="C352" s="8" t="n">
        <v>2</v>
      </c>
      <c r="D352" s="8" t="n">
        <v>1886</v>
      </c>
      <c r="E352" s="8" t="n">
        <v>1913</v>
      </c>
      <c r="F352" s="8" t="str">
        <f aca="false">IF(D352="","?",IF(D352&lt;1796,"pre-1796",IF(D352&lt;1912,"1796-1911",IF(D352&lt;1949,"1912-1948","1949+"))))</f>
        <v>1796-1911</v>
      </c>
      <c r="G352" s="8" t="str">
        <f aca="false">IF(D352="","?",IF(D352&lt;1912,"Qing",IF(D352&lt;1949,"Republic","PRC")))</f>
        <v>Qing</v>
      </c>
      <c r="H352" s="8" t="s">
        <v>2837</v>
      </c>
      <c r="I352" s="9" t="s">
        <v>128</v>
      </c>
      <c r="J352" s="9" t="s">
        <v>223</v>
      </c>
      <c r="K352" s="8" t="s">
        <v>84</v>
      </c>
      <c r="L352" s="8"/>
      <c r="M352" s="9" t="s">
        <v>2838</v>
      </c>
      <c r="N352" s="9" t="s">
        <v>2839</v>
      </c>
      <c r="O352" s="8" t="s">
        <v>2840</v>
      </c>
      <c r="P352" s="8" t="s">
        <v>114</v>
      </c>
      <c r="Q352" s="9" t="s">
        <v>115</v>
      </c>
      <c r="R352" s="9" t="s">
        <v>2851</v>
      </c>
      <c r="S352" s="8"/>
      <c r="T352" s="8"/>
      <c r="U352" s="9" t="s">
        <v>2852</v>
      </c>
      <c r="V352" s="8"/>
      <c r="W352" s="9" t="s">
        <v>2853</v>
      </c>
      <c r="X352" s="8"/>
      <c r="Y352" s="8"/>
      <c r="Z352" s="8"/>
      <c r="AA352" s="8"/>
      <c r="AB352" s="8"/>
      <c r="AC352" s="8"/>
      <c r="AD352" s="8"/>
      <c r="AE352" s="9" t="s">
        <v>1952</v>
      </c>
      <c r="AF352" s="9" t="s">
        <v>399</v>
      </c>
      <c r="AG352" s="9" t="s">
        <v>2839</v>
      </c>
      <c r="AH352" s="9" t="s">
        <v>2854</v>
      </c>
      <c r="AI352" s="8" t="n">
        <v>0</v>
      </c>
      <c r="AJ352" s="8" t="n">
        <v>0</v>
      </c>
      <c r="AK352" s="8" t="n">
        <v>0</v>
      </c>
      <c r="AL352" s="8" t="n">
        <v>0</v>
      </c>
      <c r="AM352" s="8" t="n">
        <v>0</v>
      </c>
      <c r="AN352" s="8" t="n">
        <v>0</v>
      </c>
      <c r="AO352" s="8" t="n">
        <v>0</v>
      </c>
      <c r="AP352" s="8" t="n">
        <v>0</v>
      </c>
      <c r="AQ352" s="8" t="n">
        <v>0</v>
      </c>
      <c r="AR352" s="8" t="n">
        <v>0</v>
      </c>
      <c r="AS352" s="8" t="n">
        <v>1</v>
      </c>
      <c r="AT352" s="8" t="n">
        <v>0</v>
      </c>
      <c r="AU352" s="8" t="n">
        <v>0</v>
      </c>
      <c r="AV352" s="8" t="n">
        <v>0</v>
      </c>
      <c r="AW352" s="8" t="n">
        <v>0</v>
      </c>
      <c r="AX352" s="8" t="n">
        <v>1</v>
      </c>
      <c r="AY352" s="8" t="n">
        <v>1</v>
      </c>
      <c r="AZ352" s="8" t="n">
        <v>1</v>
      </c>
      <c r="BA352" s="8" t="n">
        <v>1</v>
      </c>
      <c r="BB352" s="8" t="n">
        <v>1</v>
      </c>
      <c r="BC352" s="8" t="n">
        <v>345</v>
      </c>
      <c r="BD352" s="8" t="n">
        <v>0</v>
      </c>
      <c r="BE352" s="8" t="n">
        <v>0</v>
      </c>
      <c r="BF352" s="8" t="n">
        <v>0</v>
      </c>
      <c r="BG352" s="10" t="s">
        <v>2848</v>
      </c>
      <c r="BH352" s="9" t="s">
        <v>2855</v>
      </c>
    </row>
    <row r="353" customFormat="false" ht="15" hidden="false" customHeight="false" outlineLevel="0" collapsed="false">
      <c r="A353" s="8" t="s">
        <v>2856</v>
      </c>
      <c r="B353" s="8" t="s">
        <v>2857</v>
      </c>
      <c r="C353" s="8" t="n">
        <v>1</v>
      </c>
      <c r="D353" s="8" t="n">
        <v>1909</v>
      </c>
      <c r="E353" s="8" t="n">
        <v>1909</v>
      </c>
      <c r="F353" s="8" t="str">
        <f aca="false">IF(D353="","?",IF(D353&lt;1796,"pre-1796",IF(D353&lt;1912,"1796-1911",IF(D353&lt;1949,"1912-1948","1949+"))))</f>
        <v>1796-1911</v>
      </c>
      <c r="G353" s="8" t="str">
        <f aca="false">IF(D353="","?",IF(D353&lt;1912,"Qing",IF(D353&lt;1949,"Republic","PRC")))</f>
        <v>Qing</v>
      </c>
      <c r="H353" s="8" t="s">
        <v>2562</v>
      </c>
      <c r="I353" s="8"/>
      <c r="J353" s="8"/>
      <c r="K353" s="8" t="s">
        <v>84</v>
      </c>
      <c r="L353" s="8"/>
      <c r="M353" s="9" t="s">
        <v>2858</v>
      </c>
      <c r="N353" s="9" t="s">
        <v>2859</v>
      </c>
      <c r="O353" s="8" t="s">
        <v>2860</v>
      </c>
      <c r="P353" s="8" t="s">
        <v>133</v>
      </c>
      <c r="Q353" s="9" t="s">
        <v>134</v>
      </c>
      <c r="R353" s="8"/>
      <c r="S353" s="9" t="s">
        <v>2861</v>
      </c>
      <c r="T353" s="8"/>
      <c r="U353" s="8"/>
      <c r="V353" s="8"/>
      <c r="W353" s="8"/>
      <c r="X353" s="9" t="s">
        <v>2862</v>
      </c>
      <c r="Y353" s="9" t="s">
        <v>306</v>
      </c>
      <c r="Z353" s="8"/>
      <c r="AA353" s="9" t="s">
        <v>342</v>
      </c>
      <c r="AB353" s="9" t="s">
        <v>2863</v>
      </c>
      <c r="AC353" s="8"/>
      <c r="AD353" s="8"/>
      <c r="AE353" s="8"/>
      <c r="AF353" s="8"/>
      <c r="AG353" s="8"/>
      <c r="AH353" s="8"/>
      <c r="AI353" s="8" t="n">
        <v>1</v>
      </c>
      <c r="AJ353" s="8" t="n">
        <v>0</v>
      </c>
      <c r="AK353" s="8" t="n">
        <v>1</v>
      </c>
      <c r="AL353" s="8" t="n">
        <v>0</v>
      </c>
      <c r="AM353" s="8" t="n">
        <v>1</v>
      </c>
      <c r="AN353" s="8" t="n">
        <v>1</v>
      </c>
      <c r="AO353" s="8" t="n">
        <v>1</v>
      </c>
      <c r="AP353" s="8" t="n">
        <v>1</v>
      </c>
      <c r="AQ353" s="8" t="n">
        <v>1</v>
      </c>
      <c r="AR353" s="8" t="n">
        <v>1</v>
      </c>
      <c r="AS353" s="8" t="n">
        <v>1</v>
      </c>
      <c r="AT353" s="8" t="n">
        <v>0</v>
      </c>
      <c r="AU353" s="8" t="n">
        <v>0</v>
      </c>
      <c r="AV353" s="8" t="n">
        <v>1</v>
      </c>
      <c r="AW353" s="8" t="n">
        <v>0</v>
      </c>
      <c r="AX353" s="8" t="n">
        <v>0</v>
      </c>
      <c r="AY353" s="8" t="n">
        <v>0</v>
      </c>
      <c r="AZ353" s="8" t="n">
        <v>0</v>
      </c>
      <c r="BA353" s="8" t="n">
        <v>0</v>
      </c>
      <c r="BB353" s="8" t="n">
        <v>0</v>
      </c>
      <c r="BC353" s="8" t="n">
        <v>269</v>
      </c>
      <c r="BD353" s="8" t="n">
        <v>0</v>
      </c>
      <c r="BE353" s="8" t="n">
        <v>0</v>
      </c>
      <c r="BF353" s="8" t="n">
        <v>0</v>
      </c>
      <c r="BG353" s="10" t="s">
        <v>2864</v>
      </c>
      <c r="BH353" s="9" t="s">
        <v>2865</v>
      </c>
    </row>
    <row r="354" customFormat="false" ht="15" hidden="false" customHeight="false" outlineLevel="0" collapsed="false">
      <c r="A354" s="8" t="s">
        <v>2866</v>
      </c>
      <c r="B354" s="8" t="s">
        <v>2867</v>
      </c>
      <c r="C354" s="8" t="n">
        <v>1</v>
      </c>
      <c r="D354" s="8" t="n">
        <v>1782</v>
      </c>
      <c r="E354" s="8" t="n">
        <v>1782</v>
      </c>
      <c r="F354" s="8" t="str">
        <f aca="false">IF(D354="","?",IF(D354&lt;1796,"pre-1796",IF(D354&lt;1912,"1796-1911",IF(D354&lt;1949,"1912-1948","1949+"))))</f>
        <v>pre-1796</v>
      </c>
      <c r="G354" s="8" t="str">
        <f aca="false">IF(D354="","?",IF(D354&lt;1912,"Qing",IF(D354&lt;1949,"Republic","PRC")))</f>
        <v>Qing</v>
      </c>
      <c r="H354" s="8" t="s">
        <v>549</v>
      </c>
      <c r="I354" s="8"/>
      <c r="J354" s="8"/>
      <c r="K354" s="8" t="s">
        <v>130</v>
      </c>
      <c r="L354" s="8"/>
      <c r="M354" s="9" t="s">
        <v>2868</v>
      </c>
      <c r="N354" s="8"/>
      <c r="O354" s="8" t="s">
        <v>2869</v>
      </c>
      <c r="P354" s="8" t="s">
        <v>133</v>
      </c>
      <c r="Q354" s="9" t="s">
        <v>2870</v>
      </c>
      <c r="R354" s="9" t="s">
        <v>2871</v>
      </c>
      <c r="S354" s="9" t="s">
        <v>2872</v>
      </c>
      <c r="T354" s="9" t="s">
        <v>2873</v>
      </c>
      <c r="U354" s="8"/>
      <c r="V354" s="8"/>
      <c r="W354" s="9" t="s">
        <v>2874</v>
      </c>
      <c r="X354" s="9" t="s">
        <v>2875</v>
      </c>
      <c r="Y354" s="9" t="s">
        <v>2876</v>
      </c>
      <c r="Z354" s="9" t="s">
        <v>2877</v>
      </c>
      <c r="AA354" s="8"/>
      <c r="AB354" s="8"/>
      <c r="AC354" s="9" t="s">
        <v>2878</v>
      </c>
      <c r="AD354" s="9" t="s">
        <v>2879</v>
      </c>
      <c r="AE354" s="8"/>
      <c r="AF354" s="8"/>
      <c r="AG354" s="8"/>
      <c r="AH354" s="9" t="s">
        <v>2880</v>
      </c>
      <c r="AI354" s="8" t="n">
        <v>1</v>
      </c>
      <c r="AJ354" s="8" t="n">
        <v>0</v>
      </c>
      <c r="AK354" s="8" t="n">
        <v>0</v>
      </c>
      <c r="AL354" s="8" t="n">
        <v>1</v>
      </c>
      <c r="AM354" s="8" t="n">
        <v>1</v>
      </c>
      <c r="AN354" s="8" t="n">
        <v>1</v>
      </c>
      <c r="AO354" s="8" t="n">
        <v>1</v>
      </c>
      <c r="AP354" s="8" t="n">
        <v>1</v>
      </c>
      <c r="AQ354" s="8" t="n">
        <v>0</v>
      </c>
      <c r="AR354" s="8" t="n">
        <v>1</v>
      </c>
      <c r="AS354" s="8" t="n">
        <v>1</v>
      </c>
      <c r="AT354" s="8" t="n">
        <v>1</v>
      </c>
      <c r="AU354" s="8" t="n">
        <v>0</v>
      </c>
      <c r="AV354" s="8" t="n">
        <v>0</v>
      </c>
      <c r="AW354" s="8" t="n">
        <v>0</v>
      </c>
      <c r="AX354" s="8" t="n">
        <v>0</v>
      </c>
      <c r="AY354" s="8" t="n">
        <v>0</v>
      </c>
      <c r="AZ354" s="8" t="n">
        <v>0</v>
      </c>
      <c r="BA354" s="8" t="n">
        <v>0</v>
      </c>
      <c r="BB354" s="8" t="n">
        <v>0</v>
      </c>
      <c r="BC354" s="8" t="n">
        <v>280</v>
      </c>
      <c r="BD354" s="8" t="n">
        <v>0</v>
      </c>
      <c r="BE354" s="8" t="n">
        <v>0</v>
      </c>
      <c r="BF354" s="8" t="n">
        <v>0</v>
      </c>
      <c r="BG354" s="10" t="s">
        <v>2881</v>
      </c>
      <c r="BH354" s="9" t="s">
        <v>2882</v>
      </c>
    </row>
    <row r="355" customFormat="false" ht="15" hidden="false" customHeight="false" outlineLevel="0" collapsed="false">
      <c r="A355" s="8" t="s">
        <v>2883</v>
      </c>
      <c r="B355" s="8" t="s">
        <v>2884</v>
      </c>
      <c r="C355" s="8" t="n">
        <v>1</v>
      </c>
      <c r="D355" s="8" t="n">
        <v>1903</v>
      </c>
      <c r="E355" s="8" t="n">
        <v>1903</v>
      </c>
      <c r="F355" s="8" t="str">
        <f aca="false">IF(D355="","?",IF(D355&lt;1796,"pre-1796",IF(D355&lt;1912,"1796-1911",IF(D355&lt;1949,"1912-1948","1949+"))))</f>
        <v>1796-1911</v>
      </c>
      <c r="G355" s="8" t="str">
        <f aca="false">IF(D355="","?",IF(D355&lt;1912,"Qing",IF(D355&lt;1949,"Republic","PRC")))</f>
        <v>Qing</v>
      </c>
      <c r="H355" s="8" t="s">
        <v>2885</v>
      </c>
      <c r="I355" s="8"/>
      <c r="J355" s="8"/>
      <c r="K355" s="8" t="s">
        <v>130</v>
      </c>
      <c r="L355" s="8"/>
      <c r="M355" s="9" t="s">
        <v>2886</v>
      </c>
      <c r="N355" s="8"/>
      <c r="O355" s="8" t="s">
        <v>2887</v>
      </c>
      <c r="P355" s="8" t="s">
        <v>133</v>
      </c>
      <c r="Q355" s="9" t="s">
        <v>2870</v>
      </c>
      <c r="R355" s="9" t="s">
        <v>2888</v>
      </c>
      <c r="S355" s="9" t="s">
        <v>2889</v>
      </c>
      <c r="T355" s="9" t="s">
        <v>2890</v>
      </c>
      <c r="U355" s="9" t="s">
        <v>2891</v>
      </c>
      <c r="V355" s="8"/>
      <c r="W355" s="9" t="s">
        <v>2892</v>
      </c>
      <c r="X355" s="8"/>
      <c r="Y355" s="8"/>
      <c r="Z355" s="9" t="s">
        <v>2893</v>
      </c>
      <c r="AA355" s="9" t="s">
        <v>2894</v>
      </c>
      <c r="AB355" s="9" t="s">
        <v>2895</v>
      </c>
      <c r="AC355" s="9" t="s">
        <v>2896</v>
      </c>
      <c r="AD355" s="9" t="s">
        <v>790</v>
      </c>
      <c r="AE355" s="8"/>
      <c r="AF355" s="8"/>
      <c r="AG355" s="8"/>
      <c r="AH355" s="8"/>
      <c r="AI355" s="8" t="n">
        <v>1</v>
      </c>
      <c r="AJ355" s="8" t="n">
        <v>0</v>
      </c>
      <c r="AK355" s="8" t="n">
        <v>1</v>
      </c>
      <c r="AL355" s="8" t="n">
        <v>1</v>
      </c>
      <c r="AM355" s="8" t="n">
        <v>1</v>
      </c>
      <c r="AN355" s="8" t="n">
        <v>1</v>
      </c>
      <c r="AO355" s="8" t="n">
        <v>1</v>
      </c>
      <c r="AP355" s="8" t="n">
        <v>1</v>
      </c>
      <c r="AQ355" s="8" t="n">
        <v>0</v>
      </c>
      <c r="AR355" s="8" t="n">
        <v>0</v>
      </c>
      <c r="AS355" s="8" t="n">
        <v>1</v>
      </c>
      <c r="AT355" s="8" t="n">
        <v>1</v>
      </c>
      <c r="AU355" s="8" t="n">
        <v>0</v>
      </c>
      <c r="AV355" s="8" t="n">
        <v>0</v>
      </c>
      <c r="AW355" s="8" t="n">
        <v>0</v>
      </c>
      <c r="AX355" s="8" t="n">
        <v>0</v>
      </c>
      <c r="AY355" s="8" t="n">
        <v>0</v>
      </c>
      <c r="AZ355" s="8" t="n">
        <v>0</v>
      </c>
      <c r="BA355" s="8" t="n">
        <v>0</v>
      </c>
      <c r="BB355" s="8" t="n">
        <v>0</v>
      </c>
      <c r="BC355" s="8" t="n">
        <v>379</v>
      </c>
      <c r="BD355" s="8" t="n">
        <v>0</v>
      </c>
      <c r="BE355" s="8" t="n">
        <v>0</v>
      </c>
      <c r="BF355" s="8" t="n">
        <v>0</v>
      </c>
      <c r="BG355" s="10" t="s">
        <v>2897</v>
      </c>
      <c r="BH355" s="9" t="s">
        <v>2898</v>
      </c>
    </row>
    <row r="356" customFormat="false" ht="15" hidden="false" customHeight="false" outlineLevel="0" collapsed="false">
      <c r="A356" s="8" t="s">
        <v>2899</v>
      </c>
      <c r="B356" s="8" t="s">
        <v>2900</v>
      </c>
      <c r="C356" s="8" t="n">
        <v>1</v>
      </c>
      <c r="D356" s="8" t="n">
        <v>1929</v>
      </c>
      <c r="E356" s="8" t="n">
        <v>1929</v>
      </c>
      <c r="F356" s="8" t="str">
        <f aca="false">IF(D356="","?",IF(D356&lt;1796,"pre-1796",IF(D356&lt;1912,"1796-1911",IF(D356&lt;1949,"1912-1948","1949+"))))</f>
        <v>1912-1948</v>
      </c>
      <c r="G356" s="8" t="str">
        <f aca="false">IF(D356="","?",IF(D356&lt;1912,"Qing",IF(D356&lt;1949,"Republic","PRC")))</f>
        <v>Republic</v>
      </c>
      <c r="H356" s="8" t="s">
        <v>109</v>
      </c>
      <c r="I356" s="9" t="s">
        <v>128</v>
      </c>
      <c r="J356" s="9" t="s">
        <v>223</v>
      </c>
      <c r="K356" s="8" t="s">
        <v>84</v>
      </c>
      <c r="L356" s="9" t="s">
        <v>2901</v>
      </c>
      <c r="M356" s="9" t="s">
        <v>2902</v>
      </c>
      <c r="N356" s="8"/>
      <c r="O356" s="8" t="s">
        <v>2903</v>
      </c>
      <c r="P356" s="8" t="s">
        <v>114</v>
      </c>
      <c r="Q356" s="9" t="s">
        <v>2904</v>
      </c>
      <c r="R356" s="9" t="s">
        <v>2905</v>
      </c>
      <c r="S356" s="8"/>
      <c r="T356" s="8"/>
      <c r="U356" s="9" t="s">
        <v>2906</v>
      </c>
      <c r="V356" s="8"/>
      <c r="W356" s="9" t="s">
        <v>2907</v>
      </c>
      <c r="X356" s="8"/>
      <c r="Y356" s="8"/>
      <c r="Z356" s="8"/>
      <c r="AA356" s="8"/>
      <c r="AB356" s="8"/>
      <c r="AC356" s="8"/>
      <c r="AD356" s="8"/>
      <c r="AE356" s="9" t="s">
        <v>2908</v>
      </c>
      <c r="AF356" s="9" t="s">
        <v>378</v>
      </c>
      <c r="AG356" s="8"/>
      <c r="AH356" s="8"/>
      <c r="AI356" s="8" t="n">
        <v>0</v>
      </c>
      <c r="AJ356" s="8" t="n">
        <v>0</v>
      </c>
      <c r="AK356" s="8" t="n">
        <v>1</v>
      </c>
      <c r="AL356" s="8" t="n">
        <v>0</v>
      </c>
      <c r="AM356" s="8" t="n">
        <v>0</v>
      </c>
      <c r="AN356" s="8" t="n">
        <v>0</v>
      </c>
      <c r="AO356" s="8" t="n">
        <v>0</v>
      </c>
      <c r="AP356" s="8" t="n">
        <v>0</v>
      </c>
      <c r="AQ356" s="8" t="n">
        <v>0</v>
      </c>
      <c r="AR356" s="8" t="n">
        <v>0</v>
      </c>
      <c r="AS356" s="8" t="n">
        <v>0</v>
      </c>
      <c r="AT356" s="8" t="n">
        <v>0</v>
      </c>
      <c r="AU356" s="8" t="n">
        <v>0</v>
      </c>
      <c r="AV356" s="8" t="n">
        <v>0</v>
      </c>
      <c r="AW356" s="8" t="n">
        <v>1</v>
      </c>
      <c r="AX356" s="8" t="n">
        <v>0</v>
      </c>
      <c r="AY356" s="8" t="n">
        <v>1</v>
      </c>
      <c r="AZ356" s="8" t="n">
        <v>0</v>
      </c>
      <c r="BA356" s="8" t="n">
        <v>0</v>
      </c>
      <c r="BB356" s="8" t="n">
        <v>0</v>
      </c>
      <c r="BC356" s="8" t="n">
        <v>196</v>
      </c>
      <c r="BD356" s="8" t="n">
        <v>0</v>
      </c>
      <c r="BE356" s="8" t="n">
        <v>0</v>
      </c>
      <c r="BF356" s="8" t="n">
        <v>0</v>
      </c>
      <c r="BG356" s="10" t="s">
        <v>2909</v>
      </c>
      <c r="BH356" s="9" t="s">
        <v>2910</v>
      </c>
    </row>
    <row r="357" customFormat="false" ht="15" hidden="false" customHeight="false" outlineLevel="0" collapsed="false">
      <c r="A357" s="8" t="s">
        <v>2911</v>
      </c>
      <c r="B357" s="8" t="s">
        <v>2912</v>
      </c>
      <c r="C357" s="8" t="n">
        <v>1</v>
      </c>
      <c r="D357" s="8" t="n">
        <v>1951</v>
      </c>
      <c r="E357" s="8" t="n">
        <v>1951</v>
      </c>
      <c r="F357" s="8" t="str">
        <f aca="false">IF(D357="","?",IF(D357&lt;1796,"pre-1796",IF(D357&lt;1912,"1796-1911",IF(D357&lt;1949,"1912-1948","1949+"))))</f>
        <v>1949+</v>
      </c>
      <c r="G357" s="8" t="str">
        <f aca="false">IF(D357="","?",IF(D357&lt;1912,"Qing",IF(D357&lt;1949,"Republic","PRC")))</f>
        <v>PRC</v>
      </c>
      <c r="H357" s="8" t="s">
        <v>2247</v>
      </c>
      <c r="I357" s="9" t="s">
        <v>128</v>
      </c>
      <c r="J357" s="9" t="s">
        <v>223</v>
      </c>
      <c r="K357" s="8" t="s">
        <v>84</v>
      </c>
      <c r="L357" s="9" t="s">
        <v>1704</v>
      </c>
      <c r="M357" s="8"/>
      <c r="N357" s="8"/>
      <c r="O357" s="8" t="s">
        <v>2913</v>
      </c>
      <c r="P357" s="8" t="s">
        <v>114</v>
      </c>
      <c r="Q357" s="8"/>
      <c r="R357" s="8"/>
      <c r="S357" s="8"/>
      <c r="T357" s="8"/>
      <c r="U357" s="8"/>
      <c r="V357" s="8"/>
      <c r="W357" s="8"/>
      <c r="X357" s="8"/>
      <c r="Y357" s="9" t="s">
        <v>246</v>
      </c>
      <c r="Z357" s="8"/>
      <c r="AA357" s="8"/>
      <c r="AB357" s="8"/>
      <c r="AC357" s="8"/>
      <c r="AD357" s="8"/>
      <c r="AE357" s="9" t="s">
        <v>2914</v>
      </c>
      <c r="AF357" s="8"/>
      <c r="AG357" s="8"/>
      <c r="AH357" s="9" t="s">
        <v>2915</v>
      </c>
      <c r="AI357" s="8" t="n">
        <v>0</v>
      </c>
      <c r="AJ357" s="8" t="n">
        <v>0</v>
      </c>
      <c r="AK357" s="8" t="n">
        <v>0</v>
      </c>
      <c r="AL357" s="8" t="n">
        <v>0</v>
      </c>
      <c r="AM357" s="8" t="n">
        <v>0</v>
      </c>
      <c r="AN357" s="8" t="n">
        <v>0</v>
      </c>
      <c r="AO357" s="8" t="n">
        <v>0</v>
      </c>
      <c r="AP357" s="8" t="n">
        <v>0</v>
      </c>
      <c r="AQ357" s="8" t="n">
        <v>0</v>
      </c>
      <c r="AR357" s="8" t="n">
        <v>0</v>
      </c>
      <c r="AS357" s="8" t="n">
        <v>0</v>
      </c>
      <c r="AT357" s="8" t="n">
        <v>0</v>
      </c>
      <c r="AU357" s="8" t="n">
        <v>0</v>
      </c>
      <c r="AV357" s="8" t="n">
        <v>0</v>
      </c>
      <c r="AW357" s="8" t="n">
        <v>0</v>
      </c>
      <c r="AX357" s="8" t="n">
        <v>0</v>
      </c>
      <c r="AY357" s="8" t="n">
        <v>0</v>
      </c>
      <c r="AZ357" s="8" t="n">
        <v>0</v>
      </c>
      <c r="BA357" s="8" t="n">
        <v>0</v>
      </c>
      <c r="BB357" s="8" t="n">
        <v>0</v>
      </c>
      <c r="BC357" s="8" t="n">
        <v>223</v>
      </c>
      <c r="BD357" s="8" t="n">
        <v>0</v>
      </c>
      <c r="BE357" s="8" t="n">
        <v>0</v>
      </c>
      <c r="BF357" s="8" t="n">
        <v>0</v>
      </c>
      <c r="BG357" s="10" t="s">
        <v>2916</v>
      </c>
      <c r="BH357" s="9" t="s">
        <v>2917</v>
      </c>
    </row>
    <row r="358" customFormat="false" ht="15" hidden="false" customHeight="false" outlineLevel="0" collapsed="false">
      <c r="A358" s="8" t="s">
        <v>2918</v>
      </c>
      <c r="B358" s="8" t="s">
        <v>2919</v>
      </c>
      <c r="C358" s="8" t="n">
        <v>1</v>
      </c>
      <c r="D358" s="8" t="n">
        <v>1858</v>
      </c>
      <c r="E358" s="8" t="n">
        <v>1858</v>
      </c>
      <c r="F358" s="8" t="str">
        <f aca="false">IF(D358="","?",IF(D358&lt;1796,"pre-1796",IF(D358&lt;1912,"1796-1911",IF(D358&lt;1949,"1912-1948","1949+"))))</f>
        <v>1796-1911</v>
      </c>
      <c r="G358" s="8" t="str">
        <f aca="false">IF(D358="","?",IF(D358&lt;1912,"Qing",IF(D358&lt;1949,"Republic","PRC")))</f>
        <v>Qing</v>
      </c>
      <c r="H358" s="8" t="s">
        <v>2920</v>
      </c>
      <c r="I358" s="8"/>
      <c r="J358" s="8"/>
      <c r="K358" s="8" t="s">
        <v>84</v>
      </c>
      <c r="L358" s="8"/>
      <c r="M358" s="9" t="s">
        <v>2921</v>
      </c>
      <c r="N358" s="8"/>
      <c r="O358" s="8" t="s">
        <v>2922</v>
      </c>
      <c r="P358" s="8" t="s">
        <v>133</v>
      </c>
      <c r="Q358" s="9" t="s">
        <v>2923</v>
      </c>
      <c r="R358" s="9" t="s">
        <v>2924</v>
      </c>
      <c r="S358" s="9" t="s">
        <v>2921</v>
      </c>
      <c r="T358" s="8"/>
      <c r="U358" s="9" t="s">
        <v>2925</v>
      </c>
      <c r="V358" s="8"/>
      <c r="W358" s="9" t="s">
        <v>2926</v>
      </c>
      <c r="X358" s="9" t="s">
        <v>2927</v>
      </c>
      <c r="Y358" s="9" t="s">
        <v>372</v>
      </c>
      <c r="Z358" s="9" t="s">
        <v>2928</v>
      </c>
      <c r="AA358" s="9" t="s">
        <v>2929</v>
      </c>
      <c r="AB358" s="9" t="s">
        <v>2930</v>
      </c>
      <c r="AC358" s="8"/>
      <c r="AD358" s="8"/>
      <c r="AE358" s="8"/>
      <c r="AF358" s="8"/>
      <c r="AG358" s="8"/>
      <c r="AH358" s="8"/>
      <c r="AI358" s="8" t="n">
        <v>1</v>
      </c>
      <c r="AJ358" s="8" t="n">
        <v>0</v>
      </c>
      <c r="AK358" s="8" t="n">
        <v>1</v>
      </c>
      <c r="AL358" s="8" t="n">
        <v>1</v>
      </c>
      <c r="AM358" s="8" t="n">
        <v>1</v>
      </c>
      <c r="AN358" s="8" t="n">
        <v>1</v>
      </c>
      <c r="AO358" s="8" t="n">
        <v>1</v>
      </c>
      <c r="AP358" s="8" t="n">
        <v>0</v>
      </c>
      <c r="AQ358" s="8" t="n">
        <v>1</v>
      </c>
      <c r="AR358" s="8" t="n">
        <v>0</v>
      </c>
      <c r="AS358" s="8" t="n">
        <v>1</v>
      </c>
      <c r="AT358" s="8" t="n">
        <v>0</v>
      </c>
      <c r="AU358" s="8" t="n">
        <v>0</v>
      </c>
      <c r="AV358" s="8" t="n">
        <v>1</v>
      </c>
      <c r="AW358" s="8" t="n">
        <v>0</v>
      </c>
      <c r="AX358" s="8" t="n">
        <v>0</v>
      </c>
      <c r="AY358" s="8" t="n">
        <v>0</v>
      </c>
      <c r="AZ358" s="8" t="n">
        <v>0</v>
      </c>
      <c r="BA358" s="8" t="n">
        <v>0</v>
      </c>
      <c r="BB358" s="8" t="n">
        <v>0</v>
      </c>
      <c r="BC358" s="8" t="n">
        <v>295</v>
      </c>
      <c r="BD358" s="8" t="n">
        <v>1</v>
      </c>
      <c r="BE358" s="8" t="n">
        <v>0</v>
      </c>
      <c r="BF358" s="8" t="n">
        <v>0</v>
      </c>
      <c r="BG358" s="10" t="s">
        <v>2931</v>
      </c>
      <c r="BH358" s="9" t="s">
        <v>2932</v>
      </c>
    </row>
    <row r="359" customFormat="false" ht="15" hidden="false" customHeight="false" outlineLevel="0" collapsed="false">
      <c r="A359" s="8" t="s">
        <v>2933</v>
      </c>
      <c r="B359" s="8" t="s">
        <v>2934</v>
      </c>
      <c r="C359" s="8" t="n">
        <v>1</v>
      </c>
      <c r="D359" s="8" t="n">
        <v>1887</v>
      </c>
      <c r="E359" s="8" t="n">
        <v>1887</v>
      </c>
      <c r="F359" s="8" t="str">
        <f aca="false">IF(D359="","?",IF(D359&lt;1796,"pre-1796",IF(D359&lt;1912,"1796-1911",IF(D359&lt;1949,"1912-1948","1949+"))))</f>
        <v>1796-1911</v>
      </c>
      <c r="G359" s="8" t="str">
        <f aca="false">IF(D359="","?",IF(D359&lt;1912,"Qing",IF(D359&lt;1949,"Republic","PRC")))</f>
        <v>Qing</v>
      </c>
      <c r="H359" s="8" t="s">
        <v>174</v>
      </c>
      <c r="I359" s="9" t="s">
        <v>128</v>
      </c>
      <c r="J359" s="9" t="s">
        <v>175</v>
      </c>
      <c r="K359" s="8" t="s">
        <v>84</v>
      </c>
      <c r="L359" s="8"/>
      <c r="M359" s="9" t="s">
        <v>1808</v>
      </c>
      <c r="N359" s="9" t="s">
        <v>1809</v>
      </c>
      <c r="O359" s="8" t="s">
        <v>2935</v>
      </c>
      <c r="P359" s="8" t="s">
        <v>97</v>
      </c>
      <c r="Q359" s="9" t="s">
        <v>300</v>
      </c>
      <c r="R359" s="9" t="s">
        <v>179</v>
      </c>
      <c r="S359" s="9" t="s">
        <v>1808</v>
      </c>
      <c r="T359" s="8"/>
      <c r="U359" s="9" t="s">
        <v>2936</v>
      </c>
      <c r="V359" s="8"/>
      <c r="W359" s="9" t="s">
        <v>2937</v>
      </c>
      <c r="X359" s="8"/>
      <c r="Y359" s="9" t="s">
        <v>477</v>
      </c>
      <c r="Z359" s="9" t="s">
        <v>2938</v>
      </c>
      <c r="AA359" s="9" t="s">
        <v>2939</v>
      </c>
      <c r="AB359" s="9" t="s">
        <v>2940</v>
      </c>
      <c r="AC359" s="8"/>
      <c r="AD359" s="9" t="s">
        <v>790</v>
      </c>
      <c r="AE359" s="8"/>
      <c r="AF359" s="8"/>
      <c r="AG359" s="8"/>
      <c r="AH359" s="8"/>
      <c r="AI359" s="8" t="n">
        <v>0</v>
      </c>
      <c r="AJ359" s="8" t="n">
        <v>0</v>
      </c>
      <c r="AK359" s="8" t="n">
        <v>1</v>
      </c>
      <c r="AL359" s="8" t="n">
        <v>1</v>
      </c>
      <c r="AM359" s="8" t="n">
        <v>1</v>
      </c>
      <c r="AN359" s="8" t="n">
        <v>1</v>
      </c>
      <c r="AO359" s="8" t="n">
        <v>1</v>
      </c>
      <c r="AP359" s="8" t="n">
        <v>0</v>
      </c>
      <c r="AQ359" s="8" t="n">
        <v>0</v>
      </c>
      <c r="AR359" s="8" t="n">
        <v>1</v>
      </c>
      <c r="AS359" s="8" t="n">
        <v>1</v>
      </c>
      <c r="AT359" s="8" t="n">
        <v>0</v>
      </c>
      <c r="AU359" s="8" t="n">
        <v>0</v>
      </c>
      <c r="AV359" s="8" t="n">
        <v>1</v>
      </c>
      <c r="AW359" s="8" t="n">
        <v>0</v>
      </c>
      <c r="AX359" s="8" t="n">
        <v>0</v>
      </c>
      <c r="AY359" s="8" t="n">
        <v>0</v>
      </c>
      <c r="AZ359" s="8" t="n">
        <v>0</v>
      </c>
      <c r="BA359" s="8" t="n">
        <v>1</v>
      </c>
      <c r="BB359" s="8" t="n">
        <v>0</v>
      </c>
      <c r="BC359" s="8" t="n">
        <v>569</v>
      </c>
      <c r="BD359" s="8" t="n">
        <v>1</v>
      </c>
      <c r="BE359" s="8" t="n">
        <v>0</v>
      </c>
      <c r="BF359" s="8" t="n">
        <v>0</v>
      </c>
      <c r="BG359" s="10" t="s">
        <v>2941</v>
      </c>
      <c r="BH359" s="9" t="s">
        <v>2942</v>
      </c>
    </row>
    <row r="360" customFormat="false" ht="15" hidden="false" customHeight="false" outlineLevel="0" collapsed="false">
      <c r="A360" s="8" t="s">
        <v>2943</v>
      </c>
      <c r="B360" s="8" t="s">
        <v>2944</v>
      </c>
      <c r="C360" s="8" t="n">
        <v>1</v>
      </c>
      <c r="D360" s="8" t="n">
        <v>1888</v>
      </c>
      <c r="E360" s="8" t="n">
        <v>1888</v>
      </c>
      <c r="F360" s="8" t="str">
        <f aca="false">IF(D360="","?",IF(D360&lt;1796,"pre-1796",IF(D360&lt;1912,"1796-1911",IF(D360&lt;1949,"1912-1948","1949+"))))</f>
        <v>1796-1911</v>
      </c>
      <c r="G360" s="8" t="str">
        <f aca="false">IF(D360="","?",IF(D360&lt;1912,"Qing",IF(D360&lt;1949,"Republic","PRC")))</f>
        <v>Qing</v>
      </c>
      <c r="H360" s="8" t="s">
        <v>795</v>
      </c>
      <c r="I360" s="9" t="s">
        <v>128</v>
      </c>
      <c r="J360" s="9" t="s">
        <v>175</v>
      </c>
      <c r="K360" s="8" t="s">
        <v>84</v>
      </c>
      <c r="L360" s="8"/>
      <c r="M360" s="9" t="s">
        <v>1808</v>
      </c>
      <c r="N360" s="9" t="s">
        <v>1809</v>
      </c>
      <c r="O360" s="8" t="s">
        <v>2945</v>
      </c>
      <c r="P360" s="8" t="s">
        <v>133</v>
      </c>
      <c r="Q360" s="9" t="s">
        <v>134</v>
      </c>
      <c r="R360" s="9" t="s">
        <v>647</v>
      </c>
      <c r="S360" s="9" t="s">
        <v>1808</v>
      </c>
      <c r="T360" s="9" t="s">
        <v>1809</v>
      </c>
      <c r="U360" s="9" t="s">
        <v>2946</v>
      </c>
      <c r="V360" s="8"/>
      <c r="W360" s="9" t="s">
        <v>2937</v>
      </c>
      <c r="X360" s="8"/>
      <c r="Y360" s="9" t="s">
        <v>198</v>
      </c>
      <c r="Z360" s="8"/>
      <c r="AA360" s="8"/>
      <c r="AB360" s="9" t="s">
        <v>2947</v>
      </c>
      <c r="AC360" s="8"/>
      <c r="AD360" s="8"/>
      <c r="AE360" s="8"/>
      <c r="AF360" s="8"/>
      <c r="AG360" s="8"/>
      <c r="AH360" s="8"/>
      <c r="AI360" s="8" t="n">
        <v>1</v>
      </c>
      <c r="AJ360" s="8" t="n">
        <v>1</v>
      </c>
      <c r="AK360" s="8" t="n">
        <v>0</v>
      </c>
      <c r="AL360" s="8" t="n">
        <v>0</v>
      </c>
      <c r="AM360" s="8" t="n">
        <v>1</v>
      </c>
      <c r="AN360" s="8" t="n">
        <v>1</v>
      </c>
      <c r="AO360" s="8" t="n">
        <v>1</v>
      </c>
      <c r="AP360" s="8" t="n">
        <v>0</v>
      </c>
      <c r="AQ360" s="8" t="n">
        <v>1</v>
      </c>
      <c r="AR360" s="8" t="n">
        <v>1</v>
      </c>
      <c r="AS360" s="8" t="n">
        <v>1</v>
      </c>
      <c r="AT360" s="8" t="n">
        <v>1</v>
      </c>
      <c r="AU360" s="8" t="n">
        <v>0</v>
      </c>
      <c r="AV360" s="8" t="n">
        <v>1</v>
      </c>
      <c r="AW360" s="8" t="n">
        <v>0</v>
      </c>
      <c r="AX360" s="8" t="n">
        <v>0</v>
      </c>
      <c r="AY360" s="8" t="n">
        <v>0</v>
      </c>
      <c r="AZ360" s="8" t="n">
        <v>0</v>
      </c>
      <c r="BA360" s="8" t="n">
        <v>0</v>
      </c>
      <c r="BB360" s="8" t="n">
        <v>0</v>
      </c>
      <c r="BC360" s="8" t="n">
        <v>673</v>
      </c>
      <c r="BD360" s="8" t="n">
        <v>0</v>
      </c>
      <c r="BE360" s="8" t="n">
        <v>0</v>
      </c>
      <c r="BF360" s="8" t="n">
        <v>0</v>
      </c>
      <c r="BG360" s="10" t="s">
        <v>2948</v>
      </c>
      <c r="BH360" s="9" t="s">
        <v>2949</v>
      </c>
    </row>
    <row r="361" customFormat="false" ht="15" hidden="false" customHeight="false" outlineLevel="0" collapsed="false">
      <c r="A361" s="8" t="s">
        <v>2950</v>
      </c>
      <c r="B361" s="8" t="s">
        <v>2951</v>
      </c>
      <c r="C361" s="8" t="n">
        <v>1</v>
      </c>
      <c r="D361" s="8" t="n">
        <v>1913</v>
      </c>
      <c r="E361" s="8" t="n">
        <v>1913</v>
      </c>
      <c r="F361" s="8" t="str">
        <f aca="false">IF(D361="","?",IF(D361&lt;1796,"pre-1796",IF(D361&lt;1912,"1796-1911",IF(D361&lt;1949,"1912-1948","1949+"))))</f>
        <v>1912-1948</v>
      </c>
      <c r="G361" s="8" t="str">
        <f aca="false">IF(D361="","?",IF(D361&lt;1912,"Qing",IF(D361&lt;1949,"Republic","PRC")))</f>
        <v>Republic</v>
      </c>
      <c r="H361" s="8" t="s">
        <v>573</v>
      </c>
      <c r="I361" s="9" t="s">
        <v>128</v>
      </c>
      <c r="J361" s="9" t="s">
        <v>223</v>
      </c>
      <c r="K361" s="8" t="s">
        <v>84</v>
      </c>
      <c r="L361" s="9" t="s">
        <v>1809</v>
      </c>
      <c r="M361" s="8"/>
      <c r="N361" s="8"/>
      <c r="O361" s="8" t="s">
        <v>2952</v>
      </c>
      <c r="P361" s="8" t="s">
        <v>114</v>
      </c>
      <c r="Q361" s="9" t="s">
        <v>1967</v>
      </c>
      <c r="R361" s="9" t="s">
        <v>2953</v>
      </c>
      <c r="S361" s="8"/>
      <c r="T361" s="8"/>
      <c r="U361" s="9" t="s">
        <v>2954</v>
      </c>
      <c r="V361" s="8"/>
      <c r="W361" s="9" t="s">
        <v>2955</v>
      </c>
      <c r="X361" s="8"/>
      <c r="Y361" s="8"/>
      <c r="Z361" s="9" t="s">
        <v>2956</v>
      </c>
      <c r="AA361" s="8"/>
      <c r="AB361" s="8"/>
      <c r="AC361" s="8"/>
      <c r="AD361" s="8"/>
      <c r="AE361" s="9" t="s">
        <v>636</v>
      </c>
      <c r="AF361" s="9" t="s">
        <v>399</v>
      </c>
      <c r="AG361" s="9" t="s">
        <v>1809</v>
      </c>
      <c r="AH361" s="9" t="s">
        <v>2957</v>
      </c>
      <c r="AI361" s="8" t="n">
        <v>0</v>
      </c>
      <c r="AJ361" s="8" t="n">
        <v>0</v>
      </c>
      <c r="AK361" s="8" t="n">
        <v>0</v>
      </c>
      <c r="AL361" s="8" t="n">
        <v>0</v>
      </c>
      <c r="AM361" s="8" t="n">
        <v>0</v>
      </c>
      <c r="AN361" s="8" t="n">
        <v>0</v>
      </c>
      <c r="AO361" s="8" t="n">
        <v>0</v>
      </c>
      <c r="AP361" s="8" t="n">
        <v>0</v>
      </c>
      <c r="AQ361" s="8" t="n">
        <v>0</v>
      </c>
      <c r="AR361" s="8" t="n">
        <v>0</v>
      </c>
      <c r="AS361" s="8" t="n">
        <v>1</v>
      </c>
      <c r="AT361" s="8" t="n">
        <v>0</v>
      </c>
      <c r="AU361" s="8" t="n">
        <v>0</v>
      </c>
      <c r="AV361" s="8" t="n">
        <v>0</v>
      </c>
      <c r="AW361" s="8" t="n">
        <v>0</v>
      </c>
      <c r="AX361" s="8" t="n">
        <v>1</v>
      </c>
      <c r="AY361" s="8" t="n">
        <v>1</v>
      </c>
      <c r="AZ361" s="8" t="n">
        <v>1</v>
      </c>
      <c r="BA361" s="8" t="n">
        <v>1</v>
      </c>
      <c r="BB361" s="8" t="n">
        <v>1</v>
      </c>
      <c r="BC361" s="8" t="n">
        <v>350</v>
      </c>
      <c r="BD361" s="8" t="n">
        <v>0</v>
      </c>
      <c r="BE361" s="8" t="n">
        <v>0</v>
      </c>
      <c r="BF361" s="8" t="n">
        <v>0</v>
      </c>
      <c r="BG361" s="10" t="s">
        <v>2958</v>
      </c>
      <c r="BH361" s="9" t="s">
        <v>2959</v>
      </c>
    </row>
    <row r="362" customFormat="false" ht="15" hidden="false" customHeight="false" outlineLevel="0" collapsed="false">
      <c r="A362" s="8" t="s">
        <v>2960</v>
      </c>
      <c r="B362" s="8" t="s">
        <v>2961</v>
      </c>
      <c r="C362" s="8" t="n">
        <v>1</v>
      </c>
      <c r="D362" s="8" t="n">
        <v>1949</v>
      </c>
      <c r="E362" s="8" t="n">
        <v>1949</v>
      </c>
      <c r="F362" s="8" t="str">
        <f aca="false">IF(D362="","?",IF(D362&lt;1796,"pre-1796",IF(D362&lt;1912,"1796-1911",IF(D362&lt;1949,"1912-1948","1949+"))))</f>
        <v>1949+</v>
      </c>
      <c r="G362" s="8" t="str">
        <f aca="false">IF(D362="","?",IF(D362&lt;1912,"Qing",IF(D362&lt;1949,"Republic","PRC")))</f>
        <v>PRC</v>
      </c>
      <c r="H362" s="8" t="s">
        <v>2571</v>
      </c>
      <c r="I362" s="9" t="s">
        <v>128</v>
      </c>
      <c r="J362" s="9" t="s">
        <v>2962</v>
      </c>
      <c r="K362" s="8" t="s">
        <v>84</v>
      </c>
      <c r="L362" s="8"/>
      <c r="M362" s="8"/>
      <c r="N362" s="8"/>
      <c r="O362" s="8" t="s">
        <v>2963</v>
      </c>
      <c r="P362" s="8" t="s">
        <v>87</v>
      </c>
      <c r="Q362" s="8"/>
      <c r="R362" s="8"/>
      <c r="S362" s="8"/>
      <c r="T362" s="8"/>
      <c r="U362" s="8"/>
      <c r="V362" s="8"/>
      <c r="W362" s="8"/>
      <c r="X362" s="8"/>
      <c r="Y362" s="8"/>
      <c r="Z362" s="8"/>
      <c r="AA362" s="8"/>
      <c r="AB362" s="8"/>
      <c r="AC362" s="8"/>
      <c r="AD362" s="8"/>
      <c r="AE362" s="8"/>
      <c r="AF362" s="8"/>
      <c r="AG362" s="8"/>
      <c r="AH362" s="8"/>
      <c r="AI362" s="8" t="n">
        <v>0</v>
      </c>
      <c r="AJ362" s="8" t="n">
        <v>0</v>
      </c>
      <c r="AK362" s="8" t="n">
        <v>0</v>
      </c>
      <c r="AL362" s="8" t="n">
        <v>0</v>
      </c>
      <c r="AM362" s="8" t="n">
        <v>0</v>
      </c>
      <c r="AN362" s="8" t="n">
        <v>0</v>
      </c>
      <c r="AO362" s="8" t="n">
        <v>0</v>
      </c>
      <c r="AP362" s="8" t="n">
        <v>0</v>
      </c>
      <c r="AQ362" s="8" t="n">
        <v>0</v>
      </c>
      <c r="AR362" s="8" t="n">
        <v>0</v>
      </c>
      <c r="AS362" s="8" t="n">
        <v>0</v>
      </c>
      <c r="AT362" s="8" t="n">
        <v>0</v>
      </c>
      <c r="AU362" s="8" t="n">
        <v>0</v>
      </c>
      <c r="AV362" s="8" t="n">
        <v>0</v>
      </c>
      <c r="AW362" s="8" t="n">
        <v>0</v>
      </c>
      <c r="AX362" s="8" t="n">
        <v>0</v>
      </c>
      <c r="AY362" s="8" t="n">
        <v>0</v>
      </c>
      <c r="AZ362" s="8" t="n">
        <v>0</v>
      </c>
      <c r="BA362" s="8" t="n">
        <v>0</v>
      </c>
      <c r="BB362" s="8" t="n">
        <v>0</v>
      </c>
      <c r="BC362" s="8" t="n">
        <v>108</v>
      </c>
      <c r="BD362" s="8" t="n">
        <v>0</v>
      </c>
      <c r="BE362" s="8" t="n">
        <v>0</v>
      </c>
      <c r="BF362" s="8" t="n">
        <v>0</v>
      </c>
      <c r="BG362" s="10" t="s">
        <v>2964</v>
      </c>
      <c r="BH362" s="9" t="s">
        <v>2965</v>
      </c>
    </row>
    <row r="363" customFormat="false" ht="15" hidden="false" customHeight="false" outlineLevel="0" collapsed="false">
      <c r="A363" s="8" t="s">
        <v>2966</v>
      </c>
      <c r="B363" s="8" t="s">
        <v>2967</v>
      </c>
      <c r="C363" s="8" t="n">
        <v>1</v>
      </c>
      <c r="D363" s="8" t="n">
        <v>1947</v>
      </c>
      <c r="E363" s="8" t="n">
        <v>1947</v>
      </c>
      <c r="F363" s="8" t="str">
        <f aca="false">IF(D363="","?",IF(D363&lt;1796,"pre-1796",IF(D363&lt;1912,"1796-1911",IF(D363&lt;1949,"1912-1948","1949+"))))</f>
        <v>1912-1948</v>
      </c>
      <c r="G363" s="8" t="str">
        <f aca="false">IF(D363="","?",IF(D363&lt;1912,"Qing",IF(D363&lt;1949,"Republic","PRC")))</f>
        <v>Republic</v>
      </c>
      <c r="H363" s="8" t="s">
        <v>1516</v>
      </c>
      <c r="I363" s="9" t="s">
        <v>128</v>
      </c>
      <c r="J363" s="9" t="s">
        <v>1517</v>
      </c>
      <c r="K363" s="8" t="s">
        <v>84</v>
      </c>
      <c r="L363" s="8"/>
      <c r="M363" s="9" t="s">
        <v>2968</v>
      </c>
      <c r="N363" s="9" t="s">
        <v>2969</v>
      </c>
      <c r="O363" s="8" t="s">
        <v>2970</v>
      </c>
      <c r="P363" s="8" t="s">
        <v>114</v>
      </c>
      <c r="Q363" s="9" t="s">
        <v>98</v>
      </c>
      <c r="R363" s="8"/>
      <c r="S363" s="8"/>
      <c r="T363" s="8"/>
      <c r="U363" s="8"/>
      <c r="V363" s="9" t="s">
        <v>327</v>
      </c>
      <c r="W363" s="9" t="s">
        <v>2971</v>
      </c>
      <c r="X363" s="8"/>
      <c r="Y363" s="8"/>
      <c r="Z363" s="8"/>
      <c r="AA363" s="8"/>
      <c r="AB363" s="8"/>
      <c r="AC363" s="8"/>
      <c r="AD363" s="8"/>
      <c r="AE363" s="9" t="s">
        <v>2972</v>
      </c>
      <c r="AF363" s="8"/>
      <c r="AG363" s="8"/>
      <c r="AH363" s="8"/>
      <c r="AI363" s="8" t="n">
        <v>0</v>
      </c>
      <c r="AJ363" s="8" t="n">
        <v>0</v>
      </c>
      <c r="AK363" s="8" t="n">
        <v>0</v>
      </c>
      <c r="AL363" s="8" t="n">
        <v>0</v>
      </c>
      <c r="AM363" s="8" t="n">
        <v>0</v>
      </c>
      <c r="AN363" s="8" t="n">
        <v>0</v>
      </c>
      <c r="AO363" s="8" t="n">
        <v>0</v>
      </c>
      <c r="AP363" s="8" t="n">
        <v>0</v>
      </c>
      <c r="AQ363" s="8" t="n">
        <v>0</v>
      </c>
      <c r="AR363" s="8" t="n">
        <v>0</v>
      </c>
      <c r="AS363" s="8" t="n">
        <v>0</v>
      </c>
      <c r="AT363" s="8" t="n">
        <v>0</v>
      </c>
      <c r="AU363" s="8" t="n">
        <v>0</v>
      </c>
      <c r="AV363" s="8" t="n">
        <v>0</v>
      </c>
      <c r="AW363" s="8" t="n">
        <v>0</v>
      </c>
      <c r="AX363" s="8" t="n">
        <v>0</v>
      </c>
      <c r="AY363" s="8" t="n">
        <v>0</v>
      </c>
      <c r="AZ363" s="8" t="n">
        <v>0</v>
      </c>
      <c r="BA363" s="8" t="n">
        <v>1</v>
      </c>
      <c r="BB363" s="8" t="n">
        <v>0</v>
      </c>
      <c r="BC363" s="8" t="n">
        <v>441</v>
      </c>
      <c r="BD363" s="8" t="n">
        <v>1</v>
      </c>
      <c r="BE363" s="8" t="n">
        <v>0</v>
      </c>
      <c r="BF363" s="8" t="n">
        <v>0</v>
      </c>
      <c r="BG363" s="10" t="s">
        <v>2973</v>
      </c>
      <c r="BH363" s="9" t="s">
        <v>2974</v>
      </c>
    </row>
    <row r="364" customFormat="false" ht="15" hidden="false" customHeight="false" outlineLevel="0" collapsed="false">
      <c r="A364" s="8" t="s">
        <v>2975</v>
      </c>
      <c r="B364" s="8" t="s">
        <v>2976</v>
      </c>
      <c r="C364" s="8" t="n">
        <v>1</v>
      </c>
      <c r="D364" s="8" t="n">
        <v>1924</v>
      </c>
      <c r="E364" s="8" t="n">
        <v>1924</v>
      </c>
      <c r="F364" s="8" t="str">
        <f aca="false">IF(D364="","?",IF(D364&lt;1796,"pre-1796",IF(D364&lt;1912,"1796-1911",IF(D364&lt;1949,"1912-1948","1949+"))))</f>
        <v>1912-1948</v>
      </c>
      <c r="G364" s="8" t="str">
        <f aca="false">IF(D364="","?",IF(D364&lt;1912,"Qing",IF(D364&lt;1949,"Republic","PRC")))</f>
        <v>Republic</v>
      </c>
      <c r="H364" s="8" t="s">
        <v>237</v>
      </c>
      <c r="I364" s="9" t="s">
        <v>110</v>
      </c>
      <c r="J364" s="9" t="s">
        <v>111</v>
      </c>
      <c r="K364" s="8" t="s">
        <v>84</v>
      </c>
      <c r="L364" s="8"/>
      <c r="M364" s="9" t="s">
        <v>2977</v>
      </c>
      <c r="N364" s="9" t="s">
        <v>2978</v>
      </c>
      <c r="O364" s="8" t="s">
        <v>2979</v>
      </c>
      <c r="P364" s="8" t="s">
        <v>97</v>
      </c>
      <c r="Q364" s="9" t="s">
        <v>98</v>
      </c>
      <c r="R364" s="9" t="s">
        <v>2980</v>
      </c>
      <c r="S364" s="8"/>
      <c r="T364" s="8"/>
      <c r="U364" s="9" t="s">
        <v>2981</v>
      </c>
      <c r="V364" s="9" t="s">
        <v>229</v>
      </c>
      <c r="W364" s="9" t="s">
        <v>2982</v>
      </c>
      <c r="X364" s="8"/>
      <c r="Y364" s="9" t="s">
        <v>306</v>
      </c>
      <c r="Z364" s="9" t="s">
        <v>2983</v>
      </c>
      <c r="AA364" s="8"/>
      <c r="AB364" s="8"/>
      <c r="AC364" s="8"/>
      <c r="AD364" s="8"/>
      <c r="AE364" s="9" t="s">
        <v>2654</v>
      </c>
      <c r="AF364" s="8"/>
      <c r="AG364" s="8"/>
      <c r="AH364" s="8"/>
      <c r="AI364" s="8" t="n">
        <v>0</v>
      </c>
      <c r="AJ364" s="8" t="n">
        <v>0</v>
      </c>
      <c r="AK364" s="8" t="n">
        <v>0</v>
      </c>
      <c r="AL364" s="8" t="n">
        <v>0</v>
      </c>
      <c r="AM364" s="8" t="n">
        <v>0</v>
      </c>
      <c r="AN364" s="8" t="n">
        <v>0</v>
      </c>
      <c r="AO364" s="8" t="n">
        <v>0</v>
      </c>
      <c r="AP364" s="8" t="n">
        <v>0</v>
      </c>
      <c r="AQ364" s="8" t="n">
        <v>0</v>
      </c>
      <c r="AR364" s="8" t="n">
        <v>0</v>
      </c>
      <c r="AS364" s="8" t="n">
        <v>1</v>
      </c>
      <c r="AT364" s="8" t="n">
        <v>1</v>
      </c>
      <c r="AU364" s="8" t="n">
        <v>0</v>
      </c>
      <c r="AV364" s="8" t="n">
        <v>0</v>
      </c>
      <c r="AW364" s="8" t="n">
        <v>0</v>
      </c>
      <c r="AX364" s="8" t="n">
        <v>0</v>
      </c>
      <c r="AY364" s="8" t="n">
        <v>0</v>
      </c>
      <c r="AZ364" s="8" t="n">
        <v>0</v>
      </c>
      <c r="BA364" s="8" t="n">
        <v>1</v>
      </c>
      <c r="BB364" s="8" t="n">
        <v>1</v>
      </c>
      <c r="BC364" s="8" t="n">
        <v>664</v>
      </c>
      <c r="BD364" s="8" t="n">
        <v>0</v>
      </c>
      <c r="BE364" s="8" t="n">
        <v>0</v>
      </c>
      <c r="BF364" s="8" t="n">
        <v>0</v>
      </c>
      <c r="BG364" s="10" t="s">
        <v>2984</v>
      </c>
      <c r="BH364" s="9" t="s">
        <v>2985</v>
      </c>
    </row>
    <row r="365" customFormat="false" ht="15" hidden="false" customHeight="false" outlineLevel="0" collapsed="false">
      <c r="A365" s="8" t="s">
        <v>2986</v>
      </c>
      <c r="B365" s="8" t="s">
        <v>2987</v>
      </c>
      <c r="C365" s="8" t="n">
        <v>1</v>
      </c>
      <c r="D365" s="8" t="n">
        <v>1837</v>
      </c>
      <c r="E365" s="8" t="n">
        <v>1837</v>
      </c>
      <c r="F365" s="8" t="str">
        <f aca="false">IF(D365="","?",IF(D365&lt;1796,"pre-1796",IF(D365&lt;1912,"1796-1911",IF(D365&lt;1949,"1912-1948","1949+"))))</f>
        <v>1796-1911</v>
      </c>
      <c r="G365" s="8" t="str">
        <f aca="false">IF(D365="","?",IF(D365&lt;1912,"Qing",IF(D365&lt;1949,"Republic","PRC")))</f>
        <v>Qing</v>
      </c>
      <c r="H365" s="8" t="s">
        <v>2988</v>
      </c>
      <c r="I365" s="8"/>
      <c r="J365" s="8"/>
      <c r="K365" s="8" t="s">
        <v>130</v>
      </c>
      <c r="L365" s="9" t="s">
        <v>2989</v>
      </c>
      <c r="M365" s="8"/>
      <c r="N365" s="8"/>
      <c r="O365" s="8" t="s">
        <v>2990</v>
      </c>
      <c r="P365" s="8" t="s">
        <v>87</v>
      </c>
      <c r="Q365" s="8"/>
      <c r="R365" s="9" t="s">
        <v>2991</v>
      </c>
      <c r="S365" s="8"/>
      <c r="T365" s="8"/>
      <c r="U365" s="8"/>
      <c r="V365" s="8"/>
      <c r="W365" s="8"/>
      <c r="X365" s="8"/>
      <c r="Y365" s="8"/>
      <c r="Z365" s="8"/>
      <c r="AA365" s="8"/>
      <c r="AB365" s="8"/>
      <c r="AC365" s="8"/>
      <c r="AD365" s="8"/>
      <c r="AE365" s="8"/>
      <c r="AF365" s="8"/>
      <c r="AG365" s="8"/>
      <c r="AH365" s="8"/>
      <c r="AI365" s="8" t="n">
        <v>0</v>
      </c>
      <c r="AJ365" s="8" t="n">
        <v>0</v>
      </c>
      <c r="AK365" s="8" t="n">
        <v>0</v>
      </c>
      <c r="AL365" s="8" t="n">
        <v>0</v>
      </c>
      <c r="AM365" s="8" t="n">
        <v>0</v>
      </c>
      <c r="AN365" s="8" t="n">
        <v>0</v>
      </c>
      <c r="AO365" s="8" t="n">
        <v>0</v>
      </c>
      <c r="AP365" s="8" t="n">
        <v>0</v>
      </c>
      <c r="AQ365" s="8" t="n">
        <v>0</v>
      </c>
      <c r="AR365" s="8" t="n">
        <v>0</v>
      </c>
      <c r="AS365" s="8" t="n">
        <v>0</v>
      </c>
      <c r="AT365" s="8" t="n">
        <v>0</v>
      </c>
      <c r="AU365" s="8" t="n">
        <v>0</v>
      </c>
      <c r="AV365" s="8" t="n">
        <v>1</v>
      </c>
      <c r="AW365" s="8" t="n">
        <v>0</v>
      </c>
      <c r="AX365" s="8" t="n">
        <v>0</v>
      </c>
      <c r="AY365" s="8" t="n">
        <v>0</v>
      </c>
      <c r="AZ365" s="8" t="n">
        <v>0</v>
      </c>
      <c r="BA365" s="8" t="n">
        <v>0</v>
      </c>
      <c r="BB365" s="8" t="n">
        <v>0</v>
      </c>
      <c r="BC365" s="8" t="n">
        <v>10</v>
      </c>
      <c r="BD365" s="8" t="n">
        <v>0</v>
      </c>
      <c r="BE365" s="8" t="n">
        <v>0</v>
      </c>
      <c r="BF365" s="8" t="n">
        <v>0</v>
      </c>
      <c r="BG365" s="10" t="s">
        <v>2992</v>
      </c>
      <c r="BH365" s="9" t="s">
        <v>2993</v>
      </c>
    </row>
    <row r="366" customFormat="false" ht="15" hidden="false" customHeight="false" outlineLevel="0" collapsed="false">
      <c r="A366" s="8" t="s">
        <v>2994</v>
      </c>
      <c r="B366" s="8" t="s">
        <v>2987</v>
      </c>
      <c r="C366" s="8" t="n">
        <v>2</v>
      </c>
      <c r="D366" s="8" t="n">
        <v>1837</v>
      </c>
      <c r="E366" s="8" t="n">
        <v>1837</v>
      </c>
      <c r="F366" s="8" t="str">
        <f aca="false">IF(D366="","?",IF(D366&lt;1796,"pre-1796",IF(D366&lt;1912,"1796-1911",IF(D366&lt;1949,"1912-1948","1949+"))))</f>
        <v>1796-1911</v>
      </c>
      <c r="G366" s="8" t="str">
        <f aca="false">IF(D366="","?",IF(D366&lt;1912,"Qing",IF(D366&lt;1949,"Republic","PRC")))</f>
        <v>Qing</v>
      </c>
      <c r="H366" s="8" t="s">
        <v>2988</v>
      </c>
      <c r="I366" s="8"/>
      <c r="J366" s="8"/>
      <c r="K366" s="8" t="s">
        <v>130</v>
      </c>
      <c r="L366" s="9" t="s">
        <v>2989</v>
      </c>
      <c r="M366" s="8"/>
      <c r="N366" s="8"/>
      <c r="O366" s="8" t="s">
        <v>2990</v>
      </c>
      <c r="P366" s="8" t="s">
        <v>87</v>
      </c>
      <c r="Q366" s="8"/>
      <c r="R366" s="8"/>
      <c r="S366" s="8"/>
      <c r="T366" s="8"/>
      <c r="U366" s="8"/>
      <c r="V366" s="8"/>
      <c r="W366" s="8"/>
      <c r="X366" s="8"/>
      <c r="Y366" s="9" t="s">
        <v>2995</v>
      </c>
      <c r="Z366" s="8"/>
      <c r="AA366" s="8"/>
      <c r="AB366" s="8"/>
      <c r="AC366" s="8"/>
      <c r="AD366" s="8"/>
      <c r="AE366" s="8"/>
      <c r="AF366" s="8"/>
      <c r="AG366" s="8"/>
      <c r="AH366" s="8"/>
      <c r="AI366" s="8" t="n">
        <v>0</v>
      </c>
      <c r="AJ366" s="8" t="n">
        <v>0</v>
      </c>
      <c r="AK366" s="8" t="n">
        <v>0</v>
      </c>
      <c r="AL366" s="8" t="n">
        <v>0</v>
      </c>
      <c r="AM366" s="8" t="n">
        <v>0</v>
      </c>
      <c r="AN366" s="8" t="n">
        <v>0</v>
      </c>
      <c r="AO366" s="8" t="n">
        <v>0</v>
      </c>
      <c r="AP366" s="8" t="n">
        <v>0</v>
      </c>
      <c r="AQ366" s="8" t="n">
        <v>0</v>
      </c>
      <c r="AR366" s="8" t="n">
        <v>0</v>
      </c>
      <c r="AS366" s="8" t="n">
        <v>0</v>
      </c>
      <c r="AT366" s="8" t="n">
        <v>0</v>
      </c>
      <c r="AU366" s="8" t="n">
        <v>0</v>
      </c>
      <c r="AV366" s="8" t="n">
        <v>0</v>
      </c>
      <c r="AW366" s="8" t="n">
        <v>0</v>
      </c>
      <c r="AX366" s="8" t="n">
        <v>0</v>
      </c>
      <c r="AY366" s="8" t="n">
        <v>0</v>
      </c>
      <c r="AZ366" s="8" t="n">
        <v>0</v>
      </c>
      <c r="BA366" s="8" t="n">
        <v>0</v>
      </c>
      <c r="BB366" s="8" t="n">
        <v>0</v>
      </c>
      <c r="BC366" s="8" t="n">
        <v>173</v>
      </c>
      <c r="BD366" s="8" t="n">
        <v>0</v>
      </c>
      <c r="BE366" s="8" t="n">
        <v>0</v>
      </c>
      <c r="BF366" s="8" t="n">
        <v>0</v>
      </c>
      <c r="BG366" s="10" t="s">
        <v>2992</v>
      </c>
      <c r="BH366" s="9" t="s">
        <v>2996</v>
      </c>
    </row>
    <row r="367" customFormat="false" ht="15" hidden="false" customHeight="false" outlineLevel="0" collapsed="false">
      <c r="A367" s="8" t="s">
        <v>2997</v>
      </c>
      <c r="B367" s="8" t="s">
        <v>2987</v>
      </c>
      <c r="C367" s="8" t="n">
        <v>3</v>
      </c>
      <c r="D367" s="8" t="n">
        <v>1837</v>
      </c>
      <c r="E367" s="8" t="n">
        <v>1837</v>
      </c>
      <c r="F367" s="8" t="str">
        <f aca="false">IF(D367="","?",IF(D367&lt;1796,"pre-1796",IF(D367&lt;1912,"1796-1911",IF(D367&lt;1949,"1912-1948","1949+"))))</f>
        <v>1796-1911</v>
      </c>
      <c r="G367" s="8" t="str">
        <f aca="false">IF(D367="","?",IF(D367&lt;1912,"Qing",IF(D367&lt;1949,"Republic","PRC")))</f>
        <v>Qing</v>
      </c>
      <c r="H367" s="8" t="s">
        <v>2988</v>
      </c>
      <c r="I367" s="8"/>
      <c r="J367" s="8"/>
      <c r="K367" s="8" t="s">
        <v>130</v>
      </c>
      <c r="L367" s="9" t="s">
        <v>2989</v>
      </c>
      <c r="M367" s="8"/>
      <c r="N367" s="8"/>
      <c r="O367" s="8" t="s">
        <v>2990</v>
      </c>
      <c r="P367" s="8" t="s">
        <v>87</v>
      </c>
      <c r="Q367" s="8"/>
      <c r="R367" s="8"/>
      <c r="S367" s="8"/>
      <c r="T367" s="8"/>
      <c r="U367" s="8"/>
      <c r="V367" s="8"/>
      <c r="W367" s="9" t="s">
        <v>2998</v>
      </c>
      <c r="X367" s="9" t="s">
        <v>2999</v>
      </c>
      <c r="Y367" s="9" t="s">
        <v>306</v>
      </c>
      <c r="Z367" s="8"/>
      <c r="AA367" s="8"/>
      <c r="AB367" s="8"/>
      <c r="AC367" s="8"/>
      <c r="AD367" s="8"/>
      <c r="AE367" s="8"/>
      <c r="AF367" s="8"/>
      <c r="AG367" s="8"/>
      <c r="AH367" s="8"/>
      <c r="AI367" s="8" t="n">
        <v>0</v>
      </c>
      <c r="AJ367" s="8" t="n">
        <v>0</v>
      </c>
      <c r="AK367" s="8" t="n">
        <v>0</v>
      </c>
      <c r="AL367" s="8" t="n">
        <v>0</v>
      </c>
      <c r="AM367" s="8" t="n">
        <v>0</v>
      </c>
      <c r="AN367" s="8" t="n">
        <v>0</v>
      </c>
      <c r="AO367" s="8" t="n">
        <v>0</v>
      </c>
      <c r="AP367" s="8" t="n">
        <v>0</v>
      </c>
      <c r="AQ367" s="8" t="n">
        <v>0</v>
      </c>
      <c r="AR367" s="8" t="n">
        <v>0</v>
      </c>
      <c r="AS367" s="8" t="n">
        <v>0</v>
      </c>
      <c r="AT367" s="8" t="n">
        <v>0</v>
      </c>
      <c r="AU367" s="8" t="n">
        <v>0</v>
      </c>
      <c r="AV367" s="8" t="n">
        <v>0</v>
      </c>
      <c r="AW367" s="8" t="n">
        <v>0</v>
      </c>
      <c r="AX367" s="8" t="n">
        <v>0</v>
      </c>
      <c r="AY367" s="8" t="n">
        <v>0</v>
      </c>
      <c r="AZ367" s="8" t="n">
        <v>0</v>
      </c>
      <c r="BA367" s="8" t="n">
        <v>0</v>
      </c>
      <c r="BB367" s="8" t="n">
        <v>0</v>
      </c>
      <c r="BC367" s="8" t="n">
        <v>51</v>
      </c>
      <c r="BD367" s="8" t="n">
        <v>0</v>
      </c>
      <c r="BE367" s="8" t="n">
        <v>0</v>
      </c>
      <c r="BF367" s="8" t="n">
        <v>0</v>
      </c>
      <c r="BG367" s="10" t="s">
        <v>2992</v>
      </c>
      <c r="BH367" s="9" t="s">
        <v>3000</v>
      </c>
    </row>
    <row r="368" customFormat="false" ht="15" hidden="false" customHeight="false" outlineLevel="0" collapsed="false">
      <c r="A368" s="8" t="s">
        <v>3001</v>
      </c>
      <c r="B368" s="8" t="s">
        <v>2987</v>
      </c>
      <c r="C368" s="8" t="n">
        <v>4</v>
      </c>
      <c r="D368" s="8" t="n">
        <v>1837</v>
      </c>
      <c r="E368" s="8" t="n">
        <v>1837</v>
      </c>
      <c r="F368" s="8" t="str">
        <f aca="false">IF(D368="","?",IF(D368&lt;1796,"pre-1796",IF(D368&lt;1912,"1796-1911",IF(D368&lt;1949,"1912-1948","1949+"))))</f>
        <v>1796-1911</v>
      </c>
      <c r="G368" s="8" t="str">
        <f aca="false">IF(D368="","?",IF(D368&lt;1912,"Qing",IF(D368&lt;1949,"Republic","PRC")))</f>
        <v>Qing</v>
      </c>
      <c r="H368" s="8" t="s">
        <v>2988</v>
      </c>
      <c r="I368" s="8"/>
      <c r="J368" s="8"/>
      <c r="K368" s="8" t="s">
        <v>130</v>
      </c>
      <c r="L368" s="9" t="s">
        <v>2989</v>
      </c>
      <c r="M368" s="8"/>
      <c r="N368" s="8"/>
      <c r="O368" s="8" t="s">
        <v>2990</v>
      </c>
      <c r="P368" s="8" t="s">
        <v>87</v>
      </c>
      <c r="Q368" s="8"/>
      <c r="R368" s="8"/>
      <c r="S368" s="8"/>
      <c r="T368" s="8"/>
      <c r="U368" s="8"/>
      <c r="V368" s="8"/>
      <c r="W368" s="8"/>
      <c r="X368" s="8"/>
      <c r="Y368" s="8"/>
      <c r="Z368" s="8"/>
      <c r="AA368" s="8"/>
      <c r="AB368" s="8"/>
      <c r="AC368" s="8"/>
      <c r="AD368" s="8"/>
      <c r="AE368" s="8"/>
      <c r="AF368" s="8"/>
      <c r="AG368" s="8"/>
      <c r="AH368" s="8"/>
      <c r="AI368" s="8" t="n">
        <v>0</v>
      </c>
      <c r="AJ368" s="8" t="n">
        <v>0</v>
      </c>
      <c r="AK368" s="8" t="n">
        <v>0</v>
      </c>
      <c r="AL368" s="8" t="n">
        <v>0</v>
      </c>
      <c r="AM368" s="8" t="n">
        <v>0</v>
      </c>
      <c r="AN368" s="8" t="n">
        <v>0</v>
      </c>
      <c r="AO368" s="8" t="n">
        <v>0</v>
      </c>
      <c r="AP368" s="8" t="n">
        <v>0</v>
      </c>
      <c r="AQ368" s="8" t="n">
        <v>0</v>
      </c>
      <c r="AR368" s="8" t="n">
        <v>0</v>
      </c>
      <c r="AS368" s="8" t="n">
        <v>0</v>
      </c>
      <c r="AT368" s="8" t="n">
        <v>0</v>
      </c>
      <c r="AU368" s="8" t="n">
        <v>0</v>
      </c>
      <c r="AV368" s="8" t="n">
        <v>0</v>
      </c>
      <c r="AW368" s="8" t="n">
        <v>0</v>
      </c>
      <c r="AX368" s="8" t="n">
        <v>0</v>
      </c>
      <c r="AY368" s="8" t="n">
        <v>0</v>
      </c>
      <c r="AZ368" s="8" t="n">
        <v>0</v>
      </c>
      <c r="BA368" s="8" t="n">
        <v>0</v>
      </c>
      <c r="BB368" s="8" t="n">
        <v>0</v>
      </c>
      <c r="BC368" s="8" t="n">
        <v>18</v>
      </c>
      <c r="BD368" s="8" t="n">
        <v>0</v>
      </c>
      <c r="BE368" s="8" t="n">
        <v>0</v>
      </c>
      <c r="BF368" s="8" t="n">
        <v>0</v>
      </c>
      <c r="BG368" s="10" t="s">
        <v>2992</v>
      </c>
      <c r="BH368" s="9" t="s">
        <v>3002</v>
      </c>
    </row>
    <row r="369" customFormat="false" ht="15" hidden="false" customHeight="false" outlineLevel="0" collapsed="false">
      <c r="A369" s="8" t="s">
        <v>3003</v>
      </c>
      <c r="B369" s="8" t="s">
        <v>2987</v>
      </c>
      <c r="C369" s="8" t="n">
        <v>5</v>
      </c>
      <c r="D369" s="8" t="n">
        <v>1837</v>
      </c>
      <c r="E369" s="8" t="n">
        <v>1837</v>
      </c>
      <c r="F369" s="8" t="str">
        <f aca="false">IF(D369="","?",IF(D369&lt;1796,"pre-1796",IF(D369&lt;1912,"1796-1911",IF(D369&lt;1949,"1912-1948","1949+"))))</f>
        <v>1796-1911</v>
      </c>
      <c r="G369" s="8" t="str">
        <f aca="false">IF(D369="","?",IF(D369&lt;1912,"Qing",IF(D369&lt;1949,"Republic","PRC")))</f>
        <v>Qing</v>
      </c>
      <c r="H369" s="8" t="s">
        <v>2988</v>
      </c>
      <c r="I369" s="8"/>
      <c r="J369" s="8"/>
      <c r="K369" s="8" t="s">
        <v>130</v>
      </c>
      <c r="L369" s="9" t="s">
        <v>2989</v>
      </c>
      <c r="M369" s="8"/>
      <c r="N369" s="8"/>
      <c r="O369" s="8" t="s">
        <v>2990</v>
      </c>
      <c r="P369" s="8" t="s">
        <v>87</v>
      </c>
      <c r="Q369" s="8"/>
      <c r="R369" s="8"/>
      <c r="S369" s="8"/>
      <c r="T369" s="8"/>
      <c r="U369" s="8"/>
      <c r="V369" s="8"/>
      <c r="W369" s="8"/>
      <c r="X369" s="8"/>
      <c r="Y369" s="8"/>
      <c r="Z369" s="8"/>
      <c r="AA369" s="8"/>
      <c r="AB369" s="8"/>
      <c r="AC369" s="8"/>
      <c r="AD369" s="8"/>
      <c r="AE369" s="8"/>
      <c r="AF369" s="8"/>
      <c r="AG369" s="8"/>
      <c r="AH369" s="8"/>
      <c r="AI369" s="8" t="n">
        <v>0</v>
      </c>
      <c r="AJ369" s="8" t="n">
        <v>0</v>
      </c>
      <c r="AK369" s="8" t="n">
        <v>0</v>
      </c>
      <c r="AL369" s="8" t="n">
        <v>0</v>
      </c>
      <c r="AM369" s="8" t="n">
        <v>0</v>
      </c>
      <c r="AN369" s="8" t="n">
        <v>0</v>
      </c>
      <c r="AO369" s="8" t="n">
        <v>0</v>
      </c>
      <c r="AP369" s="8" t="n">
        <v>0</v>
      </c>
      <c r="AQ369" s="8" t="n">
        <v>0</v>
      </c>
      <c r="AR369" s="8" t="n">
        <v>0</v>
      </c>
      <c r="AS369" s="8" t="n">
        <v>0</v>
      </c>
      <c r="AT369" s="8" t="n">
        <v>0</v>
      </c>
      <c r="AU369" s="8" t="n">
        <v>0</v>
      </c>
      <c r="AV369" s="8" t="n">
        <v>0</v>
      </c>
      <c r="AW369" s="8" t="n">
        <v>0</v>
      </c>
      <c r="AX369" s="8" t="n">
        <v>0</v>
      </c>
      <c r="AY369" s="8" t="n">
        <v>0</v>
      </c>
      <c r="AZ369" s="8" t="n">
        <v>0</v>
      </c>
      <c r="BA369" s="8" t="n">
        <v>0</v>
      </c>
      <c r="BB369" s="8" t="n">
        <v>0</v>
      </c>
      <c r="BC369" s="8" t="n">
        <v>18</v>
      </c>
      <c r="BD369" s="8" t="n">
        <v>0</v>
      </c>
      <c r="BE369" s="8" t="n">
        <v>0</v>
      </c>
      <c r="BF369" s="8" t="n">
        <v>0</v>
      </c>
      <c r="BG369" s="10" t="s">
        <v>2992</v>
      </c>
      <c r="BH369" s="9" t="s">
        <v>3004</v>
      </c>
    </row>
    <row r="370" customFormat="false" ht="15" hidden="false" customHeight="false" outlineLevel="0" collapsed="false">
      <c r="A370" s="8" t="s">
        <v>3005</v>
      </c>
      <c r="B370" s="8" t="s">
        <v>2987</v>
      </c>
      <c r="C370" s="8" t="n">
        <v>6</v>
      </c>
      <c r="D370" s="8" t="n">
        <v>1837</v>
      </c>
      <c r="E370" s="8" t="n">
        <v>1837</v>
      </c>
      <c r="F370" s="8" t="str">
        <f aca="false">IF(D370="","?",IF(D370&lt;1796,"pre-1796",IF(D370&lt;1912,"1796-1911",IF(D370&lt;1949,"1912-1948","1949+"))))</f>
        <v>1796-1911</v>
      </c>
      <c r="G370" s="8" t="str">
        <f aca="false">IF(D370="","?",IF(D370&lt;1912,"Qing",IF(D370&lt;1949,"Republic","PRC")))</f>
        <v>Qing</v>
      </c>
      <c r="H370" s="8" t="s">
        <v>2988</v>
      </c>
      <c r="I370" s="8"/>
      <c r="J370" s="8"/>
      <c r="K370" s="8" t="s">
        <v>130</v>
      </c>
      <c r="L370" s="9" t="s">
        <v>2989</v>
      </c>
      <c r="M370" s="8"/>
      <c r="N370" s="8"/>
      <c r="O370" s="8" t="s">
        <v>2990</v>
      </c>
      <c r="P370" s="8" t="s">
        <v>87</v>
      </c>
      <c r="Q370" s="8"/>
      <c r="R370" s="8"/>
      <c r="S370" s="8"/>
      <c r="T370" s="8"/>
      <c r="U370" s="8"/>
      <c r="V370" s="8"/>
      <c r="W370" s="8"/>
      <c r="X370" s="8"/>
      <c r="Y370" s="8"/>
      <c r="Z370" s="8"/>
      <c r="AA370" s="8"/>
      <c r="AB370" s="8"/>
      <c r="AC370" s="8"/>
      <c r="AD370" s="8"/>
      <c r="AE370" s="8"/>
      <c r="AF370" s="8"/>
      <c r="AG370" s="8"/>
      <c r="AH370" s="8"/>
      <c r="AI370" s="8" t="n">
        <v>0</v>
      </c>
      <c r="AJ370" s="8" t="n">
        <v>0</v>
      </c>
      <c r="AK370" s="8" t="n">
        <v>0</v>
      </c>
      <c r="AL370" s="8" t="n">
        <v>0</v>
      </c>
      <c r="AM370" s="8" t="n">
        <v>0</v>
      </c>
      <c r="AN370" s="8" t="n">
        <v>0</v>
      </c>
      <c r="AO370" s="8" t="n">
        <v>0</v>
      </c>
      <c r="AP370" s="8" t="n">
        <v>0</v>
      </c>
      <c r="AQ370" s="8" t="n">
        <v>0</v>
      </c>
      <c r="AR370" s="8" t="n">
        <v>0</v>
      </c>
      <c r="AS370" s="8" t="n">
        <v>0</v>
      </c>
      <c r="AT370" s="8" t="n">
        <v>0</v>
      </c>
      <c r="AU370" s="8" t="n">
        <v>0</v>
      </c>
      <c r="AV370" s="8" t="n">
        <v>0</v>
      </c>
      <c r="AW370" s="8" t="n">
        <v>0</v>
      </c>
      <c r="AX370" s="8" t="n">
        <v>0</v>
      </c>
      <c r="AY370" s="8" t="n">
        <v>0</v>
      </c>
      <c r="AZ370" s="8" t="n">
        <v>0</v>
      </c>
      <c r="BA370" s="8" t="n">
        <v>0</v>
      </c>
      <c r="BB370" s="8" t="n">
        <v>0</v>
      </c>
      <c r="BC370" s="8" t="n">
        <v>19</v>
      </c>
      <c r="BD370" s="8" t="n">
        <v>0</v>
      </c>
      <c r="BE370" s="8" t="n">
        <v>0</v>
      </c>
      <c r="BF370" s="8" t="n">
        <v>0</v>
      </c>
      <c r="BG370" s="10" t="s">
        <v>2992</v>
      </c>
      <c r="BH370" s="9" t="s">
        <v>3006</v>
      </c>
    </row>
    <row r="371" customFormat="false" ht="15" hidden="false" customHeight="false" outlineLevel="0" collapsed="false">
      <c r="A371" s="8" t="s">
        <v>3007</v>
      </c>
      <c r="B371" s="8" t="s">
        <v>2987</v>
      </c>
      <c r="C371" s="8" t="n">
        <v>7</v>
      </c>
      <c r="D371" s="8" t="n">
        <v>1837</v>
      </c>
      <c r="E371" s="8" t="n">
        <v>1837</v>
      </c>
      <c r="F371" s="8" t="str">
        <f aca="false">IF(D371="","?",IF(D371&lt;1796,"pre-1796",IF(D371&lt;1912,"1796-1911",IF(D371&lt;1949,"1912-1948","1949+"))))</f>
        <v>1796-1911</v>
      </c>
      <c r="G371" s="8" t="str">
        <f aca="false">IF(D371="","?",IF(D371&lt;1912,"Qing",IF(D371&lt;1949,"Republic","PRC")))</f>
        <v>Qing</v>
      </c>
      <c r="H371" s="8" t="s">
        <v>2988</v>
      </c>
      <c r="I371" s="8"/>
      <c r="J371" s="8"/>
      <c r="K371" s="8" t="s">
        <v>130</v>
      </c>
      <c r="L371" s="9" t="s">
        <v>2989</v>
      </c>
      <c r="M371" s="8"/>
      <c r="N371" s="8"/>
      <c r="O371" s="8" t="s">
        <v>2990</v>
      </c>
      <c r="P371" s="8" t="s">
        <v>87</v>
      </c>
      <c r="Q371" s="8"/>
      <c r="R371" s="8"/>
      <c r="S371" s="8"/>
      <c r="T371" s="8"/>
      <c r="U371" s="8"/>
      <c r="V371" s="8"/>
      <c r="W371" s="8"/>
      <c r="X371" s="8"/>
      <c r="Y371" s="8"/>
      <c r="Z371" s="8"/>
      <c r="AA371" s="8"/>
      <c r="AB371" s="8"/>
      <c r="AC371" s="8"/>
      <c r="AD371" s="8"/>
      <c r="AE371" s="8"/>
      <c r="AF371" s="8"/>
      <c r="AG371" s="8"/>
      <c r="AH371" s="8"/>
      <c r="AI371" s="8" t="n">
        <v>0</v>
      </c>
      <c r="AJ371" s="8" t="n">
        <v>0</v>
      </c>
      <c r="AK371" s="8" t="n">
        <v>0</v>
      </c>
      <c r="AL371" s="8" t="n">
        <v>0</v>
      </c>
      <c r="AM371" s="8" t="n">
        <v>0</v>
      </c>
      <c r="AN371" s="8" t="n">
        <v>0</v>
      </c>
      <c r="AO371" s="8" t="n">
        <v>0</v>
      </c>
      <c r="AP371" s="8" t="n">
        <v>0</v>
      </c>
      <c r="AQ371" s="8" t="n">
        <v>0</v>
      </c>
      <c r="AR371" s="8" t="n">
        <v>0</v>
      </c>
      <c r="AS371" s="8" t="n">
        <v>0</v>
      </c>
      <c r="AT371" s="8" t="n">
        <v>0</v>
      </c>
      <c r="AU371" s="8" t="n">
        <v>0</v>
      </c>
      <c r="AV371" s="8" t="n">
        <v>0</v>
      </c>
      <c r="AW371" s="8" t="n">
        <v>0</v>
      </c>
      <c r="AX371" s="8" t="n">
        <v>0</v>
      </c>
      <c r="AY371" s="8" t="n">
        <v>0</v>
      </c>
      <c r="AZ371" s="8" t="n">
        <v>0</v>
      </c>
      <c r="BA371" s="8" t="n">
        <v>0</v>
      </c>
      <c r="BB371" s="8" t="n">
        <v>0</v>
      </c>
      <c r="BC371" s="8" t="n">
        <v>19</v>
      </c>
      <c r="BD371" s="8" t="n">
        <v>0</v>
      </c>
      <c r="BE371" s="8" t="n">
        <v>0</v>
      </c>
      <c r="BF371" s="8" t="n">
        <v>0</v>
      </c>
      <c r="BG371" s="10" t="s">
        <v>2992</v>
      </c>
      <c r="BH371" s="9" t="s">
        <v>3008</v>
      </c>
    </row>
    <row r="372" customFormat="false" ht="15" hidden="false" customHeight="false" outlineLevel="0" collapsed="false">
      <c r="A372" s="8" t="s">
        <v>3009</v>
      </c>
      <c r="B372" s="8" t="s">
        <v>2987</v>
      </c>
      <c r="C372" s="8" t="n">
        <v>8</v>
      </c>
      <c r="D372" s="8" t="n">
        <v>1837</v>
      </c>
      <c r="E372" s="8" t="n">
        <v>1837</v>
      </c>
      <c r="F372" s="8" t="str">
        <f aca="false">IF(D372="","?",IF(D372&lt;1796,"pre-1796",IF(D372&lt;1912,"1796-1911",IF(D372&lt;1949,"1912-1948","1949+"))))</f>
        <v>1796-1911</v>
      </c>
      <c r="G372" s="8" t="str">
        <f aca="false">IF(D372="","?",IF(D372&lt;1912,"Qing",IF(D372&lt;1949,"Republic","PRC")))</f>
        <v>Qing</v>
      </c>
      <c r="H372" s="8" t="s">
        <v>2988</v>
      </c>
      <c r="I372" s="8"/>
      <c r="J372" s="8"/>
      <c r="K372" s="8" t="s">
        <v>130</v>
      </c>
      <c r="L372" s="9" t="s">
        <v>2989</v>
      </c>
      <c r="M372" s="8"/>
      <c r="N372" s="8"/>
      <c r="O372" s="8" t="s">
        <v>2990</v>
      </c>
      <c r="P372" s="8" t="s">
        <v>87</v>
      </c>
      <c r="Q372" s="8"/>
      <c r="R372" s="8"/>
      <c r="S372" s="8"/>
      <c r="T372" s="8"/>
      <c r="U372" s="8"/>
      <c r="V372" s="8"/>
      <c r="W372" s="8"/>
      <c r="X372" s="8"/>
      <c r="Y372" s="8"/>
      <c r="Z372" s="8"/>
      <c r="AA372" s="8"/>
      <c r="AB372" s="8"/>
      <c r="AC372" s="8"/>
      <c r="AD372" s="8"/>
      <c r="AE372" s="8"/>
      <c r="AF372" s="8"/>
      <c r="AG372" s="8"/>
      <c r="AH372" s="8"/>
      <c r="AI372" s="8" t="n">
        <v>0</v>
      </c>
      <c r="AJ372" s="8" t="n">
        <v>0</v>
      </c>
      <c r="AK372" s="8" t="n">
        <v>0</v>
      </c>
      <c r="AL372" s="8" t="n">
        <v>0</v>
      </c>
      <c r="AM372" s="8" t="n">
        <v>0</v>
      </c>
      <c r="AN372" s="8" t="n">
        <v>0</v>
      </c>
      <c r="AO372" s="8" t="n">
        <v>0</v>
      </c>
      <c r="AP372" s="8" t="n">
        <v>0</v>
      </c>
      <c r="AQ372" s="8" t="n">
        <v>0</v>
      </c>
      <c r="AR372" s="8" t="n">
        <v>0</v>
      </c>
      <c r="AS372" s="8" t="n">
        <v>0</v>
      </c>
      <c r="AT372" s="8" t="n">
        <v>0</v>
      </c>
      <c r="AU372" s="8" t="n">
        <v>0</v>
      </c>
      <c r="AV372" s="8" t="n">
        <v>0</v>
      </c>
      <c r="AW372" s="8" t="n">
        <v>0</v>
      </c>
      <c r="AX372" s="8" t="n">
        <v>0</v>
      </c>
      <c r="AY372" s="8" t="n">
        <v>0</v>
      </c>
      <c r="AZ372" s="8" t="n">
        <v>0</v>
      </c>
      <c r="BA372" s="8" t="n">
        <v>0</v>
      </c>
      <c r="BB372" s="8" t="n">
        <v>0</v>
      </c>
      <c r="BC372" s="8" t="n">
        <v>18</v>
      </c>
      <c r="BD372" s="8" t="n">
        <v>0</v>
      </c>
      <c r="BE372" s="8" t="n">
        <v>0</v>
      </c>
      <c r="BF372" s="8" t="n">
        <v>0</v>
      </c>
      <c r="BG372" s="10" t="s">
        <v>2992</v>
      </c>
      <c r="BH372" s="9" t="s">
        <v>3010</v>
      </c>
    </row>
    <row r="373" customFormat="false" ht="15" hidden="false" customHeight="false" outlineLevel="0" collapsed="false">
      <c r="A373" s="8" t="s">
        <v>3011</v>
      </c>
      <c r="B373" s="8" t="s">
        <v>2987</v>
      </c>
      <c r="C373" s="8" t="n">
        <v>9</v>
      </c>
      <c r="D373" s="8" t="n">
        <v>1837</v>
      </c>
      <c r="E373" s="8" t="n">
        <v>1837</v>
      </c>
      <c r="F373" s="8" t="str">
        <f aca="false">IF(D373="","?",IF(D373&lt;1796,"pre-1796",IF(D373&lt;1912,"1796-1911",IF(D373&lt;1949,"1912-1948","1949+"))))</f>
        <v>1796-1911</v>
      </c>
      <c r="G373" s="8" t="str">
        <f aca="false">IF(D373="","?",IF(D373&lt;1912,"Qing",IF(D373&lt;1949,"Republic","PRC")))</f>
        <v>Qing</v>
      </c>
      <c r="H373" s="8" t="s">
        <v>2988</v>
      </c>
      <c r="I373" s="8"/>
      <c r="J373" s="8"/>
      <c r="K373" s="8" t="s">
        <v>130</v>
      </c>
      <c r="L373" s="9" t="s">
        <v>2989</v>
      </c>
      <c r="M373" s="8"/>
      <c r="N373" s="8"/>
      <c r="O373" s="8" t="s">
        <v>2990</v>
      </c>
      <c r="P373" s="8" t="s">
        <v>87</v>
      </c>
      <c r="Q373" s="8"/>
      <c r="R373" s="8"/>
      <c r="S373" s="8"/>
      <c r="T373" s="8"/>
      <c r="U373" s="8"/>
      <c r="V373" s="8"/>
      <c r="W373" s="8"/>
      <c r="X373" s="8"/>
      <c r="Y373" s="8"/>
      <c r="Z373" s="8"/>
      <c r="AA373" s="8"/>
      <c r="AB373" s="8"/>
      <c r="AC373" s="8"/>
      <c r="AD373" s="8"/>
      <c r="AE373" s="8"/>
      <c r="AF373" s="8"/>
      <c r="AG373" s="8"/>
      <c r="AH373" s="8"/>
      <c r="AI373" s="8" t="n">
        <v>0</v>
      </c>
      <c r="AJ373" s="8" t="n">
        <v>0</v>
      </c>
      <c r="AK373" s="8" t="n">
        <v>0</v>
      </c>
      <c r="AL373" s="8" t="n">
        <v>0</v>
      </c>
      <c r="AM373" s="8" t="n">
        <v>0</v>
      </c>
      <c r="AN373" s="8" t="n">
        <v>0</v>
      </c>
      <c r="AO373" s="8" t="n">
        <v>0</v>
      </c>
      <c r="AP373" s="8" t="n">
        <v>0</v>
      </c>
      <c r="AQ373" s="8" t="n">
        <v>0</v>
      </c>
      <c r="AR373" s="8" t="n">
        <v>0</v>
      </c>
      <c r="AS373" s="8" t="n">
        <v>0</v>
      </c>
      <c r="AT373" s="8" t="n">
        <v>0</v>
      </c>
      <c r="AU373" s="8" t="n">
        <v>0</v>
      </c>
      <c r="AV373" s="8" t="n">
        <v>0</v>
      </c>
      <c r="AW373" s="8" t="n">
        <v>0</v>
      </c>
      <c r="AX373" s="8" t="n">
        <v>0</v>
      </c>
      <c r="AY373" s="8" t="n">
        <v>0</v>
      </c>
      <c r="AZ373" s="8" t="n">
        <v>0</v>
      </c>
      <c r="BA373" s="8" t="n">
        <v>0</v>
      </c>
      <c r="BB373" s="8" t="n">
        <v>0</v>
      </c>
      <c r="BC373" s="8" t="n">
        <v>18</v>
      </c>
      <c r="BD373" s="8" t="n">
        <v>0</v>
      </c>
      <c r="BE373" s="8" t="n">
        <v>0</v>
      </c>
      <c r="BF373" s="8" t="n">
        <v>0</v>
      </c>
      <c r="BG373" s="10" t="s">
        <v>2992</v>
      </c>
      <c r="BH373" s="9" t="s">
        <v>3012</v>
      </c>
    </row>
    <row r="374" customFormat="false" ht="15" hidden="false" customHeight="false" outlineLevel="0" collapsed="false">
      <c r="A374" s="8" t="s">
        <v>3013</v>
      </c>
      <c r="B374" s="8" t="s">
        <v>2987</v>
      </c>
      <c r="C374" s="8" t="n">
        <v>10</v>
      </c>
      <c r="D374" s="8" t="n">
        <v>1837</v>
      </c>
      <c r="E374" s="8" t="n">
        <v>1837</v>
      </c>
      <c r="F374" s="8" t="str">
        <f aca="false">IF(D374="","?",IF(D374&lt;1796,"pre-1796",IF(D374&lt;1912,"1796-1911",IF(D374&lt;1949,"1912-1948","1949+"))))</f>
        <v>1796-1911</v>
      </c>
      <c r="G374" s="8" t="str">
        <f aca="false">IF(D374="","?",IF(D374&lt;1912,"Qing",IF(D374&lt;1949,"Republic","PRC")))</f>
        <v>Qing</v>
      </c>
      <c r="H374" s="8" t="s">
        <v>2988</v>
      </c>
      <c r="I374" s="8"/>
      <c r="J374" s="8"/>
      <c r="K374" s="8" t="s">
        <v>130</v>
      </c>
      <c r="L374" s="9" t="s">
        <v>2989</v>
      </c>
      <c r="M374" s="8"/>
      <c r="N374" s="8"/>
      <c r="O374" s="8" t="s">
        <v>2990</v>
      </c>
      <c r="P374" s="8" t="s">
        <v>87</v>
      </c>
      <c r="Q374" s="8"/>
      <c r="R374" s="9" t="s">
        <v>2991</v>
      </c>
      <c r="S374" s="8"/>
      <c r="T374" s="8"/>
      <c r="U374" s="8"/>
      <c r="V374" s="8"/>
      <c r="W374" s="8"/>
      <c r="X374" s="8"/>
      <c r="Y374" s="8"/>
      <c r="Z374" s="8"/>
      <c r="AA374" s="8"/>
      <c r="AB374" s="8"/>
      <c r="AC374" s="8"/>
      <c r="AD374" s="8"/>
      <c r="AE374" s="8"/>
      <c r="AF374" s="8"/>
      <c r="AG374" s="8"/>
      <c r="AH374" s="8"/>
      <c r="AI374" s="8" t="n">
        <v>0</v>
      </c>
      <c r="AJ374" s="8" t="n">
        <v>0</v>
      </c>
      <c r="AK374" s="8" t="n">
        <v>0</v>
      </c>
      <c r="AL374" s="8" t="n">
        <v>0</v>
      </c>
      <c r="AM374" s="8" t="n">
        <v>0</v>
      </c>
      <c r="AN374" s="8" t="n">
        <v>0</v>
      </c>
      <c r="AO374" s="8" t="n">
        <v>0</v>
      </c>
      <c r="AP374" s="8" t="n">
        <v>0</v>
      </c>
      <c r="AQ374" s="8" t="n">
        <v>0</v>
      </c>
      <c r="AR374" s="8" t="n">
        <v>0</v>
      </c>
      <c r="AS374" s="8" t="n">
        <v>0</v>
      </c>
      <c r="AT374" s="8" t="n">
        <v>0</v>
      </c>
      <c r="AU374" s="8" t="n">
        <v>0</v>
      </c>
      <c r="AV374" s="8" t="n">
        <v>0</v>
      </c>
      <c r="AW374" s="8" t="n">
        <v>0</v>
      </c>
      <c r="AX374" s="8" t="n">
        <v>0</v>
      </c>
      <c r="AY374" s="8" t="n">
        <v>0</v>
      </c>
      <c r="AZ374" s="8" t="n">
        <v>0</v>
      </c>
      <c r="BA374" s="8" t="n">
        <v>0</v>
      </c>
      <c r="BB374" s="8" t="n">
        <v>0</v>
      </c>
      <c r="BC374" s="8" t="n">
        <v>63</v>
      </c>
      <c r="BD374" s="8" t="n">
        <v>0</v>
      </c>
      <c r="BE374" s="8" t="n">
        <v>0</v>
      </c>
      <c r="BF374" s="8" t="n">
        <v>0</v>
      </c>
      <c r="BG374" s="10" t="s">
        <v>2992</v>
      </c>
      <c r="BH374" s="9" t="s">
        <v>3014</v>
      </c>
    </row>
    <row r="375" customFormat="false" ht="15" hidden="false" customHeight="false" outlineLevel="0" collapsed="false">
      <c r="A375" s="8" t="s">
        <v>3015</v>
      </c>
      <c r="B375" s="8" t="s">
        <v>2987</v>
      </c>
      <c r="C375" s="8" t="n">
        <v>11</v>
      </c>
      <c r="D375" s="8" t="n">
        <v>1837</v>
      </c>
      <c r="E375" s="8" t="n">
        <v>1837</v>
      </c>
      <c r="F375" s="8" t="str">
        <f aca="false">IF(D375="","?",IF(D375&lt;1796,"pre-1796",IF(D375&lt;1912,"1796-1911",IF(D375&lt;1949,"1912-1948","1949+"))))</f>
        <v>1796-1911</v>
      </c>
      <c r="G375" s="8" t="str">
        <f aca="false">IF(D375="","?",IF(D375&lt;1912,"Qing",IF(D375&lt;1949,"Republic","PRC")))</f>
        <v>Qing</v>
      </c>
      <c r="H375" s="8" t="s">
        <v>2988</v>
      </c>
      <c r="I375" s="8"/>
      <c r="J375" s="8"/>
      <c r="K375" s="8" t="s">
        <v>130</v>
      </c>
      <c r="L375" s="9" t="s">
        <v>2989</v>
      </c>
      <c r="M375" s="8"/>
      <c r="N375" s="8"/>
      <c r="O375" s="8" t="s">
        <v>2990</v>
      </c>
      <c r="P375" s="8" t="s">
        <v>87</v>
      </c>
      <c r="Q375" s="8"/>
      <c r="R375" s="8"/>
      <c r="S375" s="8"/>
      <c r="T375" s="8"/>
      <c r="U375" s="8"/>
      <c r="V375" s="8"/>
      <c r="W375" s="8"/>
      <c r="X375" s="8"/>
      <c r="Y375" s="8"/>
      <c r="Z375" s="8"/>
      <c r="AA375" s="9" t="s">
        <v>3016</v>
      </c>
      <c r="AB375" s="8"/>
      <c r="AC375" s="8"/>
      <c r="AD375" s="8"/>
      <c r="AE375" s="8"/>
      <c r="AF375" s="8"/>
      <c r="AG375" s="8"/>
      <c r="AH375" s="8"/>
      <c r="AI375" s="8" t="n">
        <v>0</v>
      </c>
      <c r="AJ375" s="8" t="n">
        <v>0</v>
      </c>
      <c r="AK375" s="8" t="n">
        <v>0</v>
      </c>
      <c r="AL375" s="8" t="n">
        <v>0</v>
      </c>
      <c r="AM375" s="8" t="n">
        <v>0</v>
      </c>
      <c r="AN375" s="8" t="n">
        <v>0</v>
      </c>
      <c r="AO375" s="8" t="n">
        <v>0</v>
      </c>
      <c r="AP375" s="8" t="n">
        <v>0</v>
      </c>
      <c r="AQ375" s="8" t="n">
        <v>0</v>
      </c>
      <c r="AR375" s="8" t="n">
        <v>0</v>
      </c>
      <c r="AS375" s="8" t="n">
        <v>0</v>
      </c>
      <c r="AT375" s="8" t="n">
        <v>0</v>
      </c>
      <c r="AU375" s="8" t="n">
        <v>0</v>
      </c>
      <c r="AV375" s="8" t="n">
        <v>0</v>
      </c>
      <c r="AW375" s="8" t="n">
        <v>0</v>
      </c>
      <c r="AX375" s="8" t="n">
        <v>0</v>
      </c>
      <c r="AY375" s="8" t="n">
        <v>0</v>
      </c>
      <c r="AZ375" s="8" t="n">
        <v>0</v>
      </c>
      <c r="BA375" s="8" t="n">
        <v>0</v>
      </c>
      <c r="BB375" s="8" t="n">
        <v>0</v>
      </c>
      <c r="BC375" s="8" t="n">
        <v>13</v>
      </c>
      <c r="BD375" s="8" t="n">
        <v>0</v>
      </c>
      <c r="BE375" s="8" t="n">
        <v>0</v>
      </c>
      <c r="BF375" s="8" t="n">
        <v>0</v>
      </c>
      <c r="BG375" s="10" t="s">
        <v>2992</v>
      </c>
      <c r="BH375" s="9" t="s">
        <v>3017</v>
      </c>
    </row>
    <row r="376" customFormat="false" ht="15" hidden="false" customHeight="false" outlineLevel="0" collapsed="false">
      <c r="A376" s="8" t="s">
        <v>3018</v>
      </c>
      <c r="B376" s="8" t="s">
        <v>3019</v>
      </c>
      <c r="C376" s="8" t="n">
        <v>1</v>
      </c>
      <c r="D376" s="8" t="n">
        <v>1978</v>
      </c>
      <c r="E376" s="8" t="n">
        <v>1978</v>
      </c>
      <c r="F376" s="8" t="str">
        <f aca="false">IF(D376="","?",IF(D376&lt;1796,"pre-1796",IF(D376&lt;1912,"1796-1911",IF(D376&lt;1949,"1912-1948","1949+"))))</f>
        <v>1949+</v>
      </c>
      <c r="G376" s="8" t="str">
        <f aca="false">IF(D376="","?",IF(D376&lt;1912,"Qing",IF(D376&lt;1949,"Republic","PRC")))</f>
        <v>PRC</v>
      </c>
      <c r="H376" s="8" t="s">
        <v>3020</v>
      </c>
      <c r="I376" s="9" t="s">
        <v>3021</v>
      </c>
      <c r="J376" s="9" t="s">
        <v>3022</v>
      </c>
      <c r="K376" s="8" t="s">
        <v>84</v>
      </c>
      <c r="L376" s="9" t="s">
        <v>3023</v>
      </c>
      <c r="M376" s="8"/>
      <c r="N376" s="8"/>
      <c r="O376" s="8" t="s">
        <v>3024</v>
      </c>
      <c r="P376" s="8" t="s">
        <v>87</v>
      </c>
      <c r="Q376" s="8"/>
      <c r="R376" s="8"/>
      <c r="S376" s="8"/>
      <c r="T376" s="8"/>
      <c r="U376" s="8"/>
      <c r="V376" s="8"/>
      <c r="W376" s="8"/>
      <c r="X376" s="8"/>
      <c r="Y376" s="8"/>
      <c r="Z376" s="8"/>
      <c r="AA376" s="8"/>
      <c r="AB376" s="8"/>
      <c r="AC376" s="8"/>
      <c r="AD376" s="8"/>
      <c r="AE376" s="9" t="s">
        <v>3025</v>
      </c>
      <c r="AF376" s="8"/>
      <c r="AG376" s="8"/>
      <c r="AH376" s="8"/>
      <c r="AI376" s="8" t="n">
        <v>0</v>
      </c>
      <c r="AJ376" s="8" t="n">
        <v>0</v>
      </c>
      <c r="AK376" s="8" t="n">
        <v>0</v>
      </c>
      <c r="AL376" s="8" t="n">
        <v>0</v>
      </c>
      <c r="AM376" s="8" t="n">
        <v>0</v>
      </c>
      <c r="AN376" s="8" t="n">
        <v>0</v>
      </c>
      <c r="AO376" s="8" t="n">
        <v>0</v>
      </c>
      <c r="AP376" s="8" t="n">
        <v>0</v>
      </c>
      <c r="AQ376" s="8" t="n">
        <v>0</v>
      </c>
      <c r="AR376" s="8" t="n">
        <v>0</v>
      </c>
      <c r="AS376" s="8" t="n">
        <v>0</v>
      </c>
      <c r="AT376" s="8" t="n">
        <v>0</v>
      </c>
      <c r="AU376" s="8" t="n">
        <v>0</v>
      </c>
      <c r="AV376" s="8" t="n">
        <v>0</v>
      </c>
      <c r="AW376" s="8" t="n">
        <v>0</v>
      </c>
      <c r="AX376" s="8" t="n">
        <v>0</v>
      </c>
      <c r="AY376" s="8" t="n">
        <v>0</v>
      </c>
      <c r="AZ376" s="8" t="n">
        <v>0</v>
      </c>
      <c r="BA376" s="8" t="n">
        <v>0</v>
      </c>
      <c r="BB376" s="8" t="n">
        <v>0</v>
      </c>
      <c r="BC376" s="8" t="n">
        <v>88</v>
      </c>
      <c r="BD376" s="8" t="n">
        <v>1</v>
      </c>
      <c r="BE376" s="8" t="n">
        <v>0</v>
      </c>
      <c r="BF376" s="8" t="n">
        <v>0</v>
      </c>
      <c r="BG376" s="10" t="s">
        <v>3026</v>
      </c>
      <c r="BH376" s="9" t="s">
        <v>3027</v>
      </c>
    </row>
    <row r="377" customFormat="false" ht="15" hidden="false" customHeight="false" outlineLevel="0" collapsed="false">
      <c r="A377" s="8" t="s">
        <v>3028</v>
      </c>
      <c r="B377" s="8" t="s">
        <v>3029</v>
      </c>
      <c r="C377" s="8" t="n">
        <v>1</v>
      </c>
      <c r="D377" s="8"/>
      <c r="E377" s="8"/>
      <c r="F377" s="8" t="str">
        <f aca="false">IF(D377="","?",IF(D377&lt;1796,"pre-1796",IF(D377&lt;1912,"1796-1911",IF(D377&lt;1949,"1912-1948","1949+"))))</f>
        <v>?</v>
      </c>
      <c r="G377" s="8" t="str">
        <f aca="false">IF(D377="","?",IF(D377&lt;1912,"Qing",IF(D377&lt;1949,"Republic","PRC")))</f>
        <v>?</v>
      </c>
      <c r="H377" s="8"/>
      <c r="I377" s="9" t="s">
        <v>128</v>
      </c>
      <c r="J377" s="9" t="s">
        <v>223</v>
      </c>
      <c r="K377" s="8"/>
      <c r="L377" s="8"/>
      <c r="M377" s="8"/>
      <c r="N377" s="8"/>
      <c r="O377" s="8" t="s">
        <v>3030</v>
      </c>
      <c r="P377" s="8" t="s">
        <v>87</v>
      </c>
      <c r="Q377" s="8"/>
      <c r="R377" s="8"/>
      <c r="S377" s="8"/>
      <c r="T377" s="8"/>
      <c r="U377" s="8"/>
      <c r="V377" s="8"/>
      <c r="W377" s="8"/>
      <c r="X377" s="8"/>
      <c r="Y377" s="8"/>
      <c r="Z377" s="8"/>
      <c r="AA377" s="8"/>
      <c r="AB377" s="8"/>
      <c r="AC377" s="8"/>
      <c r="AD377" s="8"/>
      <c r="AE377" s="8"/>
      <c r="AF377" s="8"/>
      <c r="AG377" s="8"/>
      <c r="AH377" s="8"/>
      <c r="AI377" s="8" t="n">
        <v>0</v>
      </c>
      <c r="AJ377" s="8" t="n">
        <v>0</v>
      </c>
      <c r="AK377" s="8" t="n">
        <v>0</v>
      </c>
      <c r="AL377" s="8" t="n">
        <v>0</v>
      </c>
      <c r="AM377" s="8" t="n">
        <v>0</v>
      </c>
      <c r="AN377" s="8" t="n">
        <v>0</v>
      </c>
      <c r="AO377" s="8" t="n">
        <v>0</v>
      </c>
      <c r="AP377" s="8" t="n">
        <v>0</v>
      </c>
      <c r="AQ377" s="8" t="n">
        <v>0</v>
      </c>
      <c r="AR377" s="8" t="n">
        <v>0</v>
      </c>
      <c r="AS377" s="8" t="n">
        <v>0</v>
      </c>
      <c r="AT377" s="8" t="n">
        <v>0</v>
      </c>
      <c r="AU377" s="8" t="n">
        <v>0</v>
      </c>
      <c r="AV377" s="8" t="n">
        <v>0</v>
      </c>
      <c r="AW377" s="8" t="n">
        <v>0</v>
      </c>
      <c r="AX377" s="8" t="n">
        <v>0</v>
      </c>
      <c r="AY377" s="8" t="n">
        <v>0</v>
      </c>
      <c r="AZ377" s="8" t="n">
        <v>0</v>
      </c>
      <c r="BA377" s="8" t="n">
        <v>0</v>
      </c>
      <c r="BB377" s="8" t="n">
        <v>0</v>
      </c>
      <c r="BC377" s="8" t="n">
        <v>73</v>
      </c>
      <c r="BD377" s="8" t="n">
        <v>2</v>
      </c>
      <c r="BE377" s="8" t="n">
        <v>0</v>
      </c>
      <c r="BF377" s="8" t="n">
        <v>1</v>
      </c>
      <c r="BG377" s="10" t="s">
        <v>3031</v>
      </c>
      <c r="BH377" s="9" t="s">
        <v>3032</v>
      </c>
    </row>
    <row r="378" customFormat="false" ht="15" hidden="false" customHeight="false" outlineLevel="0" collapsed="false">
      <c r="A378" s="8" t="s">
        <v>3033</v>
      </c>
      <c r="B378" s="8" t="s">
        <v>3034</v>
      </c>
      <c r="C378" s="8" t="n">
        <v>1</v>
      </c>
      <c r="D378" s="8" t="n">
        <v>1869</v>
      </c>
      <c r="E378" s="8" t="n">
        <v>1899</v>
      </c>
      <c r="F378" s="8" t="str">
        <f aca="false">IF(D378="","?",IF(D378&lt;1796,"pre-1796",IF(D378&lt;1912,"1796-1911",IF(D378&lt;1949,"1912-1948","1949+"))))</f>
        <v>1796-1911</v>
      </c>
      <c r="G378" s="8" t="str">
        <f aca="false">IF(D378="","?",IF(D378&lt;1912,"Qing",IF(D378&lt;1949,"Republic","PRC")))</f>
        <v>Qing</v>
      </c>
      <c r="H378" s="8" t="s">
        <v>3035</v>
      </c>
      <c r="I378" s="9" t="s">
        <v>110</v>
      </c>
      <c r="J378" s="9" t="s">
        <v>111</v>
      </c>
      <c r="K378" s="8" t="s">
        <v>84</v>
      </c>
      <c r="L378" s="9" t="s">
        <v>3036</v>
      </c>
      <c r="M378" s="9" t="s">
        <v>3037</v>
      </c>
      <c r="N378" s="9" t="s">
        <v>3038</v>
      </c>
      <c r="O378" s="8" t="s">
        <v>3039</v>
      </c>
      <c r="P378" s="8" t="s">
        <v>133</v>
      </c>
      <c r="Q378" s="9" t="s">
        <v>148</v>
      </c>
      <c r="R378" s="9" t="s">
        <v>905</v>
      </c>
      <c r="S378" s="9" t="s">
        <v>3040</v>
      </c>
      <c r="T378" s="8"/>
      <c r="U378" s="8"/>
      <c r="V378" s="8"/>
      <c r="W378" s="9" t="s">
        <v>3041</v>
      </c>
      <c r="X378" s="8"/>
      <c r="Y378" s="8"/>
      <c r="Z378" s="9" t="s">
        <v>3042</v>
      </c>
      <c r="AA378" s="8"/>
      <c r="AB378" s="9" t="s">
        <v>3043</v>
      </c>
      <c r="AC378" s="8"/>
      <c r="AD378" s="8"/>
      <c r="AE378" s="8"/>
      <c r="AF378" s="8"/>
      <c r="AG378" s="8"/>
      <c r="AH378" s="8"/>
      <c r="AI378" s="8" t="n">
        <v>1</v>
      </c>
      <c r="AJ378" s="8" t="n">
        <v>0</v>
      </c>
      <c r="AK378" s="8" t="n">
        <v>1</v>
      </c>
      <c r="AL378" s="8" t="n">
        <v>1</v>
      </c>
      <c r="AM378" s="8" t="n">
        <v>1</v>
      </c>
      <c r="AN378" s="8" t="n">
        <v>1</v>
      </c>
      <c r="AO378" s="8" t="n">
        <v>0</v>
      </c>
      <c r="AP378" s="8" t="n">
        <v>0</v>
      </c>
      <c r="AQ378" s="8" t="n">
        <v>1</v>
      </c>
      <c r="AR378" s="8" t="n">
        <v>1</v>
      </c>
      <c r="AS378" s="8" t="n">
        <v>1</v>
      </c>
      <c r="AT378" s="8" t="n">
        <v>0</v>
      </c>
      <c r="AU378" s="8" t="n">
        <v>0</v>
      </c>
      <c r="AV378" s="8" t="n">
        <v>0</v>
      </c>
      <c r="AW378" s="8" t="n">
        <v>0</v>
      </c>
      <c r="AX378" s="8" t="n">
        <v>0</v>
      </c>
      <c r="AY378" s="8" t="n">
        <v>0</v>
      </c>
      <c r="AZ378" s="8" t="n">
        <v>0</v>
      </c>
      <c r="BA378" s="8" t="n">
        <v>0</v>
      </c>
      <c r="BB378" s="8" t="n">
        <v>0</v>
      </c>
      <c r="BC378" s="8" t="n">
        <v>342</v>
      </c>
      <c r="BD378" s="8" t="n">
        <v>0</v>
      </c>
      <c r="BE378" s="8" t="n">
        <v>0</v>
      </c>
      <c r="BF378" s="8" t="n">
        <v>0</v>
      </c>
      <c r="BG378" s="10" t="s">
        <v>3044</v>
      </c>
      <c r="BH378" s="9" t="s">
        <v>3045</v>
      </c>
    </row>
    <row r="379" customFormat="false" ht="15" hidden="false" customHeight="false" outlineLevel="0" collapsed="false">
      <c r="A379" s="8" t="s">
        <v>3046</v>
      </c>
      <c r="B379" s="8" t="s">
        <v>3034</v>
      </c>
      <c r="C379" s="8" t="n">
        <v>2</v>
      </c>
      <c r="D379" s="8" t="n">
        <v>1869</v>
      </c>
      <c r="E379" s="8" t="n">
        <v>1899</v>
      </c>
      <c r="F379" s="8" t="str">
        <f aca="false">IF(D379="","?",IF(D379&lt;1796,"pre-1796",IF(D379&lt;1912,"1796-1911",IF(D379&lt;1949,"1912-1948","1949+"))))</f>
        <v>1796-1911</v>
      </c>
      <c r="G379" s="8" t="str">
        <f aca="false">IF(D379="","?",IF(D379&lt;1912,"Qing",IF(D379&lt;1949,"Republic","PRC")))</f>
        <v>Qing</v>
      </c>
      <c r="H379" s="8" t="s">
        <v>3035</v>
      </c>
      <c r="I379" s="9" t="s">
        <v>110</v>
      </c>
      <c r="J379" s="9" t="s">
        <v>111</v>
      </c>
      <c r="K379" s="8" t="s">
        <v>84</v>
      </c>
      <c r="L379" s="9" t="s">
        <v>3036</v>
      </c>
      <c r="M379" s="9" t="s">
        <v>3037</v>
      </c>
      <c r="N379" s="9" t="s">
        <v>3038</v>
      </c>
      <c r="O379" s="8" t="s">
        <v>3039</v>
      </c>
      <c r="P379" s="8" t="s">
        <v>133</v>
      </c>
      <c r="Q379" s="9" t="s">
        <v>3047</v>
      </c>
      <c r="R379" s="9" t="s">
        <v>1370</v>
      </c>
      <c r="S379" s="9" t="s">
        <v>3048</v>
      </c>
      <c r="T379" s="8"/>
      <c r="U379" s="9" t="s">
        <v>3049</v>
      </c>
      <c r="V379" s="8"/>
      <c r="W379" s="9" t="s">
        <v>3050</v>
      </c>
      <c r="X379" s="9" t="s">
        <v>3051</v>
      </c>
      <c r="Y379" s="8"/>
      <c r="Z379" s="8"/>
      <c r="AA379" s="8"/>
      <c r="AB379" s="9" t="s">
        <v>3052</v>
      </c>
      <c r="AC379" s="8"/>
      <c r="AD379" s="8"/>
      <c r="AE379" s="8"/>
      <c r="AF379" s="8"/>
      <c r="AG379" s="8"/>
      <c r="AH379" s="8"/>
      <c r="AI379" s="8" t="n">
        <v>1</v>
      </c>
      <c r="AJ379" s="8" t="n">
        <v>1</v>
      </c>
      <c r="AK379" s="8" t="n">
        <v>1</v>
      </c>
      <c r="AL379" s="8" t="n">
        <v>1</v>
      </c>
      <c r="AM379" s="8" t="n">
        <v>0</v>
      </c>
      <c r="AN379" s="8" t="n">
        <v>1</v>
      </c>
      <c r="AO379" s="8" t="n">
        <v>1</v>
      </c>
      <c r="AP379" s="8" t="n">
        <v>0</v>
      </c>
      <c r="AQ379" s="8" t="n">
        <v>0</v>
      </c>
      <c r="AR379" s="8" t="n">
        <v>1</v>
      </c>
      <c r="AS379" s="8" t="n">
        <v>1</v>
      </c>
      <c r="AT379" s="8" t="n">
        <v>0</v>
      </c>
      <c r="AU379" s="8" t="n">
        <v>0</v>
      </c>
      <c r="AV379" s="8" t="n">
        <v>0</v>
      </c>
      <c r="AW379" s="8" t="n">
        <v>0</v>
      </c>
      <c r="AX379" s="8" t="n">
        <v>0</v>
      </c>
      <c r="AY379" s="8" t="n">
        <v>0</v>
      </c>
      <c r="AZ379" s="8" t="n">
        <v>0</v>
      </c>
      <c r="BA379" s="8" t="n">
        <v>0</v>
      </c>
      <c r="BB379" s="8" t="n">
        <v>0</v>
      </c>
      <c r="BC379" s="8" t="n">
        <v>272</v>
      </c>
      <c r="BD379" s="8" t="n">
        <v>0</v>
      </c>
      <c r="BE379" s="8" t="n">
        <v>0</v>
      </c>
      <c r="BF379" s="8" t="n">
        <v>0</v>
      </c>
      <c r="BG379" s="10" t="s">
        <v>3044</v>
      </c>
      <c r="BH379" s="9" t="s">
        <v>3053</v>
      </c>
    </row>
    <row r="380" customFormat="false" ht="15" hidden="false" customHeight="false" outlineLevel="0" collapsed="false">
      <c r="A380" s="8" t="s">
        <v>3054</v>
      </c>
      <c r="B380" s="8" t="s">
        <v>3034</v>
      </c>
      <c r="C380" s="8" t="n">
        <v>3</v>
      </c>
      <c r="D380" s="8" t="n">
        <v>1869</v>
      </c>
      <c r="E380" s="8" t="n">
        <v>1899</v>
      </c>
      <c r="F380" s="8" t="str">
        <f aca="false">IF(D380="","?",IF(D380&lt;1796,"pre-1796",IF(D380&lt;1912,"1796-1911",IF(D380&lt;1949,"1912-1948","1949+"))))</f>
        <v>1796-1911</v>
      </c>
      <c r="G380" s="8" t="str">
        <f aca="false">IF(D380="","?",IF(D380&lt;1912,"Qing",IF(D380&lt;1949,"Republic","PRC")))</f>
        <v>Qing</v>
      </c>
      <c r="H380" s="8" t="s">
        <v>3035</v>
      </c>
      <c r="I380" s="9" t="s">
        <v>110</v>
      </c>
      <c r="J380" s="9" t="s">
        <v>111</v>
      </c>
      <c r="K380" s="8" t="s">
        <v>84</v>
      </c>
      <c r="L380" s="9" t="s">
        <v>3036</v>
      </c>
      <c r="M380" s="9" t="s">
        <v>3037</v>
      </c>
      <c r="N380" s="9" t="s">
        <v>3038</v>
      </c>
      <c r="O380" s="8" t="s">
        <v>3039</v>
      </c>
      <c r="P380" s="8" t="s">
        <v>87</v>
      </c>
      <c r="Q380" s="8"/>
      <c r="R380" s="8"/>
      <c r="S380" s="8"/>
      <c r="T380" s="8"/>
      <c r="U380" s="8"/>
      <c r="V380" s="8"/>
      <c r="W380" s="8"/>
      <c r="X380" s="8"/>
      <c r="Y380" s="8"/>
      <c r="Z380" s="8"/>
      <c r="AA380" s="8"/>
      <c r="AB380" s="8"/>
      <c r="AC380" s="8"/>
      <c r="AD380" s="8"/>
      <c r="AE380" s="8"/>
      <c r="AF380" s="8"/>
      <c r="AG380" s="8"/>
      <c r="AH380" s="8"/>
      <c r="AI380" s="8" t="n">
        <v>0</v>
      </c>
      <c r="AJ380" s="8" t="n">
        <v>0</v>
      </c>
      <c r="AK380" s="8" t="n">
        <v>0</v>
      </c>
      <c r="AL380" s="8" t="n">
        <v>0</v>
      </c>
      <c r="AM380" s="8" t="n">
        <v>0</v>
      </c>
      <c r="AN380" s="8" t="n">
        <v>0</v>
      </c>
      <c r="AO380" s="8" t="n">
        <v>0</v>
      </c>
      <c r="AP380" s="8" t="n">
        <v>0</v>
      </c>
      <c r="AQ380" s="8" t="n">
        <v>0</v>
      </c>
      <c r="AR380" s="8" t="n">
        <v>0</v>
      </c>
      <c r="AS380" s="8" t="n">
        <v>0</v>
      </c>
      <c r="AT380" s="8" t="n">
        <v>0</v>
      </c>
      <c r="AU380" s="8" t="n">
        <v>0</v>
      </c>
      <c r="AV380" s="8" t="n">
        <v>0</v>
      </c>
      <c r="AW380" s="8" t="n">
        <v>0</v>
      </c>
      <c r="AX380" s="8" t="n">
        <v>0</v>
      </c>
      <c r="AY380" s="8" t="n">
        <v>0</v>
      </c>
      <c r="AZ380" s="8" t="n">
        <v>0</v>
      </c>
      <c r="BA380" s="8" t="n">
        <v>0</v>
      </c>
      <c r="BB380" s="8" t="n">
        <v>0</v>
      </c>
      <c r="BC380" s="8" t="n">
        <v>2</v>
      </c>
      <c r="BD380" s="8" t="n">
        <v>2</v>
      </c>
      <c r="BE380" s="8" t="n">
        <v>0</v>
      </c>
      <c r="BF380" s="8" t="n">
        <v>0</v>
      </c>
      <c r="BG380" s="10" t="s">
        <v>3044</v>
      </c>
      <c r="BH380" s="9" t="s">
        <v>3055</v>
      </c>
    </row>
    <row r="381" customFormat="false" ht="15" hidden="false" customHeight="false" outlineLevel="0" collapsed="false">
      <c r="A381" s="8" t="s">
        <v>3056</v>
      </c>
      <c r="B381" s="8" t="s">
        <v>3057</v>
      </c>
      <c r="C381" s="8" t="n">
        <v>1</v>
      </c>
      <c r="D381" s="8" t="n">
        <v>1850</v>
      </c>
      <c r="E381" s="8" t="n">
        <v>1923</v>
      </c>
      <c r="F381" s="8" t="str">
        <f aca="false">IF(D381="","?",IF(D381&lt;1796,"pre-1796",IF(D381&lt;1912,"1796-1911",IF(D381&lt;1949,"1912-1948","1949+"))))</f>
        <v>1796-1911</v>
      </c>
      <c r="G381" s="8" t="str">
        <f aca="false">IF(D381="","?",IF(D381&lt;1912,"Qing",IF(D381&lt;1949,"Republic","PRC")))</f>
        <v>Qing</v>
      </c>
      <c r="H381" s="8" t="s">
        <v>3058</v>
      </c>
      <c r="I381" s="9" t="s">
        <v>128</v>
      </c>
      <c r="J381" s="9" t="s">
        <v>175</v>
      </c>
      <c r="K381" s="8" t="s">
        <v>130</v>
      </c>
      <c r="L381" s="8"/>
      <c r="M381" s="9" t="s">
        <v>3059</v>
      </c>
      <c r="N381" s="9" t="s">
        <v>3060</v>
      </c>
      <c r="O381" s="8" t="s">
        <v>3061</v>
      </c>
      <c r="P381" s="8" t="s">
        <v>114</v>
      </c>
      <c r="Q381" s="8"/>
      <c r="R381" s="8"/>
      <c r="S381" s="8"/>
      <c r="T381" s="8"/>
      <c r="U381" s="8"/>
      <c r="V381" s="8"/>
      <c r="W381" s="8"/>
      <c r="X381" s="8"/>
      <c r="Y381" s="8"/>
      <c r="Z381" s="8"/>
      <c r="AA381" s="8"/>
      <c r="AB381" s="8"/>
      <c r="AC381" s="8"/>
      <c r="AD381" s="8"/>
      <c r="AE381" s="9" t="s">
        <v>3062</v>
      </c>
      <c r="AF381" s="9" t="s">
        <v>120</v>
      </c>
      <c r="AG381" s="8"/>
      <c r="AH381" s="8"/>
      <c r="AI381" s="8" t="n">
        <v>0</v>
      </c>
      <c r="AJ381" s="8" t="n">
        <v>0</v>
      </c>
      <c r="AK381" s="8" t="n">
        <v>0</v>
      </c>
      <c r="AL381" s="8" t="n">
        <v>0</v>
      </c>
      <c r="AM381" s="8" t="n">
        <v>0</v>
      </c>
      <c r="AN381" s="8" t="n">
        <v>0</v>
      </c>
      <c r="AO381" s="8" t="n">
        <v>0</v>
      </c>
      <c r="AP381" s="8" t="n">
        <v>0</v>
      </c>
      <c r="AQ381" s="8" t="n">
        <v>0</v>
      </c>
      <c r="AR381" s="8" t="n">
        <v>0</v>
      </c>
      <c r="AS381" s="8" t="n">
        <v>0</v>
      </c>
      <c r="AT381" s="8" t="n">
        <v>0</v>
      </c>
      <c r="AU381" s="8" t="n">
        <v>0</v>
      </c>
      <c r="AV381" s="8" t="n">
        <v>0</v>
      </c>
      <c r="AW381" s="8" t="n">
        <v>0</v>
      </c>
      <c r="AX381" s="8" t="n">
        <v>0</v>
      </c>
      <c r="AY381" s="8" t="n">
        <v>0</v>
      </c>
      <c r="AZ381" s="8" t="n">
        <v>0</v>
      </c>
      <c r="BA381" s="8" t="n">
        <v>0</v>
      </c>
      <c r="BB381" s="8" t="n">
        <v>0</v>
      </c>
      <c r="BC381" s="8" t="n">
        <v>10</v>
      </c>
      <c r="BD381" s="8" t="n">
        <v>0</v>
      </c>
      <c r="BE381" s="8" t="n">
        <v>0</v>
      </c>
      <c r="BF381" s="8" t="n">
        <v>0</v>
      </c>
      <c r="BG381" s="10" t="s">
        <v>3063</v>
      </c>
      <c r="BH381" s="9" t="s">
        <v>3064</v>
      </c>
    </row>
    <row r="382" customFormat="false" ht="15" hidden="false" customHeight="false" outlineLevel="0" collapsed="false">
      <c r="A382" s="8" t="s">
        <v>3065</v>
      </c>
      <c r="B382" s="8" t="s">
        <v>3066</v>
      </c>
      <c r="C382" s="8" t="n">
        <v>1</v>
      </c>
      <c r="D382" s="8" t="n">
        <v>1864</v>
      </c>
      <c r="E382" s="8" t="n">
        <v>1864</v>
      </c>
      <c r="F382" s="8" t="str">
        <f aca="false">IF(D382="","?",IF(D382&lt;1796,"pre-1796",IF(D382&lt;1912,"1796-1911",IF(D382&lt;1949,"1912-1948","1949+"))))</f>
        <v>1796-1911</v>
      </c>
      <c r="G382" s="8" t="str">
        <f aca="false">IF(D382="","?",IF(D382&lt;1912,"Qing",IF(D382&lt;1949,"Republic","PRC")))</f>
        <v>Qing</v>
      </c>
      <c r="H382" s="8" t="s">
        <v>3067</v>
      </c>
      <c r="I382" s="9" t="s">
        <v>128</v>
      </c>
      <c r="J382" s="9" t="s">
        <v>175</v>
      </c>
      <c r="K382" s="8" t="s">
        <v>84</v>
      </c>
      <c r="L382" s="8"/>
      <c r="M382" s="9" t="s">
        <v>3068</v>
      </c>
      <c r="N382" s="9" t="s">
        <v>3069</v>
      </c>
      <c r="O382" s="8" t="s">
        <v>3070</v>
      </c>
      <c r="P382" s="8" t="s">
        <v>114</v>
      </c>
      <c r="Q382" s="8"/>
      <c r="R382" s="8"/>
      <c r="S382" s="8"/>
      <c r="T382" s="8"/>
      <c r="U382" s="8"/>
      <c r="V382" s="8"/>
      <c r="W382" s="8"/>
      <c r="X382" s="8"/>
      <c r="Y382" s="8"/>
      <c r="Z382" s="8"/>
      <c r="AA382" s="8"/>
      <c r="AB382" s="8"/>
      <c r="AC382" s="8"/>
      <c r="AD382" s="8"/>
      <c r="AE382" s="8"/>
      <c r="AF382" s="8"/>
      <c r="AG382" s="8"/>
      <c r="AH382" s="8"/>
      <c r="AI382" s="8" t="n">
        <v>0</v>
      </c>
      <c r="AJ382" s="8" t="n">
        <v>0</v>
      </c>
      <c r="AK382" s="8" t="n">
        <v>0</v>
      </c>
      <c r="AL382" s="8" t="n">
        <v>0</v>
      </c>
      <c r="AM382" s="8" t="n">
        <v>0</v>
      </c>
      <c r="AN382" s="8" t="n">
        <v>0</v>
      </c>
      <c r="AO382" s="8" t="n">
        <v>0</v>
      </c>
      <c r="AP382" s="8" t="n">
        <v>0</v>
      </c>
      <c r="AQ382" s="8" t="n">
        <v>0</v>
      </c>
      <c r="AR382" s="8" t="n">
        <v>0</v>
      </c>
      <c r="AS382" s="8" t="n">
        <v>0</v>
      </c>
      <c r="AT382" s="8" t="n">
        <v>0</v>
      </c>
      <c r="AU382" s="8" t="n">
        <v>0</v>
      </c>
      <c r="AV382" s="8" t="n">
        <v>0</v>
      </c>
      <c r="AW382" s="8" t="n">
        <v>0</v>
      </c>
      <c r="AX382" s="8" t="n">
        <v>0</v>
      </c>
      <c r="AY382" s="8" t="n">
        <v>0</v>
      </c>
      <c r="AZ382" s="8" t="n">
        <v>0</v>
      </c>
      <c r="BA382" s="8" t="n">
        <v>0</v>
      </c>
      <c r="BB382" s="8" t="n">
        <v>0</v>
      </c>
      <c r="BC382" s="8" t="n">
        <v>76</v>
      </c>
      <c r="BD382" s="8" t="n">
        <v>5</v>
      </c>
      <c r="BE382" s="8" t="n">
        <v>5</v>
      </c>
      <c r="BF382" s="8" t="n">
        <v>0</v>
      </c>
      <c r="BG382" s="10" t="s">
        <v>3071</v>
      </c>
      <c r="BH382" s="9" t="s">
        <v>3072</v>
      </c>
    </row>
    <row r="383" customFormat="false" ht="15" hidden="false" customHeight="false" outlineLevel="0" collapsed="false">
      <c r="A383" s="8" t="s">
        <v>3073</v>
      </c>
      <c r="B383" s="8" t="s">
        <v>3074</v>
      </c>
      <c r="C383" s="8" t="n">
        <v>1</v>
      </c>
      <c r="D383" s="8" t="n">
        <v>1889</v>
      </c>
      <c r="E383" s="8" t="n">
        <v>1890</v>
      </c>
      <c r="F383" s="8" t="str">
        <f aca="false">IF(D383="","?",IF(D383&lt;1796,"pre-1796",IF(D383&lt;1912,"1796-1911",IF(D383&lt;1949,"1912-1948","1949+"))))</f>
        <v>1796-1911</v>
      </c>
      <c r="G383" s="8" t="str">
        <f aca="false">IF(D383="","?",IF(D383&lt;1912,"Qing",IF(D383&lt;1949,"Republic","PRC")))</f>
        <v>Qing</v>
      </c>
      <c r="H383" s="8" t="s">
        <v>3075</v>
      </c>
      <c r="I383" s="9" t="s">
        <v>128</v>
      </c>
      <c r="J383" s="9" t="s">
        <v>175</v>
      </c>
      <c r="K383" s="8" t="s">
        <v>130</v>
      </c>
      <c r="L383" s="8"/>
      <c r="M383" s="9" t="s">
        <v>3076</v>
      </c>
      <c r="N383" s="9" t="s">
        <v>609</v>
      </c>
      <c r="O383" s="8" t="s">
        <v>3077</v>
      </c>
      <c r="P383" s="8" t="s">
        <v>114</v>
      </c>
      <c r="Q383" s="8"/>
      <c r="R383" s="9" t="s">
        <v>3078</v>
      </c>
      <c r="S383" s="8"/>
      <c r="T383" s="8"/>
      <c r="U383" s="8"/>
      <c r="V383" s="8"/>
      <c r="W383" s="8"/>
      <c r="X383" s="8"/>
      <c r="Y383" s="8"/>
      <c r="Z383" s="8"/>
      <c r="AA383" s="8" t="s">
        <v>913</v>
      </c>
      <c r="AB383" s="8"/>
      <c r="AC383" s="8"/>
      <c r="AD383" s="8"/>
      <c r="AE383" s="9" t="s">
        <v>920</v>
      </c>
      <c r="AF383" s="8"/>
      <c r="AG383" s="8"/>
      <c r="AH383" s="8"/>
      <c r="AI383" s="8" t="n">
        <v>0</v>
      </c>
      <c r="AJ383" s="8" t="n">
        <v>0</v>
      </c>
      <c r="AK383" s="8" t="n">
        <v>0</v>
      </c>
      <c r="AL383" s="8" t="n">
        <v>0</v>
      </c>
      <c r="AM383" s="8" t="n">
        <v>0</v>
      </c>
      <c r="AN383" s="8" t="n">
        <v>0</v>
      </c>
      <c r="AO383" s="8" t="n">
        <v>0</v>
      </c>
      <c r="AP383" s="8" t="n">
        <v>0</v>
      </c>
      <c r="AQ383" s="8" t="n">
        <v>0</v>
      </c>
      <c r="AR383" s="8" t="n">
        <v>0</v>
      </c>
      <c r="AS383" s="8" t="n">
        <v>0</v>
      </c>
      <c r="AT383" s="8" t="n">
        <v>0</v>
      </c>
      <c r="AU383" s="8" t="n">
        <v>0</v>
      </c>
      <c r="AV383" s="8" t="n">
        <v>1</v>
      </c>
      <c r="AW383" s="8" t="n">
        <v>0</v>
      </c>
      <c r="AX383" s="8" t="n">
        <v>0</v>
      </c>
      <c r="AY383" s="8" t="n">
        <v>0</v>
      </c>
      <c r="AZ383" s="8" t="n">
        <v>0</v>
      </c>
      <c r="BA383" s="8" t="n">
        <v>0</v>
      </c>
      <c r="BB383" s="8" t="n">
        <v>0</v>
      </c>
      <c r="BC383" s="8" t="n">
        <v>51</v>
      </c>
      <c r="BD383" s="8" t="n">
        <v>2</v>
      </c>
      <c r="BE383" s="8" t="n">
        <v>2</v>
      </c>
      <c r="BF383" s="8" t="n">
        <v>1</v>
      </c>
      <c r="BG383" s="10" t="s">
        <v>3079</v>
      </c>
      <c r="BH383" s="9" t="s">
        <v>3080</v>
      </c>
    </row>
    <row r="384" customFormat="false" ht="15" hidden="false" customHeight="false" outlineLevel="0" collapsed="false">
      <c r="A384" s="8" t="s">
        <v>3081</v>
      </c>
      <c r="B384" s="8" t="s">
        <v>3082</v>
      </c>
      <c r="C384" s="8" t="n">
        <v>1</v>
      </c>
      <c r="D384" s="8" t="n">
        <v>1889</v>
      </c>
      <c r="E384" s="8" t="n">
        <v>1897</v>
      </c>
      <c r="F384" s="8" t="str">
        <f aca="false">IF(D384="","?",IF(D384&lt;1796,"pre-1796",IF(D384&lt;1912,"1796-1911",IF(D384&lt;1949,"1912-1948","1949+"))))</f>
        <v>1796-1911</v>
      </c>
      <c r="G384" s="8" t="str">
        <f aca="false">IF(D384="","?",IF(D384&lt;1912,"Qing",IF(D384&lt;1949,"Republic","PRC")))</f>
        <v>Qing</v>
      </c>
      <c r="H384" s="8" t="s">
        <v>3083</v>
      </c>
      <c r="I384" s="9" t="s">
        <v>128</v>
      </c>
      <c r="J384" s="9" t="s">
        <v>175</v>
      </c>
      <c r="K384" s="8" t="s">
        <v>130</v>
      </c>
      <c r="L384" s="8"/>
      <c r="M384" s="9" t="s">
        <v>436</v>
      </c>
      <c r="N384" s="9" t="s">
        <v>437</v>
      </c>
      <c r="O384" s="8" t="s">
        <v>3084</v>
      </c>
      <c r="P384" s="8" t="s">
        <v>133</v>
      </c>
      <c r="Q384" s="9" t="s">
        <v>453</v>
      </c>
      <c r="R384" s="8"/>
      <c r="S384" s="9" t="s">
        <v>3085</v>
      </c>
      <c r="T384" s="8"/>
      <c r="U384" s="8"/>
      <c r="V384" s="8"/>
      <c r="W384" s="8"/>
      <c r="X384" s="8"/>
      <c r="Y384" s="9" t="s">
        <v>214</v>
      </c>
      <c r="Z384" s="8"/>
      <c r="AA384" s="8"/>
      <c r="AB384" s="8"/>
      <c r="AC384" s="8"/>
      <c r="AD384" s="8"/>
      <c r="AE384" s="8"/>
      <c r="AF384" s="8"/>
      <c r="AG384" s="8"/>
      <c r="AH384" s="8"/>
      <c r="AI384" s="8" t="n">
        <v>1</v>
      </c>
      <c r="AJ384" s="8" t="n">
        <v>0</v>
      </c>
      <c r="AK384" s="8" t="n">
        <v>1</v>
      </c>
      <c r="AL384" s="8" t="n">
        <v>1</v>
      </c>
      <c r="AM384" s="8" t="n">
        <v>1</v>
      </c>
      <c r="AN384" s="8" t="n">
        <v>0</v>
      </c>
      <c r="AO384" s="8" t="n">
        <v>0</v>
      </c>
      <c r="AP384" s="8" t="n">
        <v>0</v>
      </c>
      <c r="AQ384" s="8" t="n">
        <v>1</v>
      </c>
      <c r="AR384" s="8" t="n">
        <v>0</v>
      </c>
      <c r="AS384" s="8" t="n">
        <v>0</v>
      </c>
      <c r="AT384" s="8" t="n">
        <v>0</v>
      </c>
      <c r="AU384" s="8" t="n">
        <v>0</v>
      </c>
      <c r="AV384" s="8" t="n">
        <v>0</v>
      </c>
      <c r="AW384" s="8" t="n">
        <v>0</v>
      </c>
      <c r="AX384" s="8" t="n">
        <v>0</v>
      </c>
      <c r="AY384" s="8" t="n">
        <v>0</v>
      </c>
      <c r="AZ384" s="8" t="n">
        <v>0</v>
      </c>
      <c r="BA384" s="8" t="n">
        <v>0</v>
      </c>
      <c r="BB384" s="8" t="n">
        <v>0</v>
      </c>
      <c r="BC384" s="8" t="n">
        <v>124</v>
      </c>
      <c r="BD384" s="8" t="n">
        <v>0</v>
      </c>
      <c r="BE384" s="8" t="n">
        <v>0</v>
      </c>
      <c r="BF384" s="8" t="n">
        <v>0</v>
      </c>
      <c r="BG384" s="10" t="s">
        <v>3086</v>
      </c>
      <c r="BH384" s="9" t="s">
        <v>3087</v>
      </c>
    </row>
    <row r="385" customFormat="false" ht="15" hidden="false" customHeight="false" outlineLevel="0" collapsed="false">
      <c r="A385" s="8" t="s">
        <v>3088</v>
      </c>
      <c r="B385" s="8" t="s">
        <v>3089</v>
      </c>
      <c r="C385" s="8" t="n">
        <v>1</v>
      </c>
      <c r="D385" s="8" t="n">
        <v>1900</v>
      </c>
      <c r="E385" s="8" t="n">
        <v>1900</v>
      </c>
      <c r="F385" s="8" t="str">
        <f aca="false">IF(D385="","?",IF(D385&lt;1796,"pre-1796",IF(D385&lt;1912,"1796-1911",IF(D385&lt;1949,"1912-1948","1949+"))))</f>
        <v>1796-1911</v>
      </c>
      <c r="G385" s="8" t="str">
        <f aca="false">IF(D385="","?",IF(D385&lt;1912,"Qing",IF(D385&lt;1949,"Republic","PRC")))</f>
        <v>Qing</v>
      </c>
      <c r="H385" s="8" t="s">
        <v>207</v>
      </c>
      <c r="I385" s="8"/>
      <c r="J385" s="8"/>
      <c r="K385" s="8" t="s">
        <v>130</v>
      </c>
      <c r="L385" s="8"/>
      <c r="M385" s="9" t="s">
        <v>208</v>
      </c>
      <c r="N385" s="9" t="s">
        <v>3090</v>
      </c>
      <c r="O385" s="8" t="s">
        <v>3091</v>
      </c>
      <c r="P385" s="8" t="s">
        <v>133</v>
      </c>
      <c r="Q385" s="9" t="s">
        <v>453</v>
      </c>
      <c r="R385" s="9" t="s">
        <v>3092</v>
      </c>
      <c r="S385" s="9" t="s">
        <v>3093</v>
      </c>
      <c r="T385" s="9" t="s">
        <v>3094</v>
      </c>
      <c r="U385" s="8"/>
      <c r="V385" s="9" t="s">
        <v>213</v>
      </c>
      <c r="W385" s="8"/>
      <c r="X385" s="8"/>
      <c r="Y385" s="9" t="s">
        <v>198</v>
      </c>
      <c r="Z385" s="9" t="s">
        <v>3095</v>
      </c>
      <c r="AA385" s="9" t="s">
        <v>3096</v>
      </c>
      <c r="AB385" s="9" t="s">
        <v>3097</v>
      </c>
      <c r="AC385" s="8"/>
      <c r="AD385" s="8"/>
      <c r="AE385" s="8"/>
      <c r="AF385" s="8"/>
      <c r="AG385" s="8"/>
      <c r="AH385" s="8"/>
      <c r="AI385" s="8" t="n">
        <v>1</v>
      </c>
      <c r="AJ385" s="8" t="n">
        <v>0</v>
      </c>
      <c r="AK385" s="8" t="n">
        <v>1</v>
      </c>
      <c r="AL385" s="8" t="n">
        <v>1</v>
      </c>
      <c r="AM385" s="8" t="n">
        <v>1</v>
      </c>
      <c r="AN385" s="8" t="n">
        <v>1</v>
      </c>
      <c r="AO385" s="8" t="n">
        <v>1</v>
      </c>
      <c r="AP385" s="8" t="n">
        <v>0</v>
      </c>
      <c r="AQ385" s="8" t="n">
        <v>1</v>
      </c>
      <c r="AR385" s="8" t="n">
        <v>1</v>
      </c>
      <c r="AS385" s="8" t="n">
        <v>1</v>
      </c>
      <c r="AT385" s="8" t="n">
        <v>0</v>
      </c>
      <c r="AU385" s="8" t="n">
        <v>0</v>
      </c>
      <c r="AV385" s="8" t="n">
        <v>0</v>
      </c>
      <c r="AW385" s="8" t="n">
        <v>0</v>
      </c>
      <c r="AX385" s="8" t="n">
        <v>0</v>
      </c>
      <c r="AY385" s="8" t="n">
        <v>0</v>
      </c>
      <c r="AZ385" s="8" t="n">
        <v>0</v>
      </c>
      <c r="BA385" s="8" t="n">
        <v>0</v>
      </c>
      <c r="BB385" s="8" t="n">
        <v>0</v>
      </c>
      <c r="BC385" s="8" t="n">
        <v>329</v>
      </c>
      <c r="BD385" s="8" t="n">
        <v>0</v>
      </c>
      <c r="BE385" s="8" t="n">
        <v>0</v>
      </c>
      <c r="BF385" s="8" t="n">
        <v>0</v>
      </c>
      <c r="BG385" s="10" t="s">
        <v>3098</v>
      </c>
      <c r="BH385" s="9" t="s">
        <v>3099</v>
      </c>
    </row>
    <row r="386" customFormat="false" ht="15" hidden="false" customHeight="false" outlineLevel="0" collapsed="false">
      <c r="A386" s="8" t="s">
        <v>3100</v>
      </c>
      <c r="B386" s="8" t="s">
        <v>3101</v>
      </c>
      <c r="C386" s="8" t="n">
        <v>1</v>
      </c>
      <c r="D386" s="8" t="n">
        <v>1906</v>
      </c>
      <c r="E386" s="8" t="n">
        <v>1955</v>
      </c>
      <c r="F386" s="8" t="str">
        <f aca="false">IF(D386="","?",IF(D386&lt;1796,"pre-1796",IF(D386&lt;1912,"1796-1911",IF(D386&lt;1949,"1912-1948","1949+"))))</f>
        <v>1796-1911</v>
      </c>
      <c r="G386" s="8" t="str">
        <f aca="false">IF(D386="","?",IF(D386&lt;1912,"Qing",IF(D386&lt;1949,"Republic","PRC")))</f>
        <v>Qing</v>
      </c>
      <c r="H386" s="8" t="s">
        <v>3102</v>
      </c>
      <c r="I386" s="9" t="s">
        <v>128</v>
      </c>
      <c r="J386" s="9" t="s">
        <v>223</v>
      </c>
      <c r="K386" s="8" t="s">
        <v>130</v>
      </c>
      <c r="L386" s="8"/>
      <c r="M386" s="9" t="s">
        <v>3103</v>
      </c>
      <c r="N386" s="9" t="s">
        <v>3104</v>
      </c>
      <c r="O386" s="8" t="s">
        <v>3105</v>
      </c>
      <c r="P386" s="8" t="s">
        <v>97</v>
      </c>
      <c r="Q386" s="9" t="s">
        <v>134</v>
      </c>
      <c r="R386" s="8"/>
      <c r="S386" s="8"/>
      <c r="T386" s="8"/>
      <c r="U386" s="8"/>
      <c r="V386" s="8"/>
      <c r="W386" s="8"/>
      <c r="X386" s="8"/>
      <c r="Y386" s="9" t="s">
        <v>477</v>
      </c>
      <c r="Z386" s="8"/>
      <c r="AA386" s="8"/>
      <c r="AB386" s="8"/>
      <c r="AC386" s="8"/>
      <c r="AD386" s="8"/>
      <c r="AE386" s="9" t="s">
        <v>360</v>
      </c>
      <c r="AF386" s="8"/>
      <c r="AG386" s="8"/>
      <c r="AH386" s="8"/>
      <c r="AI386" s="8" t="n">
        <v>0</v>
      </c>
      <c r="AJ386" s="8" t="n">
        <v>0</v>
      </c>
      <c r="AK386" s="8" t="n">
        <v>0</v>
      </c>
      <c r="AL386" s="8" t="n">
        <v>0</v>
      </c>
      <c r="AM386" s="8" t="n">
        <v>0</v>
      </c>
      <c r="AN386" s="8" t="n">
        <v>0</v>
      </c>
      <c r="AO386" s="8" t="n">
        <v>0</v>
      </c>
      <c r="AP386" s="8" t="n">
        <v>0</v>
      </c>
      <c r="AQ386" s="8" t="n">
        <v>0</v>
      </c>
      <c r="AR386" s="8" t="n">
        <v>0</v>
      </c>
      <c r="AS386" s="8" t="n">
        <v>0</v>
      </c>
      <c r="AT386" s="8" t="n">
        <v>0</v>
      </c>
      <c r="AU386" s="8" t="n">
        <v>0</v>
      </c>
      <c r="AV386" s="8" t="n">
        <v>0</v>
      </c>
      <c r="AW386" s="8" t="n">
        <v>0</v>
      </c>
      <c r="AX386" s="8" t="n">
        <v>0</v>
      </c>
      <c r="AY386" s="8" t="n">
        <v>0</v>
      </c>
      <c r="AZ386" s="8" t="n">
        <v>0</v>
      </c>
      <c r="BA386" s="8" t="n">
        <v>0</v>
      </c>
      <c r="BB386" s="8" t="n">
        <v>0</v>
      </c>
      <c r="BC386" s="8" t="n">
        <v>201</v>
      </c>
      <c r="BD386" s="8" t="n">
        <v>1</v>
      </c>
      <c r="BE386" s="8" t="n">
        <v>3</v>
      </c>
      <c r="BF386" s="8" t="n">
        <v>0</v>
      </c>
      <c r="BG386" s="10" t="s">
        <v>3106</v>
      </c>
      <c r="BH386" s="9" t="s">
        <v>3107</v>
      </c>
    </row>
    <row r="387" customFormat="false" ht="15" hidden="false" customHeight="false" outlineLevel="0" collapsed="false">
      <c r="A387" s="8" t="s">
        <v>3108</v>
      </c>
      <c r="B387" s="8" t="s">
        <v>3109</v>
      </c>
      <c r="C387" s="8" t="n">
        <v>1</v>
      </c>
      <c r="D387" s="8" t="n">
        <v>1906</v>
      </c>
      <c r="E387" s="8" t="n">
        <v>1921</v>
      </c>
      <c r="F387" s="8" t="str">
        <f aca="false">IF(D387="","?",IF(D387&lt;1796,"pre-1796",IF(D387&lt;1912,"1796-1911",IF(D387&lt;1949,"1912-1948","1949+"))))</f>
        <v>1796-1911</v>
      </c>
      <c r="G387" s="8" t="str">
        <f aca="false">IF(D387="","?",IF(D387&lt;1912,"Qing",IF(D387&lt;1949,"Republic","PRC")))</f>
        <v>Qing</v>
      </c>
      <c r="H387" s="8" t="s">
        <v>3110</v>
      </c>
      <c r="I387" s="9" t="s">
        <v>128</v>
      </c>
      <c r="J387" s="9" t="s">
        <v>3111</v>
      </c>
      <c r="K387" s="8" t="s">
        <v>130</v>
      </c>
      <c r="L387" s="8"/>
      <c r="M387" s="9" t="s">
        <v>1031</v>
      </c>
      <c r="N387" s="9" t="s">
        <v>1032</v>
      </c>
      <c r="O387" s="8" t="s">
        <v>3112</v>
      </c>
      <c r="P387" s="8" t="s">
        <v>114</v>
      </c>
      <c r="Q387" s="8"/>
      <c r="R387" s="9" t="s">
        <v>3113</v>
      </c>
      <c r="S387" s="8"/>
      <c r="T387" s="8"/>
      <c r="U387" s="8"/>
      <c r="V387" s="8"/>
      <c r="W387" s="8"/>
      <c r="X387" s="8"/>
      <c r="Y387" s="8"/>
      <c r="Z387" s="8"/>
      <c r="AA387" s="8"/>
      <c r="AB387" s="8"/>
      <c r="AC387" s="8"/>
      <c r="AD387" s="8"/>
      <c r="AE387" s="9" t="s">
        <v>3114</v>
      </c>
      <c r="AF387" s="8"/>
      <c r="AG387" s="8"/>
      <c r="AH387" s="8"/>
      <c r="AI387" s="8" t="n">
        <v>0</v>
      </c>
      <c r="AJ387" s="8" t="n">
        <v>0</v>
      </c>
      <c r="AK387" s="8" t="n">
        <v>0</v>
      </c>
      <c r="AL387" s="8" t="n">
        <v>0</v>
      </c>
      <c r="AM387" s="8" t="n">
        <v>0</v>
      </c>
      <c r="AN387" s="8" t="n">
        <v>0</v>
      </c>
      <c r="AO387" s="8" t="n">
        <v>0</v>
      </c>
      <c r="AP387" s="8" t="n">
        <v>0</v>
      </c>
      <c r="AQ387" s="8" t="n">
        <v>0</v>
      </c>
      <c r="AR387" s="8" t="n">
        <v>0</v>
      </c>
      <c r="AS387" s="8" t="n">
        <v>0</v>
      </c>
      <c r="AT387" s="8" t="n">
        <v>0</v>
      </c>
      <c r="AU387" s="8" t="n">
        <v>0</v>
      </c>
      <c r="AV387" s="8" t="n">
        <v>0</v>
      </c>
      <c r="AW387" s="8" t="n">
        <v>0</v>
      </c>
      <c r="AX387" s="8" t="n">
        <v>0</v>
      </c>
      <c r="AY387" s="8" t="n">
        <v>0</v>
      </c>
      <c r="AZ387" s="8" t="n">
        <v>0</v>
      </c>
      <c r="BA387" s="8" t="n">
        <v>0</v>
      </c>
      <c r="BB387" s="8" t="n">
        <v>0</v>
      </c>
      <c r="BC387" s="8" t="n">
        <v>45</v>
      </c>
      <c r="BD387" s="8" t="n">
        <v>0</v>
      </c>
      <c r="BE387" s="8" t="n">
        <v>0</v>
      </c>
      <c r="BF387" s="8" t="n">
        <v>0</v>
      </c>
      <c r="BG387" s="10" t="s">
        <v>3115</v>
      </c>
      <c r="BH387" s="9" t="s">
        <v>3116</v>
      </c>
    </row>
    <row r="388" customFormat="false" ht="15" hidden="false" customHeight="false" outlineLevel="0" collapsed="false">
      <c r="A388" s="8" t="s">
        <v>3117</v>
      </c>
      <c r="B388" s="8" t="s">
        <v>3118</v>
      </c>
      <c r="C388" s="8" t="n">
        <v>1</v>
      </c>
      <c r="D388" s="8" t="n">
        <v>1910</v>
      </c>
      <c r="E388" s="8" t="n">
        <v>1915</v>
      </c>
      <c r="F388" s="8" t="str">
        <f aca="false">IF(D388="","?",IF(D388&lt;1796,"pre-1796",IF(D388&lt;1912,"1796-1911",IF(D388&lt;1949,"1912-1948","1949+"))))</f>
        <v>1796-1911</v>
      </c>
      <c r="G388" s="8" t="str">
        <f aca="false">IF(D388="","?",IF(D388&lt;1912,"Qing",IF(D388&lt;1949,"Republic","PRC")))</f>
        <v>Qing</v>
      </c>
      <c r="H388" s="8" t="s">
        <v>2467</v>
      </c>
      <c r="I388" s="9" t="s">
        <v>128</v>
      </c>
      <c r="J388" s="9" t="s">
        <v>3111</v>
      </c>
      <c r="K388" s="8" t="s">
        <v>130</v>
      </c>
      <c r="L388" s="8"/>
      <c r="M388" s="9" t="s">
        <v>3119</v>
      </c>
      <c r="N388" s="9" t="s">
        <v>3120</v>
      </c>
      <c r="O388" s="8" t="s">
        <v>3121</v>
      </c>
      <c r="P388" s="8" t="s">
        <v>97</v>
      </c>
      <c r="Q388" s="9" t="s">
        <v>611</v>
      </c>
      <c r="R388" s="9" t="s">
        <v>3122</v>
      </c>
      <c r="S388" s="9" t="s">
        <v>3119</v>
      </c>
      <c r="T388" s="8"/>
      <c r="U388" s="9" t="s">
        <v>3123</v>
      </c>
      <c r="V388" s="9" t="s">
        <v>1750</v>
      </c>
      <c r="W388" s="8"/>
      <c r="X388" s="8"/>
      <c r="Y388" s="9" t="s">
        <v>602</v>
      </c>
      <c r="Z388" s="9" t="s">
        <v>3124</v>
      </c>
      <c r="AA388" s="8"/>
      <c r="AB388" s="9" t="s">
        <v>3125</v>
      </c>
      <c r="AC388" s="9" t="s">
        <v>3125</v>
      </c>
      <c r="AD388" s="8"/>
      <c r="AE388" s="9" t="s">
        <v>3126</v>
      </c>
      <c r="AF388" s="9" t="s">
        <v>120</v>
      </c>
      <c r="AG388" s="9" t="s">
        <v>3127</v>
      </c>
      <c r="AH388" s="9" t="s">
        <v>3128</v>
      </c>
      <c r="AI388" s="8" t="n">
        <v>0</v>
      </c>
      <c r="AJ388" s="8" t="n">
        <v>0</v>
      </c>
      <c r="AK388" s="8" t="n">
        <v>0</v>
      </c>
      <c r="AL388" s="8" t="n">
        <v>1</v>
      </c>
      <c r="AM388" s="8" t="n">
        <v>1</v>
      </c>
      <c r="AN388" s="8" t="n">
        <v>1</v>
      </c>
      <c r="AO388" s="8" t="n">
        <v>1</v>
      </c>
      <c r="AP388" s="8" t="n">
        <v>1</v>
      </c>
      <c r="AQ388" s="8" t="n">
        <v>0</v>
      </c>
      <c r="AR388" s="8" t="n">
        <v>1</v>
      </c>
      <c r="AS388" s="8" t="n">
        <v>1</v>
      </c>
      <c r="AT388" s="8" t="n">
        <v>0</v>
      </c>
      <c r="AU388" s="8" t="n">
        <v>1</v>
      </c>
      <c r="AV388" s="8" t="n">
        <v>1</v>
      </c>
      <c r="AW388" s="8" t="n">
        <v>0</v>
      </c>
      <c r="AX388" s="8" t="n">
        <v>1</v>
      </c>
      <c r="AY388" s="8" t="n">
        <v>0</v>
      </c>
      <c r="AZ388" s="8" t="n">
        <v>1</v>
      </c>
      <c r="BA388" s="8" t="n">
        <v>0</v>
      </c>
      <c r="BB388" s="8" t="n">
        <v>0</v>
      </c>
      <c r="BC388" s="8" t="n">
        <v>550</v>
      </c>
      <c r="BD388" s="8" t="n">
        <v>3</v>
      </c>
      <c r="BE388" s="8" t="n">
        <v>0</v>
      </c>
      <c r="BF388" s="8" t="n">
        <v>0</v>
      </c>
      <c r="BG388" s="10" t="s">
        <v>3129</v>
      </c>
      <c r="BH388" s="9" t="s">
        <v>3130</v>
      </c>
    </row>
    <row r="389" customFormat="false" ht="15" hidden="false" customHeight="false" outlineLevel="0" collapsed="false">
      <c r="A389" s="8" t="s">
        <v>3131</v>
      </c>
      <c r="B389" s="8" t="s">
        <v>3132</v>
      </c>
      <c r="C389" s="8" t="n">
        <v>1</v>
      </c>
      <c r="D389" s="8" t="n">
        <v>1913</v>
      </c>
      <c r="E389" s="8" t="n">
        <v>1928</v>
      </c>
      <c r="F389" s="8" t="str">
        <f aca="false">IF(D389="","?",IF(D389&lt;1796,"pre-1796",IF(D389&lt;1912,"1796-1911",IF(D389&lt;1949,"1912-1948","1949+"))))</f>
        <v>1912-1948</v>
      </c>
      <c r="G389" s="8" t="str">
        <f aca="false">IF(D389="","?",IF(D389&lt;1912,"Qing",IF(D389&lt;1949,"Republic","PRC")))</f>
        <v>Republic</v>
      </c>
      <c r="H389" s="8" t="s">
        <v>3133</v>
      </c>
      <c r="I389" s="9" t="s">
        <v>466</v>
      </c>
      <c r="J389" s="9" t="s">
        <v>467</v>
      </c>
      <c r="K389" s="8" t="s">
        <v>84</v>
      </c>
      <c r="L389" s="9" t="s">
        <v>3134</v>
      </c>
      <c r="M389" s="8"/>
      <c r="N389" s="8"/>
      <c r="O389" s="8" t="s">
        <v>3135</v>
      </c>
      <c r="P389" s="8" t="s">
        <v>114</v>
      </c>
      <c r="Q389" s="9" t="s">
        <v>115</v>
      </c>
      <c r="R389" s="9" t="s">
        <v>3136</v>
      </c>
      <c r="S389" s="8"/>
      <c r="T389" s="8"/>
      <c r="U389" s="8"/>
      <c r="V389" s="9" t="s">
        <v>396</v>
      </c>
      <c r="W389" s="9" t="s">
        <v>3137</v>
      </c>
      <c r="X389" s="8"/>
      <c r="Y389" s="8"/>
      <c r="Z389" s="8"/>
      <c r="AA389" s="8"/>
      <c r="AB389" s="8"/>
      <c r="AC389" s="8"/>
      <c r="AD389" s="8"/>
      <c r="AE389" s="9" t="s">
        <v>3138</v>
      </c>
      <c r="AF389" s="9" t="s">
        <v>1139</v>
      </c>
      <c r="AG389" s="9" t="s">
        <v>3134</v>
      </c>
      <c r="AH389" s="8"/>
      <c r="AI389" s="8" t="n">
        <v>0</v>
      </c>
      <c r="AJ389" s="8" t="n">
        <v>0</v>
      </c>
      <c r="AK389" s="8" t="n">
        <v>0</v>
      </c>
      <c r="AL389" s="8" t="n">
        <v>0</v>
      </c>
      <c r="AM389" s="8" t="n">
        <v>0</v>
      </c>
      <c r="AN389" s="8" t="n">
        <v>0</v>
      </c>
      <c r="AO389" s="8" t="n">
        <v>0</v>
      </c>
      <c r="AP389" s="8" t="n">
        <v>0</v>
      </c>
      <c r="AQ389" s="8" t="n">
        <v>0</v>
      </c>
      <c r="AR389" s="8" t="n">
        <v>0</v>
      </c>
      <c r="AS389" s="8" t="n">
        <v>1</v>
      </c>
      <c r="AT389" s="8" t="n">
        <v>1</v>
      </c>
      <c r="AU389" s="8" t="n">
        <v>0</v>
      </c>
      <c r="AV389" s="8" t="n">
        <v>0</v>
      </c>
      <c r="AW389" s="8" t="n">
        <v>1</v>
      </c>
      <c r="AX389" s="8" t="n">
        <v>1</v>
      </c>
      <c r="AY389" s="8" t="n">
        <v>1</v>
      </c>
      <c r="AZ389" s="8" t="n">
        <v>1</v>
      </c>
      <c r="BA389" s="8" t="n">
        <v>1</v>
      </c>
      <c r="BB389" s="8" t="n">
        <v>1</v>
      </c>
      <c r="BC389" s="8" t="n">
        <v>565</v>
      </c>
      <c r="BD389" s="8" t="n">
        <v>0</v>
      </c>
      <c r="BE389" s="8" t="n">
        <v>0</v>
      </c>
      <c r="BF389" s="8" t="n">
        <v>0</v>
      </c>
      <c r="BG389" s="10" t="s">
        <v>3139</v>
      </c>
      <c r="BH389" s="9" t="s">
        <v>3140</v>
      </c>
    </row>
    <row r="390" customFormat="false" ht="15" hidden="false" customHeight="false" outlineLevel="0" collapsed="false">
      <c r="A390" s="8" t="s">
        <v>3141</v>
      </c>
      <c r="B390" s="8" t="s">
        <v>3142</v>
      </c>
      <c r="C390" s="8" t="n">
        <v>1</v>
      </c>
      <c r="D390" s="8" t="n">
        <v>1918</v>
      </c>
      <c r="E390" s="8" t="n">
        <v>1932</v>
      </c>
      <c r="F390" s="8" t="str">
        <f aca="false">IF(D390="","?",IF(D390&lt;1796,"pre-1796",IF(D390&lt;1912,"1796-1911",IF(D390&lt;1949,"1912-1948","1949+"))))</f>
        <v>1912-1948</v>
      </c>
      <c r="G390" s="8" t="str">
        <f aca="false">IF(D390="","?",IF(D390&lt;1912,"Qing",IF(D390&lt;1949,"Republic","PRC")))</f>
        <v>Republic</v>
      </c>
      <c r="H390" s="8" t="s">
        <v>3143</v>
      </c>
      <c r="I390" s="9" t="s">
        <v>128</v>
      </c>
      <c r="J390" s="9" t="s">
        <v>223</v>
      </c>
      <c r="K390" s="8" t="s">
        <v>130</v>
      </c>
      <c r="L390" s="8"/>
      <c r="M390" s="9" t="s">
        <v>3144</v>
      </c>
      <c r="N390" s="9" t="s">
        <v>3145</v>
      </c>
      <c r="O390" s="8" t="s">
        <v>3146</v>
      </c>
      <c r="P390" s="8" t="s">
        <v>133</v>
      </c>
      <c r="Q390" s="9" t="s">
        <v>3147</v>
      </c>
      <c r="R390" s="9" t="s">
        <v>3148</v>
      </c>
      <c r="S390" s="9" t="s">
        <v>3144</v>
      </c>
      <c r="T390" s="9" t="s">
        <v>609</v>
      </c>
      <c r="U390" s="8"/>
      <c r="V390" s="8"/>
      <c r="W390" s="9" t="s">
        <v>3149</v>
      </c>
      <c r="X390" s="8"/>
      <c r="Y390" s="8"/>
      <c r="Z390" s="8"/>
      <c r="AA390" s="9" t="s">
        <v>2555</v>
      </c>
      <c r="AB390" s="9" t="s">
        <v>3150</v>
      </c>
      <c r="AC390" s="8"/>
      <c r="AD390" s="8"/>
      <c r="AE390" s="8"/>
      <c r="AF390" s="8"/>
      <c r="AG390" s="8"/>
      <c r="AH390" s="8"/>
      <c r="AI390" s="8" t="n">
        <v>1</v>
      </c>
      <c r="AJ390" s="8" t="n">
        <v>0</v>
      </c>
      <c r="AK390" s="8" t="n">
        <v>0</v>
      </c>
      <c r="AL390" s="8" t="n">
        <v>0</v>
      </c>
      <c r="AM390" s="8" t="n">
        <v>1</v>
      </c>
      <c r="AN390" s="8" t="n">
        <v>0</v>
      </c>
      <c r="AO390" s="8" t="n">
        <v>1</v>
      </c>
      <c r="AP390" s="8" t="n">
        <v>0</v>
      </c>
      <c r="AQ390" s="8" t="n">
        <v>1</v>
      </c>
      <c r="AR390" s="8" t="n">
        <v>1</v>
      </c>
      <c r="AS390" s="8" t="n">
        <v>1</v>
      </c>
      <c r="AT390" s="8" t="n">
        <v>0</v>
      </c>
      <c r="AU390" s="8" t="n">
        <v>0</v>
      </c>
      <c r="AV390" s="8" t="n">
        <v>0</v>
      </c>
      <c r="AW390" s="8" t="n">
        <v>0</v>
      </c>
      <c r="AX390" s="8" t="n">
        <v>0</v>
      </c>
      <c r="AY390" s="8" t="n">
        <v>0</v>
      </c>
      <c r="AZ390" s="8" t="n">
        <v>0</v>
      </c>
      <c r="BA390" s="8" t="n">
        <v>0</v>
      </c>
      <c r="BB390" s="8" t="n">
        <v>0</v>
      </c>
      <c r="BC390" s="8" t="n">
        <v>419</v>
      </c>
      <c r="BD390" s="8" t="n">
        <v>0</v>
      </c>
      <c r="BE390" s="8" t="n">
        <v>0</v>
      </c>
      <c r="BF390" s="8" t="n">
        <v>0</v>
      </c>
      <c r="BG390" s="10" t="s">
        <v>3151</v>
      </c>
      <c r="BH390" s="9" t="s">
        <v>3152</v>
      </c>
    </row>
    <row r="391" customFormat="false" ht="15" hidden="false" customHeight="false" outlineLevel="0" collapsed="false">
      <c r="A391" s="8" t="s">
        <v>3153</v>
      </c>
      <c r="B391" s="8" t="s">
        <v>3142</v>
      </c>
      <c r="C391" s="8" t="n">
        <v>2</v>
      </c>
      <c r="D391" s="8" t="n">
        <v>1918</v>
      </c>
      <c r="E391" s="8" t="n">
        <v>1932</v>
      </c>
      <c r="F391" s="8" t="str">
        <f aca="false">IF(D391="","?",IF(D391&lt;1796,"pre-1796",IF(D391&lt;1912,"1796-1911",IF(D391&lt;1949,"1912-1948","1949+"))))</f>
        <v>1912-1948</v>
      </c>
      <c r="G391" s="8" t="str">
        <f aca="false">IF(D391="","?",IF(D391&lt;1912,"Qing",IF(D391&lt;1949,"Republic","PRC")))</f>
        <v>Republic</v>
      </c>
      <c r="H391" s="8" t="s">
        <v>3143</v>
      </c>
      <c r="I391" s="9" t="s">
        <v>128</v>
      </c>
      <c r="J391" s="9" t="s">
        <v>223</v>
      </c>
      <c r="K391" s="8" t="s">
        <v>130</v>
      </c>
      <c r="L391" s="8"/>
      <c r="M391" s="9" t="s">
        <v>3144</v>
      </c>
      <c r="N391" s="9" t="s">
        <v>3145</v>
      </c>
      <c r="O391" s="8" t="s">
        <v>3146</v>
      </c>
      <c r="P391" s="8" t="s">
        <v>97</v>
      </c>
      <c r="Q391" s="9" t="s">
        <v>98</v>
      </c>
      <c r="R391" s="9" t="s">
        <v>3154</v>
      </c>
      <c r="S391" s="8"/>
      <c r="T391" s="8"/>
      <c r="U391" s="9" t="s">
        <v>3155</v>
      </c>
      <c r="V391" s="9" t="s">
        <v>229</v>
      </c>
      <c r="W391" s="9" t="s">
        <v>3156</v>
      </c>
      <c r="X391" s="8"/>
      <c r="Y391" s="8"/>
      <c r="Z391" s="9" t="s">
        <v>231</v>
      </c>
      <c r="AA391" s="8"/>
      <c r="AB391" s="8"/>
      <c r="AC391" s="8"/>
      <c r="AD391" s="8"/>
      <c r="AE391" s="9" t="s">
        <v>3157</v>
      </c>
      <c r="AF391" s="8"/>
      <c r="AG391" s="8"/>
      <c r="AH391" s="8"/>
      <c r="AI391" s="8" t="n">
        <v>0</v>
      </c>
      <c r="AJ391" s="8" t="n">
        <v>0</v>
      </c>
      <c r="AK391" s="8" t="n">
        <v>0</v>
      </c>
      <c r="AL391" s="8" t="n">
        <v>0</v>
      </c>
      <c r="AM391" s="8" t="n">
        <v>0</v>
      </c>
      <c r="AN391" s="8" t="n">
        <v>0</v>
      </c>
      <c r="AO391" s="8" t="n">
        <v>0</v>
      </c>
      <c r="AP391" s="8" t="n">
        <v>0</v>
      </c>
      <c r="AQ391" s="8" t="n">
        <v>0</v>
      </c>
      <c r="AR391" s="8" t="n">
        <v>0</v>
      </c>
      <c r="AS391" s="8" t="n">
        <v>1</v>
      </c>
      <c r="AT391" s="8" t="n">
        <v>1</v>
      </c>
      <c r="AU391" s="8" t="n">
        <v>0</v>
      </c>
      <c r="AV391" s="8" t="n">
        <v>0</v>
      </c>
      <c r="AW391" s="8" t="n">
        <v>0</v>
      </c>
      <c r="AX391" s="8" t="n">
        <v>0</v>
      </c>
      <c r="AY391" s="8" t="n">
        <v>0</v>
      </c>
      <c r="AZ391" s="8" t="n">
        <v>0</v>
      </c>
      <c r="BA391" s="8" t="n">
        <v>1</v>
      </c>
      <c r="BB391" s="8" t="n">
        <v>1</v>
      </c>
      <c r="BC391" s="8" t="n">
        <v>507</v>
      </c>
      <c r="BD391" s="8" t="n">
        <v>0</v>
      </c>
      <c r="BE391" s="8" t="n">
        <v>0</v>
      </c>
      <c r="BF391" s="8" t="n">
        <v>0</v>
      </c>
      <c r="BG391" s="10" t="s">
        <v>3151</v>
      </c>
      <c r="BH391" s="9" t="s">
        <v>3158</v>
      </c>
    </row>
    <row r="392" customFormat="false" ht="15" hidden="false" customHeight="false" outlineLevel="0" collapsed="false">
      <c r="A392" s="8" t="s">
        <v>3159</v>
      </c>
      <c r="B392" s="8" t="s">
        <v>3160</v>
      </c>
      <c r="C392" s="8" t="n">
        <v>1</v>
      </c>
      <c r="D392" s="8" t="n">
        <v>1923</v>
      </c>
      <c r="E392" s="8" t="n">
        <v>1930</v>
      </c>
      <c r="F392" s="8" t="str">
        <f aca="false">IF(D392="","?",IF(D392&lt;1796,"pre-1796",IF(D392&lt;1912,"1796-1911",IF(D392&lt;1949,"1912-1948","1949+"))))</f>
        <v>1912-1948</v>
      </c>
      <c r="G392" s="8" t="str">
        <f aca="false">IF(D392="","?",IF(D392&lt;1912,"Qing",IF(D392&lt;1949,"Republic","PRC")))</f>
        <v>Republic</v>
      </c>
      <c r="H392" s="8" t="s">
        <v>1238</v>
      </c>
      <c r="I392" s="9" t="s">
        <v>466</v>
      </c>
      <c r="J392" s="9" t="s">
        <v>467</v>
      </c>
      <c r="K392" s="8" t="s">
        <v>130</v>
      </c>
      <c r="L392" s="8"/>
      <c r="M392" s="9" t="s">
        <v>3161</v>
      </c>
      <c r="N392" s="9" t="s">
        <v>3162</v>
      </c>
      <c r="O392" s="8" t="s">
        <v>3163</v>
      </c>
      <c r="P392" s="8" t="s">
        <v>97</v>
      </c>
      <c r="Q392" s="9" t="s">
        <v>453</v>
      </c>
      <c r="R392" s="9" t="s">
        <v>3164</v>
      </c>
      <c r="S392" s="9" t="s">
        <v>3165</v>
      </c>
      <c r="T392" s="8"/>
      <c r="U392" s="9" t="s">
        <v>3166</v>
      </c>
      <c r="V392" s="8"/>
      <c r="W392" s="9" t="s">
        <v>1091</v>
      </c>
      <c r="X392" s="9" t="s">
        <v>3167</v>
      </c>
      <c r="Y392" s="8"/>
      <c r="Z392" s="8"/>
      <c r="AA392" s="9" t="s">
        <v>3168</v>
      </c>
      <c r="AB392" s="8"/>
      <c r="AC392" s="9" t="s">
        <v>750</v>
      </c>
      <c r="AD392" s="8"/>
      <c r="AE392" s="9" t="s">
        <v>3169</v>
      </c>
      <c r="AF392" s="8"/>
      <c r="AG392" s="9" t="s">
        <v>3170</v>
      </c>
      <c r="AH392" s="8"/>
      <c r="AI392" s="8" t="n">
        <v>1</v>
      </c>
      <c r="AJ392" s="8" t="n">
        <v>1</v>
      </c>
      <c r="AK392" s="8" t="n">
        <v>1</v>
      </c>
      <c r="AL392" s="8" t="n">
        <v>1</v>
      </c>
      <c r="AM392" s="8" t="n">
        <v>1</v>
      </c>
      <c r="AN392" s="8" t="n">
        <v>1</v>
      </c>
      <c r="AO392" s="8" t="n">
        <v>1</v>
      </c>
      <c r="AP392" s="8" t="n">
        <v>1</v>
      </c>
      <c r="AQ392" s="8" t="n">
        <v>0</v>
      </c>
      <c r="AR392" s="8" t="n">
        <v>1</v>
      </c>
      <c r="AS392" s="8" t="n">
        <v>1</v>
      </c>
      <c r="AT392" s="8" t="n">
        <v>1</v>
      </c>
      <c r="AU392" s="8" t="n">
        <v>0</v>
      </c>
      <c r="AV392" s="8" t="n">
        <v>0</v>
      </c>
      <c r="AW392" s="8" t="n">
        <v>0</v>
      </c>
      <c r="AX392" s="8" t="n">
        <v>1</v>
      </c>
      <c r="AY392" s="8" t="n">
        <v>1</v>
      </c>
      <c r="AZ392" s="8" t="n">
        <v>1</v>
      </c>
      <c r="BA392" s="8" t="n">
        <v>1</v>
      </c>
      <c r="BB392" s="8" t="n">
        <v>1</v>
      </c>
      <c r="BC392" s="8" t="n">
        <v>543</v>
      </c>
      <c r="BD392" s="8" t="n">
        <v>2</v>
      </c>
      <c r="BE392" s="8" t="n">
        <v>0</v>
      </c>
      <c r="BF392" s="8" t="n">
        <v>0</v>
      </c>
      <c r="BG392" s="10" t="s">
        <v>3171</v>
      </c>
      <c r="BH392" s="9" t="s">
        <v>3172</v>
      </c>
    </row>
    <row r="393" customFormat="false" ht="15" hidden="false" customHeight="false" outlineLevel="0" collapsed="false">
      <c r="A393" s="8" t="s">
        <v>3173</v>
      </c>
      <c r="B393" s="8" t="s">
        <v>3160</v>
      </c>
      <c r="C393" s="8" t="n">
        <v>2</v>
      </c>
      <c r="D393" s="8" t="n">
        <v>1923</v>
      </c>
      <c r="E393" s="8" t="n">
        <v>1930</v>
      </c>
      <c r="F393" s="8" t="str">
        <f aca="false">IF(D393="","?",IF(D393&lt;1796,"pre-1796",IF(D393&lt;1912,"1796-1911",IF(D393&lt;1949,"1912-1948","1949+"))))</f>
        <v>1912-1948</v>
      </c>
      <c r="G393" s="8" t="str">
        <f aca="false">IF(D393="","?",IF(D393&lt;1912,"Qing",IF(D393&lt;1949,"Republic","PRC")))</f>
        <v>Republic</v>
      </c>
      <c r="H393" s="8" t="s">
        <v>1238</v>
      </c>
      <c r="I393" s="9" t="s">
        <v>466</v>
      </c>
      <c r="J393" s="9" t="s">
        <v>467</v>
      </c>
      <c r="K393" s="8" t="s">
        <v>130</v>
      </c>
      <c r="L393" s="8"/>
      <c r="M393" s="9" t="s">
        <v>3161</v>
      </c>
      <c r="N393" s="9" t="s">
        <v>3162</v>
      </c>
      <c r="O393" s="8" t="s">
        <v>3163</v>
      </c>
      <c r="P393" s="8" t="s">
        <v>97</v>
      </c>
      <c r="Q393" s="9" t="s">
        <v>453</v>
      </c>
      <c r="R393" s="9" t="s">
        <v>3164</v>
      </c>
      <c r="S393" s="9" t="s">
        <v>3165</v>
      </c>
      <c r="T393" s="9" t="s">
        <v>3174</v>
      </c>
      <c r="U393" s="9" t="s">
        <v>3175</v>
      </c>
      <c r="V393" s="8"/>
      <c r="W393" s="9" t="s">
        <v>1091</v>
      </c>
      <c r="X393" s="9" t="s">
        <v>3167</v>
      </c>
      <c r="Y393" s="8"/>
      <c r="Z393" s="8"/>
      <c r="AA393" s="9" t="s">
        <v>3168</v>
      </c>
      <c r="AB393" s="8"/>
      <c r="AC393" s="9" t="s">
        <v>750</v>
      </c>
      <c r="AD393" s="8"/>
      <c r="AE393" s="8"/>
      <c r="AF393" s="8"/>
      <c r="AG393" s="8"/>
      <c r="AH393" s="8"/>
      <c r="AI393" s="8" t="n">
        <v>1</v>
      </c>
      <c r="AJ393" s="8" t="n">
        <v>1</v>
      </c>
      <c r="AK393" s="8" t="n">
        <v>1</v>
      </c>
      <c r="AL393" s="8" t="n">
        <v>1</v>
      </c>
      <c r="AM393" s="8" t="n">
        <v>1</v>
      </c>
      <c r="AN393" s="8" t="n">
        <v>1</v>
      </c>
      <c r="AO393" s="8" t="n">
        <v>1</v>
      </c>
      <c r="AP393" s="8" t="n">
        <v>1</v>
      </c>
      <c r="AQ393" s="8" t="n">
        <v>0</v>
      </c>
      <c r="AR393" s="8" t="n">
        <v>1</v>
      </c>
      <c r="AS393" s="8" t="n">
        <v>1</v>
      </c>
      <c r="AT393" s="8" t="n">
        <v>1</v>
      </c>
      <c r="AU393" s="8" t="n">
        <v>0</v>
      </c>
      <c r="AV393" s="8" t="n">
        <v>0</v>
      </c>
      <c r="AW393" s="8" t="n">
        <v>0</v>
      </c>
      <c r="AX393" s="8" t="n">
        <v>1</v>
      </c>
      <c r="AY393" s="8" t="n">
        <v>0</v>
      </c>
      <c r="AZ393" s="8" t="n">
        <v>1</v>
      </c>
      <c r="BA393" s="8" t="n">
        <v>1</v>
      </c>
      <c r="BB393" s="8" t="n">
        <v>1</v>
      </c>
      <c r="BC393" s="8" t="n">
        <v>509</v>
      </c>
      <c r="BD393" s="8" t="n">
        <v>1</v>
      </c>
      <c r="BE393" s="8" t="n">
        <v>0</v>
      </c>
      <c r="BF393" s="8" t="n">
        <v>0</v>
      </c>
      <c r="BG393" s="10" t="s">
        <v>3171</v>
      </c>
      <c r="BH393" s="9" t="s">
        <v>3176</v>
      </c>
    </row>
    <row r="394" customFormat="false" ht="15" hidden="false" customHeight="false" outlineLevel="0" collapsed="false">
      <c r="A394" s="8" t="s">
        <v>3177</v>
      </c>
      <c r="B394" s="8" t="s">
        <v>3178</v>
      </c>
      <c r="C394" s="8" t="n">
        <v>1</v>
      </c>
      <c r="D394" s="8" t="n">
        <v>1924</v>
      </c>
      <c r="E394" s="8" t="n">
        <v>1928</v>
      </c>
      <c r="F394" s="8" t="str">
        <f aca="false">IF(D394="","?",IF(D394&lt;1796,"pre-1796",IF(D394&lt;1912,"1796-1911",IF(D394&lt;1949,"1912-1948","1949+"))))</f>
        <v>1912-1948</v>
      </c>
      <c r="G394" s="8" t="str">
        <f aca="false">IF(D394="","?",IF(D394&lt;1912,"Qing",IF(D394&lt;1949,"Republic","PRC")))</f>
        <v>Republic</v>
      </c>
      <c r="H394" s="8" t="s">
        <v>3179</v>
      </c>
      <c r="I394" s="9" t="s">
        <v>128</v>
      </c>
      <c r="J394" s="9" t="s">
        <v>3180</v>
      </c>
      <c r="K394" s="8" t="s">
        <v>84</v>
      </c>
      <c r="L394" s="8"/>
      <c r="M394" s="9" t="s">
        <v>238</v>
      </c>
      <c r="N394" s="9" t="s">
        <v>239</v>
      </c>
      <c r="O394" s="8" t="s">
        <v>3181</v>
      </c>
      <c r="P394" s="8" t="s">
        <v>114</v>
      </c>
      <c r="Q394" s="9" t="s">
        <v>98</v>
      </c>
      <c r="R394" s="9" t="s">
        <v>3182</v>
      </c>
      <c r="S394" s="8"/>
      <c r="T394" s="8"/>
      <c r="U394" s="8"/>
      <c r="V394" s="9" t="s">
        <v>229</v>
      </c>
      <c r="W394" s="9" t="s">
        <v>118</v>
      </c>
      <c r="X394" s="8"/>
      <c r="Y394" s="8"/>
      <c r="Z394" s="8"/>
      <c r="AA394" s="8"/>
      <c r="AB394" s="8"/>
      <c r="AC394" s="8"/>
      <c r="AD394" s="8"/>
      <c r="AE394" s="8"/>
      <c r="AF394" s="9" t="s">
        <v>120</v>
      </c>
      <c r="AG394" s="9" t="s">
        <v>239</v>
      </c>
      <c r="AH394" s="9" t="s">
        <v>3183</v>
      </c>
      <c r="AI394" s="8" t="n">
        <v>0</v>
      </c>
      <c r="AJ394" s="8" t="n">
        <v>0</v>
      </c>
      <c r="AK394" s="8" t="n">
        <v>0</v>
      </c>
      <c r="AL394" s="8" t="n">
        <v>0</v>
      </c>
      <c r="AM394" s="8" t="n">
        <v>0</v>
      </c>
      <c r="AN394" s="8" t="n">
        <v>0</v>
      </c>
      <c r="AO394" s="8" t="n">
        <v>0</v>
      </c>
      <c r="AP394" s="8" t="n">
        <v>0</v>
      </c>
      <c r="AQ394" s="8" t="n">
        <v>0</v>
      </c>
      <c r="AR394" s="8" t="n">
        <v>0</v>
      </c>
      <c r="AS394" s="8" t="n">
        <v>1</v>
      </c>
      <c r="AT394" s="8" t="n">
        <v>1</v>
      </c>
      <c r="AU394" s="8" t="n">
        <v>0</v>
      </c>
      <c r="AV394" s="8" t="n">
        <v>0</v>
      </c>
      <c r="AW394" s="8" t="n">
        <v>1</v>
      </c>
      <c r="AX394" s="8" t="n">
        <v>1</v>
      </c>
      <c r="AY394" s="8" t="n">
        <v>1</v>
      </c>
      <c r="AZ394" s="8" t="n">
        <v>1</v>
      </c>
      <c r="BA394" s="8" t="n">
        <v>1</v>
      </c>
      <c r="BB394" s="8" t="n">
        <v>1</v>
      </c>
      <c r="BC394" s="8" t="n">
        <v>772</v>
      </c>
      <c r="BD394" s="8" t="n">
        <v>0</v>
      </c>
      <c r="BE394" s="8" t="n">
        <v>1</v>
      </c>
      <c r="BF394" s="8" t="n">
        <v>0</v>
      </c>
      <c r="BG394" s="10" t="s">
        <v>3184</v>
      </c>
      <c r="BH394" s="9" t="s">
        <v>3185</v>
      </c>
    </row>
    <row r="395" customFormat="false" ht="15" hidden="false" customHeight="false" outlineLevel="0" collapsed="false">
      <c r="A395" s="8" t="s">
        <v>3186</v>
      </c>
      <c r="B395" s="8" t="s">
        <v>3178</v>
      </c>
      <c r="C395" s="8" t="n">
        <v>2</v>
      </c>
      <c r="D395" s="8" t="n">
        <v>1924</v>
      </c>
      <c r="E395" s="8" t="n">
        <v>1928</v>
      </c>
      <c r="F395" s="8" t="str">
        <f aca="false">IF(D395="","?",IF(D395&lt;1796,"pre-1796",IF(D395&lt;1912,"1796-1911",IF(D395&lt;1949,"1912-1948","1949+"))))</f>
        <v>1912-1948</v>
      </c>
      <c r="G395" s="8" t="str">
        <f aca="false">IF(D395="","?",IF(D395&lt;1912,"Qing",IF(D395&lt;1949,"Republic","PRC")))</f>
        <v>Republic</v>
      </c>
      <c r="H395" s="8" t="s">
        <v>3179</v>
      </c>
      <c r="I395" s="9" t="s">
        <v>128</v>
      </c>
      <c r="J395" s="9" t="s">
        <v>3180</v>
      </c>
      <c r="K395" s="8" t="s">
        <v>84</v>
      </c>
      <c r="L395" s="8"/>
      <c r="M395" s="9" t="s">
        <v>238</v>
      </c>
      <c r="N395" s="9" t="s">
        <v>239</v>
      </c>
      <c r="O395" s="8" t="s">
        <v>3181</v>
      </c>
      <c r="P395" s="8" t="s">
        <v>87</v>
      </c>
      <c r="Q395" s="8"/>
      <c r="R395" s="8"/>
      <c r="S395" s="8"/>
      <c r="T395" s="8"/>
      <c r="U395" s="8"/>
      <c r="V395" s="8"/>
      <c r="W395" s="8"/>
      <c r="X395" s="8"/>
      <c r="Y395" s="8"/>
      <c r="Z395" s="8"/>
      <c r="AA395" s="8"/>
      <c r="AB395" s="8"/>
      <c r="AC395" s="8"/>
      <c r="AD395" s="8"/>
      <c r="AE395" s="8"/>
      <c r="AF395" s="8"/>
      <c r="AG395" s="8"/>
      <c r="AH395" s="8"/>
      <c r="AI395" s="8" t="n">
        <v>0</v>
      </c>
      <c r="AJ395" s="8" t="n">
        <v>0</v>
      </c>
      <c r="AK395" s="8" t="n">
        <v>0</v>
      </c>
      <c r="AL395" s="8" t="n">
        <v>0</v>
      </c>
      <c r="AM395" s="8" t="n">
        <v>0</v>
      </c>
      <c r="AN395" s="8" t="n">
        <v>0</v>
      </c>
      <c r="AO395" s="8" t="n">
        <v>0</v>
      </c>
      <c r="AP395" s="8" t="n">
        <v>0</v>
      </c>
      <c r="AQ395" s="8" t="n">
        <v>0</v>
      </c>
      <c r="AR395" s="8" t="n">
        <v>0</v>
      </c>
      <c r="AS395" s="8" t="n">
        <v>0</v>
      </c>
      <c r="AT395" s="8" t="n">
        <v>0</v>
      </c>
      <c r="AU395" s="8" t="n">
        <v>0</v>
      </c>
      <c r="AV395" s="8" t="n">
        <v>0</v>
      </c>
      <c r="AW395" s="8" t="n">
        <v>0</v>
      </c>
      <c r="AX395" s="8" t="n">
        <v>0</v>
      </c>
      <c r="AY395" s="8" t="n">
        <v>0</v>
      </c>
      <c r="AZ395" s="8" t="n">
        <v>0</v>
      </c>
      <c r="BA395" s="8" t="n">
        <v>0</v>
      </c>
      <c r="BB395" s="8" t="n">
        <v>0</v>
      </c>
      <c r="BC395" s="8" t="n">
        <v>6</v>
      </c>
      <c r="BD395" s="8" t="n">
        <v>0</v>
      </c>
      <c r="BE395" s="8" t="n">
        <v>0</v>
      </c>
      <c r="BF395" s="8" t="n">
        <v>0</v>
      </c>
      <c r="BG395" s="10" t="s">
        <v>3184</v>
      </c>
      <c r="BH395" s="9" t="s">
        <v>3187</v>
      </c>
    </row>
    <row r="396" customFormat="false" ht="15" hidden="false" customHeight="false" outlineLevel="0" collapsed="false">
      <c r="A396" s="8" t="s">
        <v>3188</v>
      </c>
      <c r="B396" s="8" t="s">
        <v>3189</v>
      </c>
      <c r="C396" s="8" t="n">
        <v>1</v>
      </c>
      <c r="D396" s="8" t="n">
        <v>1927</v>
      </c>
      <c r="E396" s="8" t="n">
        <v>1927</v>
      </c>
      <c r="F396" s="8" t="str">
        <f aca="false">IF(D396="","?",IF(D396&lt;1796,"pre-1796",IF(D396&lt;1912,"1796-1911",IF(D396&lt;1949,"1912-1948","1949+"))))</f>
        <v>1912-1948</v>
      </c>
      <c r="G396" s="8" t="str">
        <f aca="false">IF(D396="","?",IF(D396&lt;1912,"Qing",IF(D396&lt;1949,"Republic","PRC")))</f>
        <v>Republic</v>
      </c>
      <c r="H396" s="8" t="s">
        <v>1694</v>
      </c>
      <c r="I396" s="9" t="s">
        <v>466</v>
      </c>
      <c r="J396" s="9" t="s">
        <v>467</v>
      </c>
      <c r="K396" s="8" t="s">
        <v>84</v>
      </c>
      <c r="L396" s="8"/>
      <c r="M396" s="9" t="s">
        <v>3190</v>
      </c>
      <c r="N396" s="9" t="s">
        <v>3191</v>
      </c>
      <c r="O396" s="8" t="s">
        <v>3192</v>
      </c>
      <c r="P396" s="8" t="s">
        <v>97</v>
      </c>
      <c r="Q396" s="9" t="s">
        <v>98</v>
      </c>
      <c r="R396" s="9" t="s">
        <v>3193</v>
      </c>
      <c r="S396" s="8"/>
      <c r="T396" s="8"/>
      <c r="U396" s="9" t="s">
        <v>3194</v>
      </c>
      <c r="V396" s="9" t="s">
        <v>229</v>
      </c>
      <c r="W396" s="8"/>
      <c r="X396" s="8"/>
      <c r="Y396" s="8"/>
      <c r="Z396" s="8"/>
      <c r="AA396" s="8"/>
      <c r="AB396" s="8"/>
      <c r="AC396" s="8"/>
      <c r="AD396" s="8"/>
      <c r="AE396" s="9" t="s">
        <v>3195</v>
      </c>
      <c r="AF396" s="9" t="s">
        <v>120</v>
      </c>
      <c r="AG396" s="8"/>
      <c r="AH396" s="8"/>
      <c r="AI396" s="8" t="n">
        <v>0</v>
      </c>
      <c r="AJ396" s="8" t="n">
        <v>0</v>
      </c>
      <c r="AK396" s="8" t="n">
        <v>0</v>
      </c>
      <c r="AL396" s="8" t="n">
        <v>0</v>
      </c>
      <c r="AM396" s="8" t="n">
        <v>0</v>
      </c>
      <c r="AN396" s="8" t="n">
        <v>0</v>
      </c>
      <c r="AO396" s="8" t="n">
        <v>0</v>
      </c>
      <c r="AP396" s="8" t="n">
        <v>0</v>
      </c>
      <c r="AQ396" s="8" t="n">
        <v>0</v>
      </c>
      <c r="AR396" s="8" t="n">
        <v>0</v>
      </c>
      <c r="AS396" s="8" t="n">
        <v>1</v>
      </c>
      <c r="AT396" s="8" t="n">
        <v>1</v>
      </c>
      <c r="AU396" s="8" t="n">
        <v>0</v>
      </c>
      <c r="AV396" s="8" t="n">
        <v>0</v>
      </c>
      <c r="AW396" s="8" t="n">
        <v>0</v>
      </c>
      <c r="AX396" s="8" t="n">
        <v>0</v>
      </c>
      <c r="AY396" s="8" t="n">
        <v>1</v>
      </c>
      <c r="AZ396" s="8" t="n">
        <v>0</v>
      </c>
      <c r="BA396" s="8" t="n">
        <v>1</v>
      </c>
      <c r="BB396" s="8" t="n">
        <v>1</v>
      </c>
      <c r="BC396" s="8" t="n">
        <v>634</v>
      </c>
      <c r="BD396" s="8" t="n">
        <v>0</v>
      </c>
      <c r="BE396" s="8" t="n">
        <v>0</v>
      </c>
      <c r="BF396" s="8" t="n">
        <v>0</v>
      </c>
      <c r="BG396" s="10" t="s">
        <v>3196</v>
      </c>
      <c r="BH396" s="9" t="s">
        <v>3197</v>
      </c>
    </row>
    <row r="397" customFormat="false" ht="15" hidden="false" customHeight="false" outlineLevel="0" collapsed="false">
      <c r="A397" s="8" t="s">
        <v>3198</v>
      </c>
      <c r="B397" s="8" t="s">
        <v>3199</v>
      </c>
      <c r="C397" s="8" t="n">
        <v>1</v>
      </c>
      <c r="D397" s="8" t="n">
        <v>1929</v>
      </c>
      <c r="E397" s="8" t="n">
        <v>1929</v>
      </c>
      <c r="F397" s="8" t="str">
        <f aca="false">IF(D397="","?",IF(D397&lt;1796,"pre-1796",IF(D397&lt;1912,"1796-1911",IF(D397&lt;1949,"1912-1948","1949+"))))</f>
        <v>1912-1948</v>
      </c>
      <c r="G397" s="8" t="str">
        <f aca="false">IF(D397="","?",IF(D397&lt;1912,"Qing",IF(D397&lt;1949,"Republic","PRC")))</f>
        <v>Republic</v>
      </c>
      <c r="H397" s="8" t="s">
        <v>109</v>
      </c>
      <c r="I397" s="9" t="s">
        <v>128</v>
      </c>
      <c r="J397" s="9" t="s">
        <v>223</v>
      </c>
      <c r="K397" s="8" t="s">
        <v>84</v>
      </c>
      <c r="L397" s="8"/>
      <c r="M397" s="9" t="s">
        <v>3200</v>
      </c>
      <c r="N397" s="9" t="s">
        <v>3201</v>
      </c>
      <c r="O397" s="8" t="s">
        <v>3202</v>
      </c>
      <c r="P397" s="8" t="s">
        <v>114</v>
      </c>
      <c r="Q397" s="9" t="s">
        <v>98</v>
      </c>
      <c r="R397" s="9" t="s">
        <v>3203</v>
      </c>
      <c r="S397" s="8"/>
      <c r="T397" s="8"/>
      <c r="U397" s="8"/>
      <c r="V397" s="8"/>
      <c r="W397" s="9" t="s">
        <v>3204</v>
      </c>
      <c r="X397" s="8"/>
      <c r="Y397" s="8"/>
      <c r="Z397" s="8"/>
      <c r="AA397" s="8"/>
      <c r="AB397" s="8"/>
      <c r="AC397" s="8"/>
      <c r="AD397" s="8"/>
      <c r="AE397" s="8" t="s">
        <v>1496</v>
      </c>
      <c r="AF397" s="9" t="s">
        <v>959</v>
      </c>
      <c r="AG397" s="9" t="s">
        <v>960</v>
      </c>
      <c r="AH397" s="8"/>
      <c r="AI397" s="8" t="n">
        <v>0</v>
      </c>
      <c r="AJ397" s="8" t="n">
        <v>0</v>
      </c>
      <c r="AK397" s="8" t="n">
        <v>0</v>
      </c>
      <c r="AL397" s="8" t="n">
        <v>0</v>
      </c>
      <c r="AM397" s="8" t="n">
        <v>0</v>
      </c>
      <c r="AN397" s="8" t="n">
        <v>0</v>
      </c>
      <c r="AO397" s="8" t="n">
        <v>0</v>
      </c>
      <c r="AP397" s="8" t="n">
        <v>0</v>
      </c>
      <c r="AQ397" s="8" t="n">
        <v>0</v>
      </c>
      <c r="AR397" s="8" t="n">
        <v>0</v>
      </c>
      <c r="AS397" s="8" t="n">
        <v>0</v>
      </c>
      <c r="AT397" s="8" t="n">
        <v>0</v>
      </c>
      <c r="AU397" s="8" t="n">
        <v>0</v>
      </c>
      <c r="AV397" s="8" t="n">
        <v>0</v>
      </c>
      <c r="AW397" s="8" t="n">
        <v>0</v>
      </c>
      <c r="AX397" s="8" t="n">
        <v>0</v>
      </c>
      <c r="AY397" s="8" t="n">
        <v>0</v>
      </c>
      <c r="AZ397" s="8" t="n">
        <v>0</v>
      </c>
      <c r="BA397" s="8" t="n">
        <v>0</v>
      </c>
      <c r="BB397" s="8" t="n">
        <v>0</v>
      </c>
      <c r="BC397" s="8" t="n">
        <v>355</v>
      </c>
      <c r="BD397" s="8" t="n">
        <v>0</v>
      </c>
      <c r="BE397" s="8" t="n">
        <v>0</v>
      </c>
      <c r="BF397" s="8" t="n">
        <v>0</v>
      </c>
      <c r="BG397" s="10" t="s">
        <v>3205</v>
      </c>
      <c r="BH397" s="8" t="s">
        <v>3206</v>
      </c>
    </row>
    <row r="398" customFormat="false" ht="15" hidden="false" customHeight="false" outlineLevel="0" collapsed="false">
      <c r="A398" s="8" t="s">
        <v>3207</v>
      </c>
      <c r="B398" s="8" t="s">
        <v>3208</v>
      </c>
      <c r="C398" s="8" t="n">
        <v>1</v>
      </c>
      <c r="D398" s="8" t="n">
        <v>1929</v>
      </c>
      <c r="E398" s="8" t="n">
        <v>1935</v>
      </c>
      <c r="F398" s="8" t="str">
        <f aca="false">IF(D398="","?",IF(D398&lt;1796,"pre-1796",IF(D398&lt;1912,"1796-1911",IF(D398&lt;1949,"1912-1948","1949+"))))</f>
        <v>1912-1948</v>
      </c>
      <c r="G398" s="8" t="str">
        <f aca="false">IF(D398="","?",IF(D398&lt;1912,"Qing",IF(D398&lt;1949,"Republic","PRC")))</f>
        <v>Republic</v>
      </c>
      <c r="H398" s="8" t="s">
        <v>3209</v>
      </c>
      <c r="I398" s="9" t="s">
        <v>128</v>
      </c>
      <c r="J398" s="9" t="s">
        <v>223</v>
      </c>
      <c r="K398" s="8" t="s">
        <v>130</v>
      </c>
      <c r="L398" s="8"/>
      <c r="M398" s="9" t="s">
        <v>3210</v>
      </c>
      <c r="N398" s="9" t="s">
        <v>3211</v>
      </c>
      <c r="O398" s="8" t="s">
        <v>3212</v>
      </c>
      <c r="P398" s="8" t="s">
        <v>97</v>
      </c>
      <c r="Q398" s="9" t="s">
        <v>98</v>
      </c>
      <c r="R398" s="9" t="s">
        <v>3213</v>
      </c>
      <c r="S398" s="9" t="s">
        <v>3210</v>
      </c>
      <c r="T398" s="8"/>
      <c r="U398" s="9" t="s">
        <v>3214</v>
      </c>
      <c r="V398" s="9" t="s">
        <v>229</v>
      </c>
      <c r="W398" s="9" t="s">
        <v>3215</v>
      </c>
      <c r="X398" s="8"/>
      <c r="Y398" s="9" t="s">
        <v>3216</v>
      </c>
      <c r="Z398" s="9" t="s">
        <v>3217</v>
      </c>
      <c r="AA398" s="9" t="s">
        <v>3218</v>
      </c>
      <c r="AB398" s="9" t="s">
        <v>3219</v>
      </c>
      <c r="AC398" s="8"/>
      <c r="AD398" s="8"/>
      <c r="AE398" s="9" t="s">
        <v>3220</v>
      </c>
      <c r="AF398" s="9" t="s">
        <v>378</v>
      </c>
      <c r="AG398" s="9" t="s">
        <v>3221</v>
      </c>
      <c r="AH398" s="9" t="s">
        <v>3222</v>
      </c>
      <c r="AI398" s="8" t="n">
        <v>1</v>
      </c>
      <c r="AJ398" s="8" t="n">
        <v>0</v>
      </c>
      <c r="AK398" s="8" t="n">
        <v>1</v>
      </c>
      <c r="AL398" s="8" t="n">
        <v>0</v>
      </c>
      <c r="AM398" s="8" t="n">
        <v>1</v>
      </c>
      <c r="AN398" s="8" t="n">
        <v>1</v>
      </c>
      <c r="AO398" s="8" t="n">
        <v>1</v>
      </c>
      <c r="AP398" s="8" t="n">
        <v>0</v>
      </c>
      <c r="AQ398" s="8" t="n">
        <v>1</v>
      </c>
      <c r="AR398" s="8" t="n">
        <v>0</v>
      </c>
      <c r="AS398" s="8" t="n">
        <v>1</v>
      </c>
      <c r="AT398" s="8" t="n">
        <v>0</v>
      </c>
      <c r="AU398" s="8" t="n">
        <v>0</v>
      </c>
      <c r="AV398" s="8" t="n">
        <v>0</v>
      </c>
      <c r="AW398" s="8" t="n">
        <v>0</v>
      </c>
      <c r="AX398" s="8" t="n">
        <v>0</v>
      </c>
      <c r="AY398" s="8" t="n">
        <v>0</v>
      </c>
      <c r="AZ398" s="8" t="n">
        <v>0</v>
      </c>
      <c r="BA398" s="8" t="n">
        <v>1</v>
      </c>
      <c r="BB398" s="8" t="n">
        <v>1</v>
      </c>
      <c r="BC398" s="8" t="n">
        <v>753</v>
      </c>
      <c r="BD398" s="8" t="n">
        <v>3</v>
      </c>
      <c r="BE398" s="8" t="n">
        <v>0</v>
      </c>
      <c r="BF398" s="8" t="n">
        <v>0</v>
      </c>
      <c r="BG398" s="10" t="s">
        <v>3223</v>
      </c>
      <c r="BH398" s="9" t="s">
        <v>3224</v>
      </c>
    </row>
    <row r="399" customFormat="false" ht="15" hidden="false" customHeight="false" outlineLevel="0" collapsed="false">
      <c r="A399" s="8" t="s">
        <v>3225</v>
      </c>
      <c r="B399" s="8" t="s">
        <v>3208</v>
      </c>
      <c r="C399" s="8" t="n">
        <v>2</v>
      </c>
      <c r="D399" s="8" t="n">
        <v>1929</v>
      </c>
      <c r="E399" s="8" t="n">
        <v>1935</v>
      </c>
      <c r="F399" s="8" t="str">
        <f aca="false">IF(D399="","?",IF(D399&lt;1796,"pre-1796",IF(D399&lt;1912,"1796-1911",IF(D399&lt;1949,"1912-1948","1949+"))))</f>
        <v>1912-1948</v>
      </c>
      <c r="G399" s="8" t="str">
        <f aca="false">IF(D399="","?",IF(D399&lt;1912,"Qing",IF(D399&lt;1949,"Republic","PRC")))</f>
        <v>Republic</v>
      </c>
      <c r="H399" s="8" t="s">
        <v>3209</v>
      </c>
      <c r="I399" s="9" t="s">
        <v>128</v>
      </c>
      <c r="J399" s="9" t="s">
        <v>223</v>
      </c>
      <c r="K399" s="8" t="s">
        <v>130</v>
      </c>
      <c r="L399" s="8"/>
      <c r="M399" s="9" t="s">
        <v>3210</v>
      </c>
      <c r="N399" s="9" t="s">
        <v>3211</v>
      </c>
      <c r="O399" s="8" t="s">
        <v>3212</v>
      </c>
      <c r="P399" s="8" t="s">
        <v>97</v>
      </c>
      <c r="Q399" s="9" t="s">
        <v>3226</v>
      </c>
      <c r="R399" s="9" t="s">
        <v>3227</v>
      </c>
      <c r="S399" s="8"/>
      <c r="T399" s="8"/>
      <c r="U399" s="9" t="s">
        <v>3228</v>
      </c>
      <c r="V399" s="9" t="s">
        <v>229</v>
      </c>
      <c r="W399" s="8"/>
      <c r="X399" s="8"/>
      <c r="Y399" s="8"/>
      <c r="Z399" s="8"/>
      <c r="AA399" s="8"/>
      <c r="AB399" s="8"/>
      <c r="AC399" s="8"/>
      <c r="AD399" s="8"/>
      <c r="AE399" s="9" t="s">
        <v>3229</v>
      </c>
      <c r="AF399" s="8"/>
      <c r="AG399" s="8"/>
      <c r="AH399" s="8"/>
      <c r="AI399" s="8" t="n">
        <v>0</v>
      </c>
      <c r="AJ399" s="8" t="n">
        <v>0</v>
      </c>
      <c r="AK399" s="8" t="n">
        <v>0</v>
      </c>
      <c r="AL399" s="8" t="n">
        <v>0</v>
      </c>
      <c r="AM399" s="8" t="n">
        <v>0</v>
      </c>
      <c r="AN399" s="8" t="n">
        <v>0</v>
      </c>
      <c r="AO399" s="8" t="n">
        <v>0</v>
      </c>
      <c r="AP399" s="8" t="n">
        <v>0</v>
      </c>
      <c r="AQ399" s="8" t="n">
        <v>0</v>
      </c>
      <c r="AR399" s="8" t="n">
        <v>0</v>
      </c>
      <c r="AS399" s="8" t="n">
        <v>1</v>
      </c>
      <c r="AT399" s="8" t="n">
        <v>1</v>
      </c>
      <c r="AU399" s="8" t="n">
        <v>0</v>
      </c>
      <c r="AV399" s="8" t="n">
        <v>0</v>
      </c>
      <c r="AW399" s="8" t="n">
        <v>0</v>
      </c>
      <c r="AX399" s="8" t="n">
        <v>0</v>
      </c>
      <c r="AY399" s="8" t="n">
        <v>0</v>
      </c>
      <c r="AZ399" s="8" t="n">
        <v>0</v>
      </c>
      <c r="BA399" s="8" t="n">
        <v>1</v>
      </c>
      <c r="BB399" s="8" t="n">
        <v>1</v>
      </c>
      <c r="BC399" s="8" t="n">
        <v>529</v>
      </c>
      <c r="BD399" s="8" t="n">
        <v>0</v>
      </c>
      <c r="BE399" s="8" t="n">
        <v>0</v>
      </c>
      <c r="BF399" s="8" t="n">
        <v>0</v>
      </c>
      <c r="BG399" s="10" t="s">
        <v>3223</v>
      </c>
      <c r="BH399" s="9" t="s">
        <v>3230</v>
      </c>
    </row>
    <row r="400" customFormat="false" ht="15" hidden="false" customHeight="false" outlineLevel="0" collapsed="false">
      <c r="A400" s="8" t="s">
        <v>3231</v>
      </c>
      <c r="B400" s="8" t="s">
        <v>3232</v>
      </c>
      <c r="C400" s="8" t="n">
        <v>1</v>
      </c>
      <c r="D400" s="8" t="n">
        <v>1929</v>
      </c>
      <c r="E400" s="8" t="n">
        <v>1935</v>
      </c>
      <c r="F400" s="8" t="str">
        <f aca="false">IF(D400="","?",IF(D400&lt;1796,"pre-1796",IF(D400&lt;1912,"1796-1911",IF(D400&lt;1949,"1912-1948","1949+"))))</f>
        <v>1912-1948</v>
      </c>
      <c r="G400" s="8" t="str">
        <f aca="false">IF(D400="","?",IF(D400&lt;1912,"Qing",IF(D400&lt;1949,"Republic","PRC")))</f>
        <v>Republic</v>
      </c>
      <c r="H400" s="8" t="s">
        <v>3209</v>
      </c>
      <c r="I400" s="9" t="s">
        <v>128</v>
      </c>
      <c r="J400" s="9" t="s">
        <v>223</v>
      </c>
      <c r="K400" s="8" t="s">
        <v>84</v>
      </c>
      <c r="L400" s="8"/>
      <c r="M400" s="9" t="s">
        <v>3233</v>
      </c>
      <c r="N400" s="9" t="s">
        <v>3234</v>
      </c>
      <c r="O400" s="8" t="s">
        <v>3235</v>
      </c>
      <c r="P400" s="8" t="s">
        <v>114</v>
      </c>
      <c r="Q400" s="9" t="s">
        <v>98</v>
      </c>
      <c r="R400" s="9" t="s">
        <v>3236</v>
      </c>
      <c r="S400" s="9" t="s">
        <v>3237</v>
      </c>
      <c r="T400" s="8"/>
      <c r="U400" s="9" t="s">
        <v>3238</v>
      </c>
      <c r="V400" s="8"/>
      <c r="W400" s="9" t="s">
        <v>3239</v>
      </c>
      <c r="X400" s="8"/>
      <c r="Y400" s="8"/>
      <c r="Z400" s="8"/>
      <c r="AA400" s="8"/>
      <c r="AB400" s="8"/>
      <c r="AC400" s="8"/>
      <c r="AD400" s="8"/>
      <c r="AE400" s="8" t="s">
        <v>3240</v>
      </c>
      <c r="AF400" s="9" t="s">
        <v>959</v>
      </c>
      <c r="AG400" s="9" t="s">
        <v>3241</v>
      </c>
      <c r="AH400" s="8"/>
      <c r="AI400" s="8" t="n">
        <v>0</v>
      </c>
      <c r="AJ400" s="8" t="n">
        <v>0</v>
      </c>
      <c r="AK400" s="8" t="n">
        <v>0</v>
      </c>
      <c r="AL400" s="8" t="n">
        <v>0</v>
      </c>
      <c r="AM400" s="8" t="n">
        <v>0</v>
      </c>
      <c r="AN400" s="8" t="n">
        <v>0</v>
      </c>
      <c r="AO400" s="8" t="n">
        <v>0</v>
      </c>
      <c r="AP400" s="8" t="n">
        <v>0</v>
      </c>
      <c r="AQ400" s="8" t="n">
        <v>0</v>
      </c>
      <c r="AR400" s="8" t="n">
        <v>0</v>
      </c>
      <c r="AS400" s="8" t="n">
        <v>0</v>
      </c>
      <c r="AT400" s="8" t="n">
        <v>0</v>
      </c>
      <c r="AU400" s="8" t="n">
        <v>0</v>
      </c>
      <c r="AV400" s="8" t="n">
        <v>0</v>
      </c>
      <c r="AW400" s="8" t="n">
        <v>0</v>
      </c>
      <c r="AX400" s="8" t="n">
        <v>0</v>
      </c>
      <c r="AY400" s="8" t="n">
        <v>0</v>
      </c>
      <c r="AZ400" s="8" t="n">
        <v>1</v>
      </c>
      <c r="BA400" s="8" t="n">
        <v>0</v>
      </c>
      <c r="BB400" s="8" t="n">
        <v>0</v>
      </c>
      <c r="BC400" s="8" t="n">
        <v>445</v>
      </c>
      <c r="BD400" s="8" t="n">
        <v>1</v>
      </c>
      <c r="BE400" s="8" t="n">
        <v>0</v>
      </c>
      <c r="BF400" s="8" t="n">
        <v>0</v>
      </c>
      <c r="BG400" s="10" t="s">
        <v>3242</v>
      </c>
      <c r="BH400" s="8" t="s">
        <v>3243</v>
      </c>
    </row>
    <row r="401" customFormat="false" ht="15" hidden="false" customHeight="false" outlineLevel="0" collapsed="false">
      <c r="A401" s="8" t="s">
        <v>3244</v>
      </c>
      <c r="B401" s="8" t="s">
        <v>3232</v>
      </c>
      <c r="C401" s="8" t="n">
        <v>2</v>
      </c>
      <c r="D401" s="8" t="n">
        <v>1929</v>
      </c>
      <c r="E401" s="8" t="n">
        <v>1935</v>
      </c>
      <c r="F401" s="8" t="str">
        <f aca="false">IF(D401="","?",IF(D401&lt;1796,"pre-1796",IF(D401&lt;1912,"1796-1911",IF(D401&lt;1949,"1912-1948","1949+"))))</f>
        <v>1912-1948</v>
      </c>
      <c r="G401" s="8" t="str">
        <f aca="false">IF(D401="","?",IF(D401&lt;1912,"Qing",IF(D401&lt;1949,"Republic","PRC")))</f>
        <v>Republic</v>
      </c>
      <c r="H401" s="8" t="s">
        <v>3209</v>
      </c>
      <c r="I401" s="9" t="s">
        <v>128</v>
      </c>
      <c r="J401" s="9" t="s">
        <v>223</v>
      </c>
      <c r="K401" s="8" t="s">
        <v>84</v>
      </c>
      <c r="L401" s="8"/>
      <c r="M401" s="9" t="s">
        <v>3233</v>
      </c>
      <c r="N401" s="9" t="s">
        <v>3234</v>
      </c>
      <c r="O401" s="8" t="s">
        <v>3235</v>
      </c>
      <c r="P401" s="8" t="s">
        <v>114</v>
      </c>
      <c r="Q401" s="9" t="s">
        <v>115</v>
      </c>
      <c r="R401" s="9" t="s">
        <v>3236</v>
      </c>
      <c r="S401" s="8"/>
      <c r="T401" s="8"/>
      <c r="U401" s="9" t="s">
        <v>3245</v>
      </c>
      <c r="V401" s="8"/>
      <c r="W401" s="8"/>
      <c r="X401" s="8"/>
      <c r="Y401" s="8"/>
      <c r="Z401" s="8"/>
      <c r="AA401" s="8"/>
      <c r="AB401" s="8"/>
      <c r="AC401" s="8"/>
      <c r="AD401" s="8"/>
      <c r="AE401" s="9" t="s">
        <v>119</v>
      </c>
      <c r="AF401" s="9" t="s">
        <v>120</v>
      </c>
      <c r="AG401" s="9" t="s">
        <v>3234</v>
      </c>
      <c r="AH401" s="9" t="s">
        <v>3246</v>
      </c>
      <c r="AI401" s="8" t="n">
        <v>0</v>
      </c>
      <c r="AJ401" s="8" t="n">
        <v>0</v>
      </c>
      <c r="AK401" s="8" t="n">
        <v>0</v>
      </c>
      <c r="AL401" s="8" t="n">
        <v>0</v>
      </c>
      <c r="AM401" s="8" t="n">
        <v>0</v>
      </c>
      <c r="AN401" s="8" t="n">
        <v>0</v>
      </c>
      <c r="AO401" s="8" t="n">
        <v>0</v>
      </c>
      <c r="AP401" s="8" t="n">
        <v>0</v>
      </c>
      <c r="AQ401" s="8" t="n">
        <v>0</v>
      </c>
      <c r="AR401" s="8" t="n">
        <v>0</v>
      </c>
      <c r="AS401" s="8" t="n">
        <v>1</v>
      </c>
      <c r="AT401" s="8" t="n">
        <v>1</v>
      </c>
      <c r="AU401" s="8" t="n">
        <v>0</v>
      </c>
      <c r="AV401" s="8" t="n">
        <v>0</v>
      </c>
      <c r="AW401" s="8" t="n">
        <v>1</v>
      </c>
      <c r="AX401" s="8" t="n">
        <v>1</v>
      </c>
      <c r="AY401" s="8" t="n">
        <v>1</v>
      </c>
      <c r="AZ401" s="8" t="n">
        <v>1</v>
      </c>
      <c r="BA401" s="8" t="n">
        <v>1</v>
      </c>
      <c r="BB401" s="8" t="n">
        <v>1</v>
      </c>
      <c r="BC401" s="8" t="n">
        <v>370</v>
      </c>
      <c r="BD401" s="8" t="n">
        <v>1</v>
      </c>
      <c r="BE401" s="8" t="n">
        <v>0</v>
      </c>
      <c r="BF401" s="8" t="n">
        <v>0</v>
      </c>
      <c r="BG401" s="10" t="s">
        <v>3242</v>
      </c>
      <c r="BH401" s="9" t="s">
        <v>3247</v>
      </c>
    </row>
    <row r="402" customFormat="false" ht="15" hidden="false" customHeight="false" outlineLevel="0" collapsed="false">
      <c r="A402" s="8" t="s">
        <v>3248</v>
      </c>
      <c r="B402" s="8" t="s">
        <v>3249</v>
      </c>
      <c r="C402" s="8" t="n">
        <v>1</v>
      </c>
      <c r="D402" s="8" t="n">
        <v>1932</v>
      </c>
      <c r="E402" s="8" t="n">
        <v>1935</v>
      </c>
      <c r="F402" s="8" t="str">
        <f aca="false">IF(D402="","?",IF(D402&lt;1796,"pre-1796",IF(D402&lt;1912,"1796-1911",IF(D402&lt;1949,"1912-1948","1949+"))))</f>
        <v>1912-1948</v>
      </c>
      <c r="G402" s="8" t="str">
        <f aca="false">IF(D402="","?",IF(D402&lt;1912,"Qing",IF(D402&lt;1949,"Republic","PRC")))</f>
        <v>Republic</v>
      </c>
      <c r="H402" s="8" t="s">
        <v>3250</v>
      </c>
      <c r="I402" s="9" t="s">
        <v>128</v>
      </c>
      <c r="J402" s="9" t="s">
        <v>223</v>
      </c>
      <c r="K402" s="8" t="s">
        <v>130</v>
      </c>
      <c r="L402" s="8"/>
      <c r="M402" s="9" t="s">
        <v>3251</v>
      </c>
      <c r="N402" s="9" t="s">
        <v>3234</v>
      </c>
      <c r="O402" s="8" t="s">
        <v>3252</v>
      </c>
      <c r="P402" s="8" t="s">
        <v>97</v>
      </c>
      <c r="Q402" s="9" t="s">
        <v>98</v>
      </c>
      <c r="R402" s="9" t="s">
        <v>3253</v>
      </c>
      <c r="S402" s="9" t="s">
        <v>3254</v>
      </c>
      <c r="T402" s="8"/>
      <c r="U402" s="9" t="s">
        <v>3255</v>
      </c>
      <c r="V402" s="9" t="s">
        <v>229</v>
      </c>
      <c r="W402" s="9" t="s">
        <v>3256</v>
      </c>
      <c r="X402" s="9" t="s">
        <v>3257</v>
      </c>
      <c r="Y402" s="9" t="s">
        <v>3258</v>
      </c>
      <c r="Z402" s="8"/>
      <c r="AA402" s="9" t="s">
        <v>3259</v>
      </c>
      <c r="AB402" s="9" t="s">
        <v>3260</v>
      </c>
      <c r="AC402" s="8"/>
      <c r="AD402" s="8"/>
      <c r="AE402" s="8"/>
      <c r="AF402" s="9" t="s">
        <v>959</v>
      </c>
      <c r="AG402" s="9" t="s">
        <v>960</v>
      </c>
      <c r="AH402" s="8"/>
      <c r="AI402" s="8" t="n">
        <v>1</v>
      </c>
      <c r="AJ402" s="8" t="n">
        <v>1</v>
      </c>
      <c r="AK402" s="8" t="n">
        <v>0</v>
      </c>
      <c r="AL402" s="8" t="n">
        <v>0</v>
      </c>
      <c r="AM402" s="8" t="n">
        <v>1</v>
      </c>
      <c r="AN402" s="8" t="n">
        <v>1</v>
      </c>
      <c r="AO402" s="8" t="n">
        <v>1</v>
      </c>
      <c r="AP402" s="8" t="n">
        <v>0</v>
      </c>
      <c r="AQ402" s="8" t="n">
        <v>1</v>
      </c>
      <c r="AR402" s="8" t="n">
        <v>0</v>
      </c>
      <c r="AS402" s="8" t="n">
        <v>1</v>
      </c>
      <c r="AT402" s="8" t="n">
        <v>0</v>
      </c>
      <c r="AU402" s="8" t="n">
        <v>0</v>
      </c>
      <c r="AV402" s="8" t="n">
        <v>0</v>
      </c>
      <c r="AW402" s="8" t="n">
        <v>0</v>
      </c>
      <c r="AX402" s="8" t="n">
        <v>0</v>
      </c>
      <c r="AY402" s="8" t="n">
        <v>0</v>
      </c>
      <c r="AZ402" s="8" t="n">
        <v>1</v>
      </c>
      <c r="BA402" s="8" t="n">
        <v>0</v>
      </c>
      <c r="BB402" s="8" t="n">
        <v>0</v>
      </c>
      <c r="BC402" s="8" t="n">
        <v>628</v>
      </c>
      <c r="BD402" s="8" t="n">
        <v>0</v>
      </c>
      <c r="BE402" s="8" t="n">
        <v>0</v>
      </c>
      <c r="BF402" s="8" t="n">
        <v>0</v>
      </c>
      <c r="BG402" s="10" t="s">
        <v>3261</v>
      </c>
      <c r="BH402" s="9" t="s">
        <v>3262</v>
      </c>
    </row>
    <row r="403" customFormat="false" ht="15" hidden="false" customHeight="false" outlineLevel="0" collapsed="false">
      <c r="A403" s="8" t="s">
        <v>3263</v>
      </c>
      <c r="B403" s="8" t="s">
        <v>3249</v>
      </c>
      <c r="C403" s="8" t="n">
        <v>2</v>
      </c>
      <c r="D403" s="8" t="n">
        <v>1932</v>
      </c>
      <c r="E403" s="8" t="n">
        <v>1935</v>
      </c>
      <c r="F403" s="8" t="str">
        <f aca="false">IF(D403="","?",IF(D403&lt;1796,"pre-1796",IF(D403&lt;1912,"1796-1911",IF(D403&lt;1949,"1912-1948","1949+"))))</f>
        <v>1912-1948</v>
      </c>
      <c r="G403" s="8" t="str">
        <f aca="false">IF(D403="","?",IF(D403&lt;1912,"Qing",IF(D403&lt;1949,"Republic","PRC")))</f>
        <v>Republic</v>
      </c>
      <c r="H403" s="8" t="s">
        <v>3250</v>
      </c>
      <c r="I403" s="9" t="s">
        <v>128</v>
      </c>
      <c r="J403" s="9" t="s">
        <v>223</v>
      </c>
      <c r="K403" s="8" t="s">
        <v>130</v>
      </c>
      <c r="L403" s="8"/>
      <c r="M403" s="9" t="s">
        <v>3251</v>
      </c>
      <c r="N403" s="9" t="s">
        <v>3234</v>
      </c>
      <c r="O403" s="8" t="s">
        <v>3252</v>
      </c>
      <c r="P403" s="8" t="s">
        <v>97</v>
      </c>
      <c r="Q403" s="9" t="s">
        <v>2904</v>
      </c>
      <c r="R403" s="9" t="s">
        <v>3264</v>
      </c>
      <c r="S403" s="8"/>
      <c r="T403" s="8"/>
      <c r="U403" s="9" t="s">
        <v>3265</v>
      </c>
      <c r="V403" s="9" t="s">
        <v>229</v>
      </c>
      <c r="W403" s="9" t="s">
        <v>3266</v>
      </c>
      <c r="X403" s="9" t="s">
        <v>3267</v>
      </c>
      <c r="Y403" s="9" t="s">
        <v>3258</v>
      </c>
      <c r="Z403" s="8"/>
      <c r="AA403" s="8"/>
      <c r="AB403" s="8"/>
      <c r="AC403" s="8"/>
      <c r="AD403" s="8"/>
      <c r="AE403" s="9" t="s">
        <v>3268</v>
      </c>
      <c r="AF403" s="9" t="s">
        <v>378</v>
      </c>
      <c r="AG403" s="8"/>
      <c r="AH403" s="9" t="s">
        <v>3269</v>
      </c>
      <c r="AI403" s="8" t="n">
        <v>1</v>
      </c>
      <c r="AJ403" s="8" t="n">
        <v>1</v>
      </c>
      <c r="AK403" s="8" t="n">
        <v>1</v>
      </c>
      <c r="AL403" s="8" t="n">
        <v>0</v>
      </c>
      <c r="AM403" s="8" t="n">
        <v>1</v>
      </c>
      <c r="AN403" s="8" t="n">
        <v>1</v>
      </c>
      <c r="AO403" s="8" t="n">
        <v>1</v>
      </c>
      <c r="AP403" s="8" t="n">
        <v>0</v>
      </c>
      <c r="AQ403" s="8" t="n">
        <v>1</v>
      </c>
      <c r="AR403" s="8" t="n">
        <v>0</v>
      </c>
      <c r="AS403" s="8" t="n">
        <v>1</v>
      </c>
      <c r="AT403" s="8" t="n">
        <v>0</v>
      </c>
      <c r="AU403" s="8" t="n">
        <v>0</v>
      </c>
      <c r="AV403" s="8" t="n">
        <v>0</v>
      </c>
      <c r="AW403" s="8" t="n">
        <v>1</v>
      </c>
      <c r="AX403" s="8" t="n">
        <v>0</v>
      </c>
      <c r="AY403" s="8" t="n">
        <v>1</v>
      </c>
      <c r="AZ403" s="8" t="n">
        <v>1</v>
      </c>
      <c r="BA403" s="8" t="n">
        <v>0</v>
      </c>
      <c r="BB403" s="8" t="n">
        <v>0</v>
      </c>
      <c r="BC403" s="8" t="n">
        <v>505</v>
      </c>
      <c r="BD403" s="8" t="n">
        <v>0</v>
      </c>
      <c r="BE403" s="8" t="n">
        <v>0</v>
      </c>
      <c r="BF403" s="8" t="n">
        <v>0</v>
      </c>
      <c r="BG403" s="10" t="s">
        <v>3261</v>
      </c>
      <c r="BH403" s="9" t="s">
        <v>3270</v>
      </c>
    </row>
    <row r="404" customFormat="false" ht="15" hidden="false" customHeight="false" outlineLevel="0" collapsed="false">
      <c r="A404" s="8" t="s">
        <v>3271</v>
      </c>
      <c r="B404" s="8" t="s">
        <v>3272</v>
      </c>
      <c r="C404" s="8" t="n">
        <v>1</v>
      </c>
      <c r="D404" s="8" t="n">
        <v>1935</v>
      </c>
      <c r="E404" s="8" t="n">
        <v>1935</v>
      </c>
      <c r="F404" s="8" t="str">
        <f aca="false">IF(D404="","?",IF(D404&lt;1796,"pre-1796",IF(D404&lt;1912,"1796-1911",IF(D404&lt;1949,"1912-1948","1949+"))))</f>
        <v>1912-1948</v>
      </c>
      <c r="G404" s="8" t="str">
        <f aca="false">IF(D404="","?",IF(D404&lt;1912,"Qing",IF(D404&lt;1949,"Republic","PRC")))</f>
        <v>Republic</v>
      </c>
      <c r="H404" s="8" t="s">
        <v>1490</v>
      </c>
      <c r="I404" s="9" t="s">
        <v>296</v>
      </c>
      <c r="J404" s="9" t="s">
        <v>297</v>
      </c>
      <c r="K404" s="8" t="s">
        <v>84</v>
      </c>
      <c r="L404" s="8"/>
      <c r="M404" s="9" t="s">
        <v>3273</v>
      </c>
      <c r="N404" s="9" t="s">
        <v>3274</v>
      </c>
      <c r="O404" s="8" t="s">
        <v>3275</v>
      </c>
      <c r="P404" s="8" t="s">
        <v>87</v>
      </c>
      <c r="Q404" s="8"/>
      <c r="R404" s="8"/>
      <c r="S404" s="8"/>
      <c r="T404" s="8"/>
      <c r="U404" s="8"/>
      <c r="V404" s="8"/>
      <c r="W404" s="8"/>
      <c r="X404" s="8"/>
      <c r="Y404" s="8"/>
      <c r="Z404" s="8"/>
      <c r="AA404" s="8"/>
      <c r="AB404" s="8"/>
      <c r="AC404" s="8"/>
      <c r="AD404" s="8"/>
      <c r="AE404" s="8"/>
      <c r="AF404" s="8"/>
      <c r="AG404" s="8"/>
      <c r="AH404" s="8"/>
      <c r="AI404" s="8" t="n">
        <v>0</v>
      </c>
      <c r="AJ404" s="8" t="n">
        <v>0</v>
      </c>
      <c r="AK404" s="8" t="n">
        <v>0</v>
      </c>
      <c r="AL404" s="8" t="n">
        <v>0</v>
      </c>
      <c r="AM404" s="8" t="n">
        <v>0</v>
      </c>
      <c r="AN404" s="8" t="n">
        <v>0</v>
      </c>
      <c r="AO404" s="8" t="n">
        <v>0</v>
      </c>
      <c r="AP404" s="8" t="n">
        <v>0</v>
      </c>
      <c r="AQ404" s="8" t="n">
        <v>0</v>
      </c>
      <c r="AR404" s="8" t="n">
        <v>0</v>
      </c>
      <c r="AS404" s="8" t="n">
        <v>0</v>
      </c>
      <c r="AT404" s="8" t="n">
        <v>0</v>
      </c>
      <c r="AU404" s="8" t="n">
        <v>0</v>
      </c>
      <c r="AV404" s="8" t="n">
        <v>0</v>
      </c>
      <c r="AW404" s="8" t="n">
        <v>0</v>
      </c>
      <c r="AX404" s="8" t="n">
        <v>0</v>
      </c>
      <c r="AY404" s="8" t="n">
        <v>0</v>
      </c>
      <c r="AZ404" s="8" t="n">
        <v>0</v>
      </c>
      <c r="BA404" s="8" t="n">
        <v>0</v>
      </c>
      <c r="BB404" s="8" t="n">
        <v>0</v>
      </c>
      <c r="BC404" s="8" t="n">
        <v>0</v>
      </c>
      <c r="BD404" s="8" t="n">
        <v>0</v>
      </c>
      <c r="BE404" s="8" t="n">
        <v>0</v>
      </c>
      <c r="BF404" s="8" t="n">
        <v>0</v>
      </c>
      <c r="BG404" s="10" t="s">
        <v>3276</v>
      </c>
      <c r="BH404" s="8"/>
    </row>
    <row r="405" customFormat="false" ht="15" hidden="false" customHeight="false" outlineLevel="0" collapsed="false">
      <c r="A405" s="8" t="s">
        <v>3277</v>
      </c>
      <c r="B405" s="8" t="s">
        <v>3278</v>
      </c>
      <c r="C405" s="8" t="n">
        <v>1</v>
      </c>
      <c r="D405" s="8" t="n">
        <v>1948</v>
      </c>
      <c r="E405" s="8" t="n">
        <v>1948</v>
      </c>
      <c r="F405" s="8" t="str">
        <f aca="false">IF(D405="","?",IF(D405&lt;1796,"pre-1796",IF(D405&lt;1912,"1796-1911",IF(D405&lt;1949,"1912-1948","1949+"))))</f>
        <v>1912-1948</v>
      </c>
      <c r="G405" s="8" t="str">
        <f aca="false">IF(D405="","?",IF(D405&lt;1912,"Qing",IF(D405&lt;1949,"Republic","PRC")))</f>
        <v>Republic</v>
      </c>
      <c r="H405" s="8" t="s">
        <v>3279</v>
      </c>
      <c r="I405" s="8"/>
      <c r="J405" s="9" t="s">
        <v>3280</v>
      </c>
      <c r="K405" s="8"/>
      <c r="L405" s="9" t="s">
        <v>3281</v>
      </c>
      <c r="M405" s="8"/>
      <c r="N405" s="8"/>
      <c r="O405" s="8" t="s">
        <v>3282</v>
      </c>
      <c r="P405" s="8" t="s">
        <v>87</v>
      </c>
      <c r="Q405" s="8"/>
      <c r="R405" s="8"/>
      <c r="S405" s="8"/>
      <c r="T405" s="8"/>
      <c r="U405" s="8"/>
      <c r="V405" s="8"/>
      <c r="W405" s="8"/>
      <c r="X405" s="8"/>
      <c r="Y405" s="8"/>
      <c r="Z405" s="8"/>
      <c r="AA405" s="8"/>
      <c r="AB405" s="8"/>
      <c r="AC405" s="8"/>
      <c r="AD405" s="8"/>
      <c r="AE405" s="9" t="s">
        <v>3283</v>
      </c>
      <c r="AF405" s="8"/>
      <c r="AG405" s="8"/>
      <c r="AH405" s="8"/>
      <c r="AI405" s="8" t="n">
        <v>0</v>
      </c>
      <c r="AJ405" s="8" t="n">
        <v>0</v>
      </c>
      <c r="AK405" s="8" t="n">
        <v>0</v>
      </c>
      <c r="AL405" s="8" t="n">
        <v>0</v>
      </c>
      <c r="AM405" s="8" t="n">
        <v>1</v>
      </c>
      <c r="AN405" s="8" t="n">
        <v>0</v>
      </c>
      <c r="AO405" s="8" t="n">
        <v>0</v>
      </c>
      <c r="AP405" s="8" t="n">
        <v>0</v>
      </c>
      <c r="AQ405" s="8" t="n">
        <v>0</v>
      </c>
      <c r="AR405" s="8" t="n">
        <v>0</v>
      </c>
      <c r="AS405" s="8" t="n">
        <v>0</v>
      </c>
      <c r="AT405" s="8" t="n">
        <v>0</v>
      </c>
      <c r="AU405" s="8" t="n">
        <v>0</v>
      </c>
      <c r="AV405" s="8" t="n">
        <v>0</v>
      </c>
      <c r="AW405" s="8" t="n">
        <v>0</v>
      </c>
      <c r="AX405" s="8" t="n">
        <v>0</v>
      </c>
      <c r="AY405" s="8" t="n">
        <v>0</v>
      </c>
      <c r="AZ405" s="8" t="n">
        <v>0</v>
      </c>
      <c r="BA405" s="8" t="n">
        <v>0</v>
      </c>
      <c r="BB405" s="8" t="n">
        <v>0</v>
      </c>
      <c r="BC405" s="8" t="n">
        <v>118</v>
      </c>
      <c r="BD405" s="8" t="n">
        <v>0</v>
      </c>
      <c r="BE405" s="8" t="n">
        <v>0</v>
      </c>
      <c r="BF405" s="8" t="n">
        <v>0</v>
      </c>
      <c r="BG405" s="10" t="s">
        <v>3284</v>
      </c>
      <c r="BH405" s="9" t="s">
        <v>3285</v>
      </c>
    </row>
    <row r="406" customFormat="false" ht="15" hidden="false" customHeight="false" outlineLevel="0" collapsed="false">
      <c r="A406" s="8" t="s">
        <v>3286</v>
      </c>
      <c r="B406" s="8" t="s">
        <v>3278</v>
      </c>
      <c r="C406" s="8" t="n">
        <v>2</v>
      </c>
      <c r="D406" s="8" t="n">
        <v>1948</v>
      </c>
      <c r="E406" s="8" t="n">
        <v>1948</v>
      </c>
      <c r="F406" s="8" t="str">
        <f aca="false">IF(D406="","?",IF(D406&lt;1796,"pre-1796",IF(D406&lt;1912,"1796-1911",IF(D406&lt;1949,"1912-1948","1949+"))))</f>
        <v>1912-1948</v>
      </c>
      <c r="G406" s="8" t="str">
        <f aca="false">IF(D406="","?",IF(D406&lt;1912,"Qing",IF(D406&lt;1949,"Republic","PRC")))</f>
        <v>Republic</v>
      </c>
      <c r="H406" s="8" t="s">
        <v>3279</v>
      </c>
      <c r="I406" s="8"/>
      <c r="J406" s="9" t="s">
        <v>3280</v>
      </c>
      <c r="K406" s="8"/>
      <c r="L406" s="9" t="s">
        <v>3281</v>
      </c>
      <c r="M406" s="8"/>
      <c r="N406" s="8"/>
      <c r="O406" s="8" t="s">
        <v>3282</v>
      </c>
      <c r="P406" s="8" t="s">
        <v>87</v>
      </c>
      <c r="Q406" s="8"/>
      <c r="R406" s="8"/>
      <c r="S406" s="8"/>
      <c r="T406" s="8"/>
      <c r="U406" s="8"/>
      <c r="V406" s="8"/>
      <c r="W406" s="8"/>
      <c r="X406" s="8"/>
      <c r="Y406" s="8"/>
      <c r="Z406" s="8"/>
      <c r="AA406" s="8"/>
      <c r="AB406" s="8"/>
      <c r="AC406" s="8"/>
      <c r="AD406" s="8"/>
      <c r="AE406" s="9" t="s">
        <v>3287</v>
      </c>
      <c r="AF406" s="8"/>
      <c r="AG406" s="8"/>
      <c r="AH406" s="8"/>
      <c r="AI406" s="8" t="n">
        <v>0</v>
      </c>
      <c r="AJ406" s="8" t="n">
        <v>0</v>
      </c>
      <c r="AK406" s="8" t="n">
        <v>0</v>
      </c>
      <c r="AL406" s="8" t="n">
        <v>0</v>
      </c>
      <c r="AM406" s="8" t="n">
        <v>0</v>
      </c>
      <c r="AN406" s="8" t="n">
        <v>0</v>
      </c>
      <c r="AO406" s="8" t="n">
        <v>0</v>
      </c>
      <c r="AP406" s="8" t="n">
        <v>0</v>
      </c>
      <c r="AQ406" s="8" t="n">
        <v>0</v>
      </c>
      <c r="AR406" s="8" t="n">
        <v>0</v>
      </c>
      <c r="AS406" s="8" t="n">
        <v>1</v>
      </c>
      <c r="AT406" s="8" t="n">
        <v>0</v>
      </c>
      <c r="AU406" s="8" t="n">
        <v>0</v>
      </c>
      <c r="AV406" s="8" t="n">
        <v>0</v>
      </c>
      <c r="AW406" s="8" t="n">
        <v>0</v>
      </c>
      <c r="AX406" s="8" t="n">
        <v>0</v>
      </c>
      <c r="AY406" s="8" t="n">
        <v>0</v>
      </c>
      <c r="AZ406" s="8" t="n">
        <v>0</v>
      </c>
      <c r="BA406" s="8" t="n">
        <v>0</v>
      </c>
      <c r="BB406" s="8" t="n">
        <v>0</v>
      </c>
      <c r="BC406" s="8" t="n">
        <v>242</v>
      </c>
      <c r="BD406" s="8" t="n">
        <v>0</v>
      </c>
      <c r="BE406" s="8" t="n">
        <v>0</v>
      </c>
      <c r="BF406" s="8" t="n">
        <v>0</v>
      </c>
      <c r="BG406" s="10" t="s">
        <v>3284</v>
      </c>
      <c r="BH406" s="9" t="s">
        <v>3288</v>
      </c>
    </row>
    <row r="407" customFormat="false" ht="15" hidden="false" customHeight="false" outlineLevel="0" collapsed="false">
      <c r="A407" s="8" t="s">
        <v>3289</v>
      </c>
      <c r="B407" s="8" t="s">
        <v>3278</v>
      </c>
      <c r="C407" s="8" t="n">
        <v>3</v>
      </c>
      <c r="D407" s="8" t="n">
        <v>1948</v>
      </c>
      <c r="E407" s="8" t="n">
        <v>1948</v>
      </c>
      <c r="F407" s="8" t="str">
        <f aca="false">IF(D407="","?",IF(D407&lt;1796,"pre-1796",IF(D407&lt;1912,"1796-1911",IF(D407&lt;1949,"1912-1948","1949+"))))</f>
        <v>1912-1948</v>
      </c>
      <c r="G407" s="8" t="str">
        <f aca="false">IF(D407="","?",IF(D407&lt;1912,"Qing",IF(D407&lt;1949,"Republic","PRC")))</f>
        <v>Republic</v>
      </c>
      <c r="H407" s="8" t="s">
        <v>3279</v>
      </c>
      <c r="I407" s="8"/>
      <c r="J407" s="9" t="s">
        <v>3280</v>
      </c>
      <c r="K407" s="8"/>
      <c r="L407" s="9" t="s">
        <v>3281</v>
      </c>
      <c r="M407" s="8"/>
      <c r="N407" s="8"/>
      <c r="O407" s="8" t="s">
        <v>3282</v>
      </c>
      <c r="P407" s="8" t="s">
        <v>87</v>
      </c>
      <c r="Q407" s="8"/>
      <c r="R407" s="8"/>
      <c r="S407" s="8"/>
      <c r="T407" s="8"/>
      <c r="U407" s="8"/>
      <c r="V407" s="8"/>
      <c r="W407" s="8"/>
      <c r="X407" s="8"/>
      <c r="Y407" s="8"/>
      <c r="Z407" s="8"/>
      <c r="AA407" s="8"/>
      <c r="AB407" s="8"/>
      <c r="AC407" s="8"/>
      <c r="AD407" s="8"/>
      <c r="AE407" s="8"/>
      <c r="AF407" s="8"/>
      <c r="AG407" s="8"/>
      <c r="AH407" s="8"/>
      <c r="AI407" s="8" t="n">
        <v>0</v>
      </c>
      <c r="AJ407" s="8" t="n">
        <v>0</v>
      </c>
      <c r="AK407" s="8" t="n">
        <v>0</v>
      </c>
      <c r="AL407" s="8" t="n">
        <v>0</v>
      </c>
      <c r="AM407" s="8" t="n">
        <v>0</v>
      </c>
      <c r="AN407" s="8" t="n">
        <v>0</v>
      </c>
      <c r="AO407" s="8" t="n">
        <v>0</v>
      </c>
      <c r="AP407" s="8" t="n">
        <v>0</v>
      </c>
      <c r="AQ407" s="8" t="n">
        <v>0</v>
      </c>
      <c r="AR407" s="8" t="n">
        <v>0</v>
      </c>
      <c r="AS407" s="8" t="n">
        <v>0</v>
      </c>
      <c r="AT407" s="8" t="n">
        <v>0</v>
      </c>
      <c r="AU407" s="8" t="n">
        <v>0</v>
      </c>
      <c r="AV407" s="8" t="n">
        <v>0</v>
      </c>
      <c r="AW407" s="8" t="n">
        <v>0</v>
      </c>
      <c r="AX407" s="8" t="n">
        <v>0</v>
      </c>
      <c r="AY407" s="8" t="n">
        <v>0</v>
      </c>
      <c r="AZ407" s="8" t="n">
        <v>0</v>
      </c>
      <c r="BA407" s="8" t="n">
        <v>0</v>
      </c>
      <c r="BB407" s="8" t="n">
        <v>0</v>
      </c>
      <c r="BC407" s="8" t="n">
        <v>60</v>
      </c>
      <c r="BD407" s="8" t="n">
        <v>0</v>
      </c>
      <c r="BE407" s="8" t="n">
        <v>0</v>
      </c>
      <c r="BF407" s="8" t="n">
        <v>0</v>
      </c>
      <c r="BG407" s="10" t="s">
        <v>3284</v>
      </c>
      <c r="BH407" s="9" t="s">
        <v>3290</v>
      </c>
    </row>
    <row r="408" customFormat="false" ht="15" hidden="false" customHeight="false" outlineLevel="0" collapsed="false">
      <c r="A408" s="8" t="s">
        <v>3291</v>
      </c>
      <c r="B408" s="8" t="s">
        <v>3292</v>
      </c>
      <c r="C408" s="8" t="n">
        <v>1</v>
      </c>
      <c r="D408" s="8" t="n">
        <v>1951</v>
      </c>
      <c r="E408" s="8" t="n">
        <v>1951</v>
      </c>
      <c r="F408" s="8" t="str">
        <f aca="false">IF(D408="","?",IF(D408&lt;1796,"pre-1796",IF(D408&lt;1912,"1796-1911",IF(D408&lt;1949,"1912-1948","1949+"))))</f>
        <v>1949+</v>
      </c>
      <c r="G408" s="8" t="str">
        <f aca="false">IF(D408="","?",IF(D408&lt;1912,"Qing",IF(D408&lt;1949,"Republic","PRC")))</f>
        <v>PRC</v>
      </c>
      <c r="H408" s="8" t="s">
        <v>2247</v>
      </c>
      <c r="I408" s="9" t="s">
        <v>128</v>
      </c>
      <c r="J408" s="9" t="s">
        <v>223</v>
      </c>
      <c r="K408" s="8" t="s">
        <v>130</v>
      </c>
      <c r="L408" s="8"/>
      <c r="M408" s="9" t="s">
        <v>3293</v>
      </c>
      <c r="N408" s="9" t="s">
        <v>3294</v>
      </c>
      <c r="O408" s="8" t="s">
        <v>3295</v>
      </c>
      <c r="P408" s="8" t="s">
        <v>114</v>
      </c>
      <c r="Q408" s="9" t="s">
        <v>3296</v>
      </c>
      <c r="R408" s="9" t="s">
        <v>3297</v>
      </c>
      <c r="S408" s="9" t="s">
        <v>3298</v>
      </c>
      <c r="T408" s="8"/>
      <c r="U408" s="8"/>
      <c r="V408" s="8"/>
      <c r="W408" s="9" t="s">
        <v>3299</v>
      </c>
      <c r="X408" s="8"/>
      <c r="Y408" s="9" t="s">
        <v>214</v>
      </c>
      <c r="Z408" s="8"/>
      <c r="AA408" s="8"/>
      <c r="AB408" s="8"/>
      <c r="AC408" s="8"/>
      <c r="AD408" s="8"/>
      <c r="AE408" s="8"/>
      <c r="AF408" s="8"/>
      <c r="AG408" s="8"/>
      <c r="AH408" s="8"/>
      <c r="AI408" s="8" t="n">
        <v>0</v>
      </c>
      <c r="AJ408" s="8" t="n">
        <v>0</v>
      </c>
      <c r="AK408" s="8" t="n">
        <v>0</v>
      </c>
      <c r="AL408" s="8" t="n">
        <v>0</v>
      </c>
      <c r="AM408" s="8" t="n">
        <v>0</v>
      </c>
      <c r="AN408" s="8" t="n">
        <v>0</v>
      </c>
      <c r="AO408" s="8" t="n">
        <v>0</v>
      </c>
      <c r="AP408" s="8" t="n">
        <v>0</v>
      </c>
      <c r="AQ408" s="8" t="n">
        <v>0</v>
      </c>
      <c r="AR408" s="8" t="n">
        <v>0</v>
      </c>
      <c r="AS408" s="8" t="n">
        <v>1</v>
      </c>
      <c r="AT408" s="8" t="n">
        <v>0</v>
      </c>
      <c r="AU408" s="8" t="n">
        <v>0</v>
      </c>
      <c r="AV408" s="8" t="n">
        <v>0</v>
      </c>
      <c r="AW408" s="8" t="n">
        <v>0</v>
      </c>
      <c r="AX408" s="8" t="n">
        <v>0</v>
      </c>
      <c r="AY408" s="8" t="n">
        <v>0</v>
      </c>
      <c r="AZ408" s="8" t="n">
        <v>0</v>
      </c>
      <c r="BA408" s="8" t="n">
        <v>0</v>
      </c>
      <c r="BB408" s="8" t="n">
        <v>0</v>
      </c>
      <c r="BC408" s="8" t="n">
        <v>277</v>
      </c>
      <c r="BD408" s="8" t="n">
        <v>1</v>
      </c>
      <c r="BE408" s="8" t="n">
        <v>0</v>
      </c>
      <c r="BF408" s="8" t="n">
        <v>0</v>
      </c>
      <c r="BG408" s="10" t="s">
        <v>3300</v>
      </c>
      <c r="BH408" s="9" t="s">
        <v>3301</v>
      </c>
    </row>
  </sheetData>
  <autoFilter ref="A1:BH408"/>
  <hyperlinks>
    <hyperlink ref="BG2" r:id="rId1" display="https://digital.library.pitt.edu/islandora/object/pitt:31735064607413"/>
    <hyperlink ref="BG3" r:id="rId2" display="https://digital.library.pitt.edu/islandora/object/pitt:31735064607421"/>
    <hyperlink ref="BG4" r:id="rId3" display="https://digital.library.pitt.edu/islandora/object/pitt:31735064607439"/>
    <hyperlink ref="BG5" r:id="rId4" display="https://digital.library.pitt.edu/islandora/object/pitt:31735064607447"/>
    <hyperlink ref="BG6" r:id="rId5" display="https://digital.library.pitt.edu/islandora/object/pitt:31735064607454"/>
    <hyperlink ref="BG7" r:id="rId6" display="https://digital.library.pitt.edu/islandora/object/pitt:31735064607462"/>
    <hyperlink ref="BG8" r:id="rId7" display="https://digital.library.pitt.edu/islandora/object/pitt:31735064607470"/>
    <hyperlink ref="BG9" r:id="rId8" display="https://digital.library.pitt.edu/islandora/object/pitt:31735064607488"/>
    <hyperlink ref="BG10" r:id="rId9" display="https://digital.library.pitt.edu/islandora/object/pitt:31735064607496"/>
    <hyperlink ref="BG11" r:id="rId10" display="https://digital.library.pitt.edu/islandora/object/pitt:31735064607504"/>
    <hyperlink ref="BG12" r:id="rId11" display="https://digital.library.pitt.edu/islandora/object/pitt:31735064607512"/>
    <hyperlink ref="BG13" r:id="rId12" display="https://digital.library.pitt.edu/islandora/object/pitt:31735064607512"/>
    <hyperlink ref="BG14" r:id="rId13" display="https://digital.library.pitt.edu/islandora/object/pitt:31735064607520"/>
    <hyperlink ref="BG15" r:id="rId14" display="https://digital.library.pitt.edu/islandora/object/pitt:31735064607538"/>
    <hyperlink ref="BG16" r:id="rId15" display="https://digital.library.pitt.edu/islandora/object/pitt:31735064607538"/>
    <hyperlink ref="BG17" r:id="rId16" display="https://digital.library.pitt.edu/islandora/object/pitt:31735064607546"/>
    <hyperlink ref="BG18" r:id="rId17" display="https://digital.library.pitt.edu/islandora/object/pitt:31735064607546"/>
    <hyperlink ref="BG19" r:id="rId18" display="https://digital.library.pitt.edu/islandora/object/pitt:31735064607553"/>
    <hyperlink ref="BG20" r:id="rId19" display="https://digital.library.pitt.edu/islandora/object/pitt:31735064607561"/>
    <hyperlink ref="BG21" r:id="rId20" display="https://digital.library.pitt.edu/islandora/object/pitt:31735064607579"/>
    <hyperlink ref="BG22" r:id="rId21" display="https://digital.library.pitt.edu/islandora/object/pitt:31735064607579"/>
    <hyperlink ref="BG23" r:id="rId22" display="https://digital.library.pitt.edu/islandora/object/pitt:31735064607587"/>
    <hyperlink ref="BG24" r:id="rId23" display="https://digital.library.pitt.edu/islandora/object/pitt:31735064607587"/>
    <hyperlink ref="BG25" r:id="rId24" display="https://digital.library.pitt.edu/islandora/object/pitt:31735064607587"/>
    <hyperlink ref="BG26" r:id="rId25" display="https://digital.library.pitt.edu/islandora/object/pitt:31735064607587"/>
    <hyperlink ref="BG27" r:id="rId26" display="https://digital.library.pitt.edu/islandora/object/pitt:31735064607595"/>
    <hyperlink ref="BG28" r:id="rId27" display="https://digital.library.pitt.edu/islandora/object/pitt:31735064607595"/>
    <hyperlink ref="BG29" r:id="rId28" display="https://digital.library.pitt.edu/islandora/object/pitt:31735064607603"/>
    <hyperlink ref="BG30" r:id="rId29" display="https://digital.library.pitt.edu/islandora/object/pitt:31735064607611"/>
    <hyperlink ref="BG31" r:id="rId30" display="https://digital.library.pitt.edu/islandora/object/pitt:31735064607611"/>
    <hyperlink ref="BG32" r:id="rId31" display="https://digital.library.pitt.edu/islandora/object/pitt:31735064607629"/>
    <hyperlink ref="BG33" r:id="rId32" display="https://digital.library.pitt.edu/islandora/object/pitt:31735064607637"/>
    <hyperlink ref="BG34" r:id="rId33" display="https://digital.library.pitt.edu/islandora/object/pitt:31735064607637"/>
    <hyperlink ref="BG35" r:id="rId34" display="https://digital.library.pitt.edu/islandora/object/pitt:31735064607637"/>
    <hyperlink ref="BG36" r:id="rId35" display="https://digital.library.pitt.edu/islandora/object/pitt:31735064607645"/>
    <hyperlink ref="BG37" r:id="rId36" display="https://digital.library.pitt.edu/islandora/object/pitt:31735064607645"/>
    <hyperlink ref="BG38" r:id="rId37" display="https://digital.library.pitt.edu/islandora/object/pitt:31735064607645"/>
    <hyperlink ref="BG39" r:id="rId38" display="https://digital.library.pitt.edu/islandora/object/pitt:31735064607645"/>
    <hyperlink ref="BG40" r:id="rId39" display="https://digital.library.pitt.edu/islandora/object/pitt:31735064607645"/>
    <hyperlink ref="BG41" r:id="rId40" display="https://digital.library.pitt.edu/islandora/object/pitt:31735064607645"/>
    <hyperlink ref="BG42" r:id="rId41" display="https://digital.library.pitt.edu/islandora/object/pitt:31735064607645"/>
    <hyperlink ref="BG43" r:id="rId42" display="https://digital.library.pitt.edu/islandora/object/pitt:31735064607645"/>
    <hyperlink ref="BG44" r:id="rId43" display="https://digital.library.pitt.edu/islandora/object/pitt:31735064607645"/>
    <hyperlink ref="BG45" r:id="rId44" display="https://digital.library.pitt.edu/islandora/object/pitt:31735064607645"/>
    <hyperlink ref="BG46" r:id="rId45" display="https://digital.library.pitt.edu/islandora/object/pitt:31735064607652"/>
    <hyperlink ref="BG47" r:id="rId46" display="https://digital.library.pitt.edu/islandora/object/pitt:31735064607660"/>
    <hyperlink ref="BG48" r:id="rId47" display="https://digital.library.pitt.edu/islandora/object/pitt:31735064607678"/>
    <hyperlink ref="BG49" r:id="rId48" display="https://digital.library.pitt.edu/islandora/object/pitt:31735064607686"/>
    <hyperlink ref="BG50" r:id="rId49" display="https://digital.library.pitt.edu/islandora/object/pitt:31735064607694"/>
    <hyperlink ref="BG51" r:id="rId50" display="https://digital.library.pitt.edu/islandora/object/pitt:31735064607702"/>
    <hyperlink ref="BG52" r:id="rId51" display="https://digital.library.pitt.edu/islandora/object/pitt:31735064607710"/>
    <hyperlink ref="BG53" r:id="rId52" display="https://digital.library.pitt.edu/islandora/object/pitt:31735064607728"/>
    <hyperlink ref="BG54" r:id="rId53" display="https://digital.library.pitt.edu/islandora/object/pitt:31735064607736"/>
    <hyperlink ref="BG55" r:id="rId54" display="https://digital.library.pitt.edu/islandora/object/pitt:31735064607744"/>
    <hyperlink ref="BG56" r:id="rId55" display="https://digital.library.pitt.edu/islandora/object/pitt:31735064607751"/>
    <hyperlink ref="BG57" r:id="rId56" display="https://digital.library.pitt.edu/islandora/object/pitt:31735064607769"/>
    <hyperlink ref="BG58" r:id="rId57" display="https://digital.library.pitt.edu/islandora/object/pitt:31735064607777"/>
    <hyperlink ref="BG59" r:id="rId58" display="https://digital.library.pitt.edu/islandora/object/pitt:31735064607785"/>
    <hyperlink ref="BG60" r:id="rId59" display="https://digital.library.pitt.edu/islandora/object/pitt:31735064607793"/>
    <hyperlink ref="BG61" r:id="rId60" display="https://digital.library.pitt.edu/islandora/object/pitt:31735064607801"/>
    <hyperlink ref="BG62" r:id="rId61" display="https://digital.library.pitt.edu/islandora/object/pitt:31735064607819"/>
    <hyperlink ref="BG63" r:id="rId62" display="https://digital.library.pitt.edu/islandora/object/pitt:31735064607827"/>
    <hyperlink ref="BG64" r:id="rId63" display="https://digital.library.pitt.edu/islandora/object/pitt:31735064607835"/>
    <hyperlink ref="BG65" r:id="rId64" display="https://digital.library.pitt.edu/islandora/object/pitt:31735064607835"/>
    <hyperlink ref="BG66" r:id="rId65" display="https://digital.library.pitt.edu/islandora/object/pitt:31735064607843"/>
    <hyperlink ref="BG67" r:id="rId66" display="https://digital.library.pitt.edu/islandora/object/pitt:31735064607850"/>
    <hyperlink ref="BG68" r:id="rId67" display="https://digital.library.pitt.edu/islandora/object/pitt:31735064607868"/>
    <hyperlink ref="BG69" r:id="rId68" display="https://digital.library.pitt.edu/islandora/object/pitt:31735064607876"/>
    <hyperlink ref="BG70" r:id="rId69" display="https://digital.library.pitt.edu/islandora/object/pitt:31735064607884"/>
    <hyperlink ref="BG71" r:id="rId70" display="https://digital.library.pitt.edu/islandora/object/pitt:31735066237334"/>
    <hyperlink ref="BG72" r:id="rId71" display="https://digital.library.pitt.edu/islandora/object/pitt:31735066237334"/>
    <hyperlink ref="BG73" r:id="rId72" display="https://digital.library.pitt.edu/islandora/object/pitt:31735066237342"/>
    <hyperlink ref="BG74" r:id="rId73" display="https://digital.library.pitt.edu/islandora/object/pitt:31735066237342"/>
    <hyperlink ref="BG75" r:id="rId74" display="https://digital.library.pitt.edu/islandora/object/pitt:31735066237359"/>
    <hyperlink ref="BG76" r:id="rId75" display="https://digital.library.pitt.edu/islandora/object/pitt:31735066237359"/>
    <hyperlink ref="BG77" r:id="rId76" display="https://digital.library.pitt.edu/islandora/object/pitt:31735066237367"/>
    <hyperlink ref="BG78" r:id="rId77" display="https://digital.library.pitt.edu/islandora/object/pitt:31735066237375"/>
    <hyperlink ref="BG79" r:id="rId78" display="https://digital.library.pitt.edu/islandora/object/pitt:31735066237383"/>
    <hyperlink ref="BG80" r:id="rId79" display="https://digital.library.pitt.edu/islandora/object/pitt:31735066237391"/>
    <hyperlink ref="BG81" r:id="rId80" display="https://digital.library.pitt.edu/islandora/object/pitt:31735066237391"/>
    <hyperlink ref="BG82" r:id="rId81" display="https://digital.library.pitt.edu/islandora/object/pitt:31735066237409"/>
    <hyperlink ref="BG83" r:id="rId82" display="https://digital.library.pitt.edu/islandora/object/pitt:31735066237417"/>
    <hyperlink ref="BG84" r:id="rId83" display="https://digital.library.pitt.edu/islandora/object/pitt:31735066237425"/>
    <hyperlink ref="BG85" r:id="rId84" display="https://digital.library.pitt.edu/islandora/object/pitt:31735066237433"/>
    <hyperlink ref="BG86" r:id="rId85" display="https://digital.library.pitt.edu/islandora/object/pitt:31735066237433"/>
    <hyperlink ref="BG87" r:id="rId86" display="https://digital.library.pitt.edu/islandora/object/pitt:31735066237441"/>
    <hyperlink ref="BG88" r:id="rId87" display="https://digital.library.pitt.edu/islandora/object/pitt:31735066237458"/>
    <hyperlink ref="BG89" r:id="rId88" display="https://digital.library.pitt.edu/islandora/object/pitt:31735066237458"/>
    <hyperlink ref="BG90" r:id="rId89" display="https://digital.library.pitt.edu/islandora/object/pitt:31735066237466"/>
    <hyperlink ref="BG91" r:id="rId90" display="https://digital.library.pitt.edu/islandora/object/pitt:31735066237466"/>
    <hyperlink ref="BG92" r:id="rId91" display="https://digital.library.pitt.edu/islandora/object/pitt:31735066237474"/>
    <hyperlink ref="BG93" r:id="rId92" display="https://digital.library.pitt.edu/islandora/object/pitt:31735066237482"/>
    <hyperlink ref="BG94" r:id="rId93" display="https://digital.library.pitt.edu/islandora/object/pitt:31735066237490"/>
    <hyperlink ref="BG95" r:id="rId94" display="https://digital.library.pitt.edu/islandora/object/pitt:31735066237508"/>
    <hyperlink ref="BG96" r:id="rId95" display="https://digital.library.pitt.edu/islandora/object/pitt:31735066237516"/>
    <hyperlink ref="BG97" r:id="rId96" display="https://digital.library.pitt.edu/islandora/object/pitt:31735066237524"/>
    <hyperlink ref="BG98" r:id="rId97" display="https://digital.library.pitt.edu/islandora/object/pitt:31735066237532"/>
    <hyperlink ref="BG99" r:id="rId98" display="https://digital.library.pitt.edu/islandora/object/pitt:31735066237532"/>
    <hyperlink ref="BG100" r:id="rId99" display="https://digital.library.pitt.edu/islandora/object/pitt:31735066237540"/>
    <hyperlink ref="BG101" r:id="rId100" display="https://digital.library.pitt.edu/islandora/object/pitt:31735066237540"/>
    <hyperlink ref="BG102" r:id="rId101" display="https://digital.library.pitt.edu/islandora/object/pitt:31735066237557"/>
    <hyperlink ref="BG103" r:id="rId102" display="https://digital.library.pitt.edu/islandora/object/pitt:31735066237557"/>
    <hyperlink ref="BG104" r:id="rId103" display="https://digital.library.pitt.edu/islandora/object/pitt:31735066237565"/>
    <hyperlink ref="BG105" r:id="rId104" display="https://digital.library.pitt.edu/islandora/object/pitt:31735066237573"/>
    <hyperlink ref="BG106" r:id="rId105" display="https://digital.library.pitt.edu/islandora/object/pitt:31735066237573"/>
    <hyperlink ref="BG107" r:id="rId106" display="https://digital.library.pitt.edu/islandora/object/pitt:31735066237573"/>
    <hyperlink ref="BG108" r:id="rId107" display="https://digital.library.pitt.edu/islandora/object/pitt:31735066237581"/>
    <hyperlink ref="BG109" r:id="rId108" display="https://digital.library.pitt.edu/islandora/object/pitt:31735066237581"/>
    <hyperlink ref="BG110" r:id="rId109" display="https://digital.library.pitt.edu/islandora/object/pitt:31735066237581"/>
    <hyperlink ref="BG111" r:id="rId110" display="https://digital.library.pitt.edu/islandora/object/pitt:31735066237581"/>
    <hyperlink ref="BG112" r:id="rId111" display="https://digital.library.pitt.edu/islandora/object/pitt:31735066237581"/>
    <hyperlink ref="BG113" r:id="rId112" display="https://digital.library.pitt.edu/islandora/object/pitt:31735066237581"/>
    <hyperlink ref="BG114" r:id="rId113" display="https://digital.library.pitt.edu/islandora/object/pitt:31735066237581"/>
    <hyperlink ref="BG115" r:id="rId114" display="https://digital.library.pitt.edu/islandora/object/pitt:31735066237581"/>
    <hyperlink ref="BG116" r:id="rId115" display="https://digital.library.pitt.edu/islandora/object/pitt:31735066237581"/>
    <hyperlink ref="BG117" r:id="rId116" display="https://digital.library.pitt.edu/islandora/object/pitt:31735066237581"/>
    <hyperlink ref="BG118" r:id="rId117" display="https://digital.library.pitt.edu/islandora/object/pitt:31735066237581"/>
    <hyperlink ref="BG119" r:id="rId118" display="https://digital.library.pitt.edu/islandora/object/pitt:31735066237581"/>
    <hyperlink ref="BG120" r:id="rId119" display="https://digital.library.pitt.edu/islandora/object/pitt:31735066237581"/>
    <hyperlink ref="BG121" r:id="rId120" display="https://digital.library.pitt.edu/islandora/object/pitt:31735066237581"/>
    <hyperlink ref="BG122" r:id="rId121" display="https://digital.library.pitt.edu/islandora/object/pitt:31735066237581"/>
    <hyperlink ref="BG123" r:id="rId122" display="https://digital.library.pitt.edu/islandora/object/pitt:31735066237581"/>
    <hyperlink ref="BG124" r:id="rId123" display="https://digital.library.pitt.edu/islandora/object/pitt:31735066237581"/>
    <hyperlink ref="BG125" r:id="rId124" display="https://digital.library.pitt.edu/islandora/object/pitt:31735066237581"/>
    <hyperlink ref="BG126" r:id="rId125" display="https://digital.library.pitt.edu/islandora/object/pitt:31735066237581"/>
    <hyperlink ref="BG127" r:id="rId126" display="https://digital.library.pitt.edu/islandora/object/pitt:31735066237581"/>
    <hyperlink ref="BG128" r:id="rId127" display="https://digital.library.pitt.edu/islandora/object/pitt:31735066237581"/>
    <hyperlink ref="BG129" r:id="rId128" display="https://digital.library.pitt.edu/islandora/object/pitt:31735066237581"/>
    <hyperlink ref="BG130" r:id="rId129" display="https://digital.library.pitt.edu/islandora/object/pitt:31735066237581"/>
    <hyperlink ref="BG131" r:id="rId130" display="https://digital.library.pitt.edu/islandora/object/pitt:31735066237581"/>
    <hyperlink ref="BG132" r:id="rId131" display="https://digital.library.pitt.edu/islandora/object/pitt:31735066237581"/>
    <hyperlink ref="BG133" r:id="rId132" display="https://digital.library.pitt.edu/islandora/object/pitt:31735066237599"/>
    <hyperlink ref="BG134" r:id="rId133" display="https://digital.library.pitt.edu/islandora/object/pitt:31735066237599"/>
    <hyperlink ref="BG135" r:id="rId134" display="https://digital.library.pitt.edu/islandora/object/pitt:31735066237599"/>
    <hyperlink ref="BG136" r:id="rId135" display="https://digital.library.pitt.edu/islandora/object/pitt:31735066237599"/>
    <hyperlink ref="BG137" r:id="rId136" display="https://digital.library.pitt.edu/islandora/object/pitt:31735066237599"/>
    <hyperlink ref="BG138" r:id="rId137" display="https://digital.library.pitt.edu/islandora/object/pitt:31735066237599"/>
    <hyperlink ref="BG139" r:id="rId138" display="https://digital.library.pitt.edu/islandora/object/pitt:31735066237599"/>
    <hyperlink ref="BG140" r:id="rId139" display="https://digital.library.pitt.edu/islandora/object/pitt:31735066237599"/>
    <hyperlink ref="BG141" r:id="rId140" display="https://digital.library.pitt.edu/islandora/object/pitt:31735066237607"/>
    <hyperlink ref="BG142" r:id="rId141" display="https://digital.library.pitt.edu/islandora/object/pitt:31735066237607"/>
    <hyperlink ref="BG143" r:id="rId142" display="https://digital.library.pitt.edu/islandora/object/pitt:31735066237607"/>
    <hyperlink ref="BG144" r:id="rId143" display="https://digital.library.pitt.edu/islandora/object/pitt:31735066237607"/>
    <hyperlink ref="BG145" r:id="rId144" display="https://digital.library.pitt.edu/islandora/object/pitt:31735066237607"/>
    <hyperlink ref="BG146" r:id="rId145" display="https://digital.library.pitt.edu/islandora/object/pitt:31735066237607"/>
    <hyperlink ref="BG147" r:id="rId146" display="https://digital.library.pitt.edu/islandora/object/pitt:31735066237615"/>
    <hyperlink ref="BG148" r:id="rId147" display="https://digital.library.pitt.edu/islandora/object/pitt:31735066237615"/>
    <hyperlink ref="BG149" r:id="rId148" display="https://digital.library.pitt.edu/islandora/object/pitt:31735066237615"/>
    <hyperlink ref="BG150" r:id="rId149" display="https://digital.library.pitt.edu/islandora/object/pitt:31735066237615"/>
    <hyperlink ref="BG151" r:id="rId150" display="https://digital.library.pitt.edu/islandora/object/pitt:31735066237623"/>
    <hyperlink ref="BG152" r:id="rId151" display="https://digital.library.pitt.edu/islandora/object/pitt:31735066237623"/>
    <hyperlink ref="BG153" r:id="rId152" display="https://digital.library.pitt.edu/islandora/object/pitt:31735066237623"/>
    <hyperlink ref="BG154" r:id="rId153" display="https://digital.library.pitt.edu/islandora/object/pitt:31735066237623"/>
    <hyperlink ref="BG155" r:id="rId154" display="https://digital.library.pitt.edu/islandora/object/pitt:31735066237623"/>
    <hyperlink ref="BG156" r:id="rId155" display="https://digital.library.pitt.edu/islandora/object/pitt:31735066237631"/>
    <hyperlink ref="BG157" r:id="rId156" display="https://digital.library.pitt.edu/islandora/object/pitt:31735066237631"/>
    <hyperlink ref="BG158" r:id="rId157" display="https://digital.library.pitt.edu/islandora/object/pitt:31735066237631"/>
    <hyperlink ref="BG159" r:id="rId158" display="https://digital.library.pitt.edu/islandora/object/pitt:31735066237631"/>
    <hyperlink ref="BG160" r:id="rId159" display="https://digital.library.pitt.edu/islandora/object/pitt:31735066237631"/>
    <hyperlink ref="BG161" r:id="rId160" display="https://digital.library.pitt.edu/islandora/object/pitt:31735066237631"/>
    <hyperlink ref="BG162" r:id="rId161" display="https://digital.library.pitt.edu/islandora/object/pitt:31735066237631"/>
    <hyperlink ref="BG163" r:id="rId162" display="https://digital.library.pitt.edu/islandora/object/pitt:31735066237649"/>
    <hyperlink ref="BG164" r:id="rId163" display="https://digital.library.pitt.edu/islandora/object/pitt:31735066237649"/>
    <hyperlink ref="BG165" r:id="rId164" display="https://digital.library.pitt.edu/islandora/object/pitt:31735066237649"/>
    <hyperlink ref="BG166" r:id="rId165" display="https://digital.library.pitt.edu/islandora/object/pitt:31735066237649"/>
    <hyperlink ref="BG167" r:id="rId166" display="https://digital.library.pitt.edu/islandora/object/pitt:31735066237656"/>
    <hyperlink ref="BG168" r:id="rId167" display="https://digital.library.pitt.edu/islandora/object/pitt:31735066237656"/>
    <hyperlink ref="BG169" r:id="rId168" display="https://digital.library.pitt.edu/islandora/object/pitt:31735066237656"/>
    <hyperlink ref="BG170" r:id="rId169" display="https://digital.library.pitt.edu/islandora/object/pitt:31735066237656"/>
    <hyperlink ref="BG171" r:id="rId170" display="https://digital.library.pitt.edu/islandora/object/pitt:31735066237656"/>
    <hyperlink ref="BG172" r:id="rId171" display="https://digital.library.pitt.edu/islandora/object/pitt:31735066237656"/>
    <hyperlink ref="BG173" r:id="rId172" display="https://digital.library.pitt.edu/islandora/object/pitt:31735066237656"/>
    <hyperlink ref="BG174" r:id="rId173" display="https://digital.library.pitt.edu/islandora/object/pitt:31735066237656"/>
    <hyperlink ref="BG175" r:id="rId174" display="https://digital.library.pitt.edu/islandora/object/pitt:31735066237664"/>
    <hyperlink ref="BG176" r:id="rId175" display="https://digital.library.pitt.edu/islandora/object/pitt:31735066237664"/>
    <hyperlink ref="BG177" r:id="rId176" display="https://digital.library.pitt.edu/islandora/object/pitt:31735066237672"/>
    <hyperlink ref="BG178" r:id="rId177" display="https://digital.library.pitt.edu/islandora/object/pitt:31735066237672"/>
    <hyperlink ref="BG179" r:id="rId178" display="https://digital.library.pitt.edu/islandora/object/pitt:31735066237680"/>
    <hyperlink ref="BG180" r:id="rId179" display="https://digital.library.pitt.edu/islandora/object/pitt:31735066237698"/>
    <hyperlink ref="BG181" r:id="rId180" display="https://digital.library.pitt.edu/islandora/object/pitt:31735066237698"/>
    <hyperlink ref="BG182" r:id="rId181" display="https://digital.library.pitt.edu/islandora/object/pitt:31735066237706"/>
    <hyperlink ref="BG183" r:id="rId182" display="https://digital.library.pitt.edu/islandora/object/pitt:31735066237714"/>
    <hyperlink ref="BG184" r:id="rId183" display="https://digital.library.pitt.edu/islandora/object/pitt:31735066237722"/>
    <hyperlink ref="BG185" r:id="rId184" display="https://digital.library.pitt.edu/islandora/object/pitt:31735066237730"/>
    <hyperlink ref="BG186" r:id="rId185" display="https://digital.library.pitt.edu/islandora/object/pitt:31735066237748"/>
    <hyperlink ref="BG187" r:id="rId186" display="https://digital.library.pitt.edu/islandora/object/pitt:31735066237755"/>
    <hyperlink ref="BG188" r:id="rId187" display="https://digital.library.pitt.edu/islandora/object/pitt:31735066237763"/>
    <hyperlink ref="BG189" r:id="rId188" display="https://digital.library.pitt.edu/islandora/object/pitt:31735066237771"/>
    <hyperlink ref="BG190" r:id="rId189" display="https://digital.library.pitt.edu/islandora/object/pitt:31735066266143"/>
    <hyperlink ref="BG191" r:id="rId190" display="https://digital.library.pitt.edu/islandora/object/pitt:31735066266150"/>
    <hyperlink ref="BG192" r:id="rId191" display="https://digital.library.pitt.edu/islandora/object/pitt:31735066266168"/>
    <hyperlink ref="BG193" r:id="rId192" display="https://digital.library.pitt.edu/islandora/object/pitt:31735066266176"/>
    <hyperlink ref="BG194" r:id="rId193" display="https://digital.library.pitt.edu/islandora/object/pitt:31735066266184"/>
    <hyperlink ref="BG195" r:id="rId194" display="https://digital.library.pitt.edu/islandora/object/pitt:31735066266192"/>
    <hyperlink ref="BG196" r:id="rId195" display="https://digital.library.pitt.edu/islandora/object/pitt:31735066266200"/>
    <hyperlink ref="BG197" r:id="rId196" display="https://digital.library.pitt.edu/islandora/object/pitt:31735066266218"/>
    <hyperlink ref="BG198" r:id="rId197" display="https://digital.library.pitt.edu/islandora/object/pitt:31735066266226"/>
    <hyperlink ref="BG199" r:id="rId198" display="https://digital.library.pitt.edu/islandora/object/pitt:31735066266234"/>
    <hyperlink ref="BG200" r:id="rId199" display="https://digital.library.pitt.edu/islandora/object/pitt:31735066266242"/>
    <hyperlink ref="BG201" r:id="rId200" display="https://digital.library.pitt.edu/islandora/object/pitt:31735066266259"/>
    <hyperlink ref="BG202" r:id="rId201" display="https://digital.library.pitt.edu/islandora/object/pitt:31735066266267"/>
    <hyperlink ref="BG203" r:id="rId202" display="https://digital.library.pitt.edu/islandora/object/pitt:31735066266275"/>
    <hyperlink ref="BG204" r:id="rId203" display="https://digital.library.pitt.edu/islandora/object/pitt:31735066266283"/>
    <hyperlink ref="BG205" r:id="rId204" display="https://digital.library.pitt.edu/islandora/object/pitt:31735066266291"/>
    <hyperlink ref="BG206" r:id="rId205" display="https://digital.library.pitt.edu/islandora/object/pitt:31735066266309"/>
    <hyperlink ref="BG207" r:id="rId206" display="https://digital.library.pitt.edu/islandora/object/pitt:31735066266317"/>
    <hyperlink ref="BG208" r:id="rId207" display="https://digital.library.pitt.edu/islandora/object/pitt:31735066266325"/>
    <hyperlink ref="BG209" r:id="rId208" display="https://digital.library.pitt.edu/islandora/object/pitt:31735066266333"/>
    <hyperlink ref="BG210" r:id="rId209" display="https://digital.library.pitt.edu/islandora/object/pitt:31735066266341"/>
    <hyperlink ref="BG211" r:id="rId210" display="https://digital.library.pitt.edu/islandora/object/pitt:31735066266358"/>
    <hyperlink ref="BG212" r:id="rId211" display="https://digital.library.pitt.edu/islandora/object/pitt:31735066266366"/>
    <hyperlink ref="BG213" r:id="rId212" display="https://digital.library.pitt.edu/islandora/object/pitt:31735066266374"/>
    <hyperlink ref="BG214" r:id="rId213" display="https://digital.library.pitt.edu/islandora/object/pitt:31735066266374"/>
    <hyperlink ref="BG215" r:id="rId214" display="https://digital.library.pitt.edu/islandora/object/pitt:31735066266382"/>
    <hyperlink ref="BG216" r:id="rId215" display="https://digital.library.pitt.edu/islandora/object/pitt:31735066266382"/>
    <hyperlink ref="BG217" r:id="rId216" display="https://digital.library.pitt.edu/islandora/object/pitt:31735066266390"/>
    <hyperlink ref="BG218" r:id="rId217" display="https://digital.library.pitt.edu/islandora/object/pitt:31735066266408"/>
    <hyperlink ref="BG219" r:id="rId218" display="https://digital.library.pitt.edu/islandora/object/pitt:31735066266416"/>
    <hyperlink ref="BG220" r:id="rId219" display="https://digital.library.pitt.edu/islandora/object/pitt:31735066266424"/>
    <hyperlink ref="BG221" r:id="rId220" display="https://digital.library.pitt.edu/islandora/object/pitt:31735066266432"/>
    <hyperlink ref="BG222" r:id="rId221" display="https://digital.library.pitt.edu/islandora/object/pitt:31735066266440"/>
    <hyperlink ref="BG223" r:id="rId222" display="https://digital.library.pitt.edu/islandora/object/pitt:31735066266457"/>
    <hyperlink ref="BG224" r:id="rId223" display="https://digital.library.pitt.edu/islandora/object/pitt:31735066266465"/>
    <hyperlink ref="BG225" r:id="rId224" display="https://digital.library.pitt.edu/islandora/object/pitt:31735066266473"/>
    <hyperlink ref="BG226" r:id="rId225" display="https://digital.library.pitt.edu/islandora/object/pitt:31735066266473"/>
    <hyperlink ref="BG227" r:id="rId226" display="https://digital.library.pitt.edu/islandora/object/pitt:31735066266473"/>
    <hyperlink ref="BG228" r:id="rId227" display="https://digital.library.pitt.edu/islandora/object/pitt:31735066266481"/>
    <hyperlink ref="BG229" r:id="rId228" display="https://digital.library.pitt.edu/islandora/object/pitt:31735066266499"/>
    <hyperlink ref="BG230" r:id="rId229" display="https://digital.library.pitt.edu/islandora/object/pitt:31735066266507"/>
    <hyperlink ref="BG231" r:id="rId230" display="https://digital.library.pitt.edu/islandora/object/pitt:31735066266515"/>
    <hyperlink ref="BG232" r:id="rId231" display="https://digital.library.pitt.edu/islandora/object/pitt:31735066266523"/>
    <hyperlink ref="BG233" r:id="rId232" display="https://digital.library.pitt.edu/islandora/object/pitt:31735066266531"/>
    <hyperlink ref="BG234" r:id="rId233" display="https://digital.library.pitt.edu/islandora/object/pitt:31735066266549"/>
    <hyperlink ref="BG235" r:id="rId234" display="https://digital.library.pitt.edu/islandora/object/pitt:31735066266549"/>
    <hyperlink ref="BG236" r:id="rId235" display="https://digital.library.pitt.edu/islandora/object/pitt:31735066266556"/>
    <hyperlink ref="BG237" r:id="rId236" display="https://digital.library.pitt.edu/islandora/object/pitt:31735066266556"/>
    <hyperlink ref="BG238" r:id="rId237" display="https://digital.library.pitt.edu/islandora/object/pitt:31735066266564"/>
    <hyperlink ref="BG239" r:id="rId238" display="https://digital.library.pitt.edu/islandora/object/pitt:31735066266564"/>
    <hyperlink ref="BG240" r:id="rId239" display="https://digital.library.pitt.edu/islandora/object/pitt:31735066266572"/>
    <hyperlink ref="BG241" r:id="rId240" display="https://digital.library.pitt.edu/islandora/object/pitt:31735066266580"/>
    <hyperlink ref="BG242" r:id="rId241" display="https://digital.library.pitt.edu/islandora/object/pitt:31735066266598"/>
    <hyperlink ref="BG243" r:id="rId242" display="https://digital.library.pitt.edu/islandora/object/pitt:31735066266606"/>
    <hyperlink ref="BG244" r:id="rId243" display="https://digital.library.pitt.edu/islandora/object/pitt:31735066266614"/>
    <hyperlink ref="BG245" r:id="rId244" display="https://digital.library.pitt.edu/islandora/object/pitt:31735066266622"/>
    <hyperlink ref="BG246" r:id="rId245" display="https://digital.library.pitt.edu/islandora/object/pitt:31735066266630"/>
    <hyperlink ref="BG247" r:id="rId246" display="https://digital.library.pitt.edu/islandora/object/pitt:31735066266648"/>
    <hyperlink ref="BG248" r:id="rId247" display="https://digital.library.pitt.edu/islandora/object/pitt:31735066266655"/>
    <hyperlink ref="BG249" r:id="rId248" display="https://digital.library.pitt.edu/islandora/object/pitt:31735066266663"/>
    <hyperlink ref="BG250" r:id="rId249" display="https://digital.library.pitt.edu/islandora/object/pitt:31735066266671"/>
    <hyperlink ref="BG251" r:id="rId250" display="https://digital.library.pitt.edu/islandora/object/pitt:31735066266689"/>
    <hyperlink ref="BG252" r:id="rId251" display="https://digital.library.pitt.edu/islandora/object/pitt:31735066266697"/>
    <hyperlink ref="BG253" r:id="rId252" display="https://digital.library.pitt.edu/islandora/object/pitt:31735066266705"/>
    <hyperlink ref="BG254" r:id="rId253" display="https://digital.library.pitt.edu/islandora/object/pitt:31735066266705"/>
    <hyperlink ref="BG255" r:id="rId254" display="https://digital.library.pitt.edu/islandora/object/pitt:31735066266705"/>
    <hyperlink ref="BG256" r:id="rId255" display="https://digital.library.pitt.edu/islandora/object/pitt:31735066266713"/>
    <hyperlink ref="BG257" r:id="rId256" display="https://digital.library.pitt.edu/islandora/object/pitt:31735066266721"/>
    <hyperlink ref="BG258" r:id="rId257" display="https://digital.library.pitt.edu/islandora/object/pitt:31735066266739"/>
    <hyperlink ref="BG259" r:id="rId258" display="https://digital.library.pitt.edu/islandora/object/pitt:31735066266747"/>
    <hyperlink ref="BG260" r:id="rId259" display="https://digital.library.pitt.edu/islandora/object/pitt:31735066266754"/>
    <hyperlink ref="BG261" r:id="rId260" display="https://digital.library.pitt.edu/islandora/object/pitt:31735066266762"/>
    <hyperlink ref="BG262" r:id="rId261" display="https://digital.library.pitt.edu/islandora/object/pitt:31735066267414"/>
    <hyperlink ref="BG263" r:id="rId262" display="https://digital.library.pitt.edu/islandora/object/pitt:31735066267422"/>
    <hyperlink ref="BG264" r:id="rId263" display="https://digital.library.pitt.edu/islandora/object/pitt:31735066267430"/>
    <hyperlink ref="BG265" r:id="rId264" display="https://digital.library.pitt.edu/islandora/object/pitt:31735066267430"/>
    <hyperlink ref="BG266" r:id="rId265" display="https://digital.library.pitt.edu/islandora/object/pitt:31735066267430"/>
    <hyperlink ref="BG267" r:id="rId266" display="https://digital.library.pitt.edu/islandora/object/pitt:31735066267448"/>
    <hyperlink ref="BG268" r:id="rId267" display="https://digital.library.pitt.edu/islandora/object/pitt:31735066267455"/>
    <hyperlink ref="BG269" r:id="rId268" display="https://digital.library.pitt.edu/islandora/object/pitt:31735066267463"/>
    <hyperlink ref="BG270" r:id="rId269" display="https://digital.library.pitt.edu/islandora/object/pitt:31735066267471"/>
    <hyperlink ref="BG271" r:id="rId270" display="https://digital.library.pitt.edu/islandora/object/pitt:31735066267489"/>
    <hyperlink ref="BG272" r:id="rId271" display="https://digital.library.pitt.edu/islandora/object/pitt:31735066267489"/>
    <hyperlink ref="BG273" r:id="rId272" display="https://digital.library.pitt.edu/islandora/object/pitt:31735066267497"/>
    <hyperlink ref="BG274" r:id="rId273" display="https://digital.library.pitt.edu/islandora/object/pitt:31735066267497"/>
    <hyperlink ref="BG275" r:id="rId274" display="https://digital.library.pitt.edu/islandora/object/pitt:31735066267497"/>
    <hyperlink ref="BG276" r:id="rId275" display="https://digital.library.pitt.edu/islandora/object/pitt:31735066267505"/>
    <hyperlink ref="BG277" r:id="rId276" display="https://digital.library.pitt.edu/islandora/object/pitt:31735066267505"/>
    <hyperlink ref="BG278" r:id="rId277" display="https://digital.library.pitt.edu/islandora/object/pitt:31735066267505"/>
    <hyperlink ref="BG279" r:id="rId278" display="https://digital.library.pitt.edu/islandora/object/pitt:31735066267505"/>
    <hyperlink ref="BG280" r:id="rId279" display="https://digital.library.pitt.edu/islandora/object/pitt:31735066267513"/>
    <hyperlink ref="BG281" r:id="rId280" display="https://digital.library.pitt.edu/islandora/object/pitt:31735066267521"/>
    <hyperlink ref="BG282" r:id="rId281" display="https://digital.library.pitt.edu/islandora/object/pitt:31735066267521"/>
    <hyperlink ref="BG283" r:id="rId282" display="https://digital.library.pitt.edu/islandora/object/pitt:31735066267539"/>
    <hyperlink ref="BG284" r:id="rId283" display="https://digital.library.pitt.edu/islandora/object/pitt:31735066267539"/>
    <hyperlink ref="BG285" r:id="rId284" display="https://digital.library.pitt.edu/islandora/object/pitt:31735066267539"/>
    <hyperlink ref="BG286" r:id="rId285" display="https://digital.library.pitt.edu/islandora/object/pitt:31735066267539"/>
    <hyperlink ref="BG287" r:id="rId286" display="https://digital.library.pitt.edu/islandora/object/pitt:31735066267547"/>
    <hyperlink ref="BG288" r:id="rId287" display="https://digital.library.pitt.edu/islandora/object/pitt:31735066267547"/>
    <hyperlink ref="BG289" r:id="rId288" display="https://digital.library.pitt.edu/islandora/object/pitt:31735066267547"/>
    <hyperlink ref="BG290" r:id="rId289" display="https://digital.library.pitt.edu/islandora/object/pitt:31735066267554"/>
    <hyperlink ref="BG291" r:id="rId290" display="https://digital.library.pitt.edu/islandora/object/pitt:31735066267554"/>
    <hyperlink ref="BG292" r:id="rId291" display="https://digital.library.pitt.edu/islandora/object/pitt:31735066267554"/>
    <hyperlink ref="BG293" r:id="rId292" display="https://digital.library.pitt.edu/islandora/object/pitt:31735066267562"/>
    <hyperlink ref="BG294" r:id="rId293" display="https://digital.library.pitt.edu/islandora/object/pitt:31735066267562"/>
    <hyperlink ref="BG295" r:id="rId294" display="https://digital.library.pitt.edu/islandora/object/pitt:31735066267562"/>
    <hyperlink ref="BG296" r:id="rId295" display="https://digital.library.pitt.edu/islandora/object/pitt:31735066267570"/>
    <hyperlink ref="BG297" r:id="rId296" display="https://digital.library.pitt.edu/islandora/object/pitt:31735066267570"/>
    <hyperlink ref="BG298" r:id="rId297" display="https://digital.library.pitt.edu/islandora/object/pitt:31735066267588"/>
    <hyperlink ref="BG299" r:id="rId298" display="https://digital.library.pitt.edu/islandora/object/pitt:31735066267588"/>
    <hyperlink ref="BG300" r:id="rId299" display="https://digital.library.pitt.edu/islandora/object/pitt:31735066267596"/>
    <hyperlink ref="BG301" r:id="rId300" display="https://digital.library.pitt.edu/islandora/object/pitt:31735066267596"/>
    <hyperlink ref="BG302" r:id="rId301" display="https://digital.library.pitt.edu/islandora/object/pitt:31735066267596"/>
    <hyperlink ref="BG303" r:id="rId302" display="https://digital.library.pitt.edu/islandora/object/pitt:31735066267604"/>
    <hyperlink ref="BG304" r:id="rId303" display="https://digital.library.pitt.edu/islandora/object/pitt:31735066267612"/>
    <hyperlink ref="BG305" r:id="rId304" display="https://digital.library.pitt.edu/islandora/object/pitt:31735066267620"/>
    <hyperlink ref="BG306" r:id="rId305" display="https://digital.library.pitt.edu/islandora/object/pitt:31735066267638"/>
    <hyperlink ref="BG307" r:id="rId306" display="https://digital.library.pitt.edu/islandora/object/pitt:31735066267646"/>
    <hyperlink ref="BG308" r:id="rId307" display="https://digital.library.pitt.edu/islandora/object/pitt:31735066267653"/>
    <hyperlink ref="BG309" r:id="rId308" display="https://digital.library.pitt.edu/islandora/object/pitt:31735066267661"/>
    <hyperlink ref="BG310" r:id="rId309" display="https://digital.library.pitt.edu/islandora/object/pitt:31735066267679"/>
    <hyperlink ref="BG311" r:id="rId310" display="https://digital.library.pitt.edu/islandora/object/pitt:31735066267679"/>
    <hyperlink ref="BG312" r:id="rId311" display="https://digital.library.pitt.edu/islandora/object/pitt:31735066267679"/>
    <hyperlink ref="BG313" r:id="rId312" display="https://digital.library.pitt.edu/islandora/object/pitt:31735066267687"/>
    <hyperlink ref="BG314" r:id="rId313" display="https://digital.library.pitt.edu/islandora/object/pitt:31735066267695"/>
    <hyperlink ref="BG315" r:id="rId314" display="https://digital.library.pitt.edu/islandora/object/pitt:31735066267695"/>
    <hyperlink ref="BG316" r:id="rId315" display="https://digital.library.pitt.edu/islandora/object/pitt:31735066267695"/>
    <hyperlink ref="BG317" r:id="rId316" display="https://digital.library.pitt.edu/islandora/object/pitt:31735066267703"/>
    <hyperlink ref="BG318" r:id="rId317" display="https://digital.library.pitt.edu/islandora/object/pitt:31735066267703"/>
    <hyperlink ref="BG319" r:id="rId318" display="https://digital.library.pitt.edu/islandora/object/pitt:31735066267711"/>
    <hyperlink ref="BG320" r:id="rId319" display="https://digital.library.pitt.edu/islandora/object/pitt:31735066267729"/>
    <hyperlink ref="BG321" r:id="rId320" display="https://digital.library.pitt.edu/islandora/object/pitt:31735066267737"/>
    <hyperlink ref="BG322" r:id="rId321" display="https://digital.library.pitt.edu/islandora/object/pitt:31735066267745"/>
    <hyperlink ref="BG323" r:id="rId322" display="https://digital.library.pitt.edu/islandora/object/pitt:31735066267745"/>
    <hyperlink ref="BG324" r:id="rId323" display="https://digital.library.pitt.edu/islandora/object/pitt:31735066267745"/>
    <hyperlink ref="BG325" r:id="rId324" display="https://digital.library.pitt.edu/islandora/object/pitt:31735066267752"/>
    <hyperlink ref="BG326" r:id="rId325" display="https://digital.library.pitt.edu/islandora/object/pitt:31735066267752"/>
    <hyperlink ref="BG327" r:id="rId326" display="https://digital.library.pitt.edu/islandora/object/pitt:31735066267760"/>
    <hyperlink ref="BG328" r:id="rId327" display="https://digital.library.pitt.edu/islandora/object/pitt:31735066267760"/>
    <hyperlink ref="BG329" r:id="rId328" display="https://digital.library.pitt.edu/islandora/object/pitt:31735066267778"/>
    <hyperlink ref="BG330" r:id="rId329" display="https://digital.library.pitt.edu/islandora/object/pitt:31735066267786"/>
    <hyperlink ref="BG331" r:id="rId330" display="https://digital.library.pitt.edu/islandora/object/pitt:31735066267794"/>
    <hyperlink ref="BG332" r:id="rId331" display="https://digital.library.pitt.edu/islandora/object/pitt:31735066267794"/>
    <hyperlink ref="BG333" r:id="rId332" display="https://digital.library.pitt.edu/islandora/object/pitt:31735066267794"/>
    <hyperlink ref="BG334" r:id="rId333" display="https://digital.library.pitt.edu/islandora/object/pitt:31735066267802"/>
    <hyperlink ref="BG335" r:id="rId334" display="https://digital.library.pitt.edu/islandora/object/pitt:31735066267802"/>
    <hyperlink ref="BG336" r:id="rId335" display="https://digital.library.pitt.edu/islandora/object/pitt:31735066267810"/>
    <hyperlink ref="BG337" r:id="rId336" display="https://digital.library.pitt.edu/islandora/object/pitt:31735066267810"/>
    <hyperlink ref="BG338" r:id="rId337" display="https://digital.library.pitt.edu/islandora/object/pitt:31735066267810"/>
    <hyperlink ref="BG339" r:id="rId338" display="https://digital.library.pitt.edu/islandora/object/pitt:31735066267810"/>
    <hyperlink ref="BG340" r:id="rId339" display="https://digital.library.pitt.edu/islandora/object/pitt:31735066267810"/>
    <hyperlink ref="BG341" r:id="rId340" display="https://digital.library.pitt.edu/islandora/object/pitt:31735066267810"/>
    <hyperlink ref="BG342" r:id="rId341" display="https://digital.library.pitt.edu/islandora/object/pitt:31735066267810"/>
    <hyperlink ref="BG343" r:id="rId342" display="https://digital.library.pitt.edu/islandora/object/pitt:31735066267810"/>
    <hyperlink ref="BG344" r:id="rId343" display="https://digital.library.pitt.edu/islandora/object/pitt:31735066267810"/>
    <hyperlink ref="BG345" r:id="rId344" display="https://digital.library.pitt.edu/islandora/object/pitt:31735066267810"/>
    <hyperlink ref="BG346" r:id="rId345" display="https://digital.library.pitt.edu/islandora/object/pitt:31735066267810"/>
    <hyperlink ref="BG347" r:id="rId346" display="https://digital.library.pitt.edu/islandora/object/pitt:31735066267810"/>
    <hyperlink ref="BG348" r:id="rId347" display="https://digital.library.pitt.edu/islandora/object/pitt:31735066267810"/>
    <hyperlink ref="BG349" r:id="rId348" display="https://digital.library.pitt.edu/islandora/object/pitt:31735066267810"/>
    <hyperlink ref="BG350" r:id="rId349" display="https://digital.library.pitt.edu/islandora/object/pitt:31735066267810"/>
    <hyperlink ref="BG351" r:id="rId350" display="https://digital.library.pitt.edu/islandora/object/pitt:31735066267828"/>
    <hyperlink ref="BG352" r:id="rId351" display="https://digital.library.pitt.edu/islandora/object/pitt:31735066267828"/>
    <hyperlink ref="BG353" r:id="rId352" display="https://digital.library.pitt.edu/islandora/object/pitt:31735066267836"/>
    <hyperlink ref="BG354" r:id="rId353" display="https://digital.library.pitt.edu/islandora/object/pitt:31735066267844"/>
    <hyperlink ref="BG355" r:id="rId354" display="https://digital.library.pitt.edu/islandora/object/pitt:31735066267851"/>
    <hyperlink ref="BG356" r:id="rId355" display="https://digital.library.pitt.edu/islandora/object/pitt:31735066267869"/>
    <hyperlink ref="BG357" r:id="rId356" display="https://digital.library.pitt.edu/islandora/object/pitt:31735066267877"/>
    <hyperlink ref="BG358" r:id="rId357" display="https://digital.library.pitt.edu/islandora/object/pitt:31735066267885"/>
    <hyperlink ref="BG359" r:id="rId358" display="https://digital.library.pitt.edu/islandora/object/pitt:31735066267893"/>
    <hyperlink ref="BG360" r:id="rId359" display="https://digital.library.pitt.edu/islandora/object/pitt:31735066267901"/>
    <hyperlink ref="BG361" r:id="rId360" display="https://digital.library.pitt.edu/islandora/object/pitt:31735066267919"/>
    <hyperlink ref="BG362" r:id="rId361" display="https://digital.library.pitt.edu/islandora/object/pitt:31735066267927"/>
    <hyperlink ref="BG363" r:id="rId362" display="https://digital.library.pitt.edu/islandora/object/pitt:31735066267935"/>
    <hyperlink ref="BG364" r:id="rId363" display="https://digital.library.pitt.edu/islandora/object/pitt:31735066267943"/>
    <hyperlink ref="BG365" r:id="rId364" display="https://digital.library.pitt.edu/islandora/object/pitt:31735066267976"/>
    <hyperlink ref="BG366" r:id="rId365" display="https://digital.library.pitt.edu/islandora/object/pitt:31735066267976"/>
    <hyperlink ref="BG367" r:id="rId366" display="https://digital.library.pitt.edu/islandora/object/pitt:31735066267976"/>
    <hyperlink ref="BG368" r:id="rId367" display="https://digital.library.pitt.edu/islandora/object/pitt:31735066267976"/>
    <hyperlink ref="BG369" r:id="rId368" display="https://digital.library.pitt.edu/islandora/object/pitt:31735066267976"/>
    <hyperlink ref="BG370" r:id="rId369" display="https://digital.library.pitt.edu/islandora/object/pitt:31735066267976"/>
    <hyperlink ref="BG371" r:id="rId370" display="https://digital.library.pitt.edu/islandora/object/pitt:31735066267976"/>
    <hyperlink ref="BG372" r:id="rId371" display="https://digital.library.pitt.edu/islandora/object/pitt:31735066267976"/>
    <hyperlink ref="BG373" r:id="rId372" display="https://digital.library.pitt.edu/islandora/object/pitt:31735066267976"/>
    <hyperlink ref="BG374" r:id="rId373" display="https://digital.library.pitt.edu/islandora/object/pitt:31735066267976"/>
    <hyperlink ref="BG375" r:id="rId374" display="https://digital.library.pitt.edu/islandora/object/pitt:31735066267976"/>
    <hyperlink ref="BG376" r:id="rId375" display="https://digital.library.pitt.edu/islandora/object/pitt:31735066268024"/>
    <hyperlink ref="BG377" r:id="rId376" display="https://digital.library.pitt.edu/islandora/object/pitt:31735066268032"/>
    <hyperlink ref="BG378" r:id="rId377" display="https://digital.library.pitt.edu/islandora/object/pitt:31735066268040"/>
    <hyperlink ref="BG379" r:id="rId378" display="https://digital.library.pitt.edu/islandora/object/pitt:31735066268040"/>
    <hyperlink ref="BG380" r:id="rId379" display="https://digital.library.pitt.edu/islandora/object/pitt:31735066268040"/>
    <hyperlink ref="BG381" r:id="rId380" display="https://digital.library.pitt.edu/islandora/object/pitt:31735068223258"/>
    <hyperlink ref="BG382" r:id="rId381" display="https://digital.library.pitt.edu/islandora/object/pitt:31735068223266"/>
    <hyperlink ref="BG383" r:id="rId382" display="https://digital.library.pitt.edu/islandora/object/pitt:31735068223290"/>
    <hyperlink ref="BG384" r:id="rId383" display="https://digital.library.pitt.edu/islandora/object/pitt:31735068223308"/>
    <hyperlink ref="BG385" r:id="rId384" display="https://digital.library.pitt.edu/islandora/object/pitt:31735068223316"/>
    <hyperlink ref="BG386" r:id="rId385" display="https://digital.library.pitt.edu/islandora/object/pitt:31735068223324"/>
    <hyperlink ref="BG387" r:id="rId386" display="https://digital.library.pitt.edu/islandora/object/pitt:31735068223332"/>
    <hyperlink ref="BG388" r:id="rId387" display="https://digital.library.pitt.edu/islandora/object/pitt:31735068223357"/>
    <hyperlink ref="BG389" r:id="rId388" display="https://digital.library.pitt.edu/islandora/object/pitt:31735068223365"/>
    <hyperlink ref="BG390" r:id="rId389" display="https://digital.library.pitt.edu/islandora/object/pitt:31735068223373"/>
    <hyperlink ref="BG391" r:id="rId390" display="https://digital.library.pitt.edu/islandora/object/pitt:31735068223373"/>
    <hyperlink ref="BG392" r:id="rId391" display="https://digital.library.pitt.edu/islandora/object/pitt:31735068223381"/>
    <hyperlink ref="BG393" r:id="rId392" display="https://digital.library.pitt.edu/islandora/object/pitt:31735068223381"/>
    <hyperlink ref="BG394" r:id="rId393" display="https://digital.library.pitt.edu/islandora/object/pitt:31735068223399"/>
    <hyperlink ref="BG395" r:id="rId394" display="https://digital.library.pitt.edu/islandora/object/pitt:31735068223399"/>
    <hyperlink ref="BG396" r:id="rId395" display="https://digital.library.pitt.edu/islandora/object/pitt:31735068223407"/>
    <hyperlink ref="BG397" r:id="rId396" display="https://digital.library.pitt.edu/islandora/object/pitt:31735068223415"/>
    <hyperlink ref="BG398" r:id="rId397" display="https://digital.library.pitt.edu/islandora/object/pitt:31735068223423"/>
    <hyperlink ref="BG399" r:id="rId398" display="https://digital.library.pitt.edu/islandora/object/pitt:31735068223423"/>
    <hyperlink ref="BG400" r:id="rId399" display="https://digital.library.pitt.edu/islandora/object/pitt:31735068223431"/>
    <hyperlink ref="BG401" r:id="rId400" display="https://digital.library.pitt.edu/islandora/object/pitt:31735068223431"/>
    <hyperlink ref="BG402" r:id="rId401" display="https://digital.library.pitt.edu/islandora/object/pitt:31735068223449"/>
    <hyperlink ref="BG403" r:id="rId402" display="https://digital.library.pitt.edu/islandora/object/pitt:31735068223449"/>
    <hyperlink ref="BG404" r:id="rId403" display="https://digital.library.pitt.edu/islandora/object/pitt:31735068223456"/>
    <hyperlink ref="BG405" r:id="rId404" display="https://digital.library.pitt.edu/islandora/object/pitt:31735068223464"/>
    <hyperlink ref="BG406" r:id="rId405" display="https://digital.library.pitt.edu/islandora/object/pitt:31735068223464"/>
    <hyperlink ref="BG407" r:id="rId406" display="https://digital.library.pitt.edu/islandora/object/pitt:31735068223464"/>
    <hyperlink ref="BG408" r:id="rId407" display="https://digital.library.pitt.edu/islandora/object/pitt:3173506822347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0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4"/>
    <col collapsed="false" customWidth="true" hidden="false" outlineLevel="0" max="4" min="4" style="0" width="46"/>
    <col collapsed="false" customWidth="true" hidden="false" outlineLevel="0" max="5" min="5" style="0" width="24"/>
    <col collapsed="false" customWidth="true" hidden="false" outlineLevel="0" max="7" min="6" style="0" width="10"/>
    <col collapsed="false" customWidth="true" hidden="false" outlineLevel="0" max="8" min="8" style="0" width="9"/>
  </cols>
  <sheetData>
    <row r="1" customFormat="false" ht="17.35" hidden="false" customHeight="false" outlineLevel="0" collapsed="false">
      <c r="A1" s="11" t="s">
        <v>3302</v>
      </c>
    </row>
    <row r="2" customFormat="false" ht="15" hidden="false" customHeight="false" outlineLevel="0" collapsed="false">
      <c r="A2" s="12" t="s">
        <v>3303</v>
      </c>
    </row>
    <row r="4" customFormat="false" ht="23.85" hidden="false" customHeight="false" outlineLevel="0" collapsed="false">
      <c r="A4" s="6" t="s">
        <v>3304</v>
      </c>
      <c r="B4" s="6" t="s">
        <v>3305</v>
      </c>
      <c r="C4" s="6" t="s">
        <v>3306</v>
      </c>
      <c r="D4" s="6" t="s">
        <v>3307</v>
      </c>
      <c r="E4" s="6" t="s">
        <v>3308</v>
      </c>
      <c r="F4" s="6" t="s">
        <v>3309</v>
      </c>
      <c r="G4" s="6" t="s">
        <v>3310</v>
      </c>
      <c r="H4" s="6" t="s">
        <v>3311</v>
      </c>
    </row>
    <row r="5" customFormat="false" ht="15" hidden="false" customHeight="false" outlineLevel="0" collapsed="false">
      <c r="A5" s="4" t="n">
        <v>1</v>
      </c>
      <c r="B5" s="4" t="s">
        <v>3312</v>
      </c>
      <c r="C5" s="13" t="s">
        <v>3313</v>
      </c>
      <c r="D5" s="4" t="s">
        <v>3314</v>
      </c>
      <c r="E5" s="4" t="s">
        <v>3315</v>
      </c>
      <c r="G5" s="14" t="n">
        <f aca="false">COUNTIF(Documents!$P$2:$P$408,"Private deed*")</f>
        <v>118</v>
      </c>
    </row>
    <row r="6" customFormat="false" ht="15" hidden="false" customHeight="false" outlineLevel="0" collapsed="false">
      <c r="A6" s="4" t="n">
        <v>2</v>
      </c>
      <c r="B6" s="4" t="s">
        <v>3316</v>
      </c>
      <c r="C6" s="13" t="s">
        <v>3317</v>
      </c>
      <c r="D6" s="4" t="s">
        <v>3318</v>
      </c>
      <c r="E6" s="4" t="s">
        <v>3315</v>
      </c>
      <c r="G6" s="14" t="n">
        <f aca="false">COUNTIF(Documents!$P$2:$P$408,"Private deed*")</f>
        <v>118</v>
      </c>
    </row>
    <row r="7" customFormat="false" ht="23.85" hidden="false" customHeight="false" outlineLevel="0" collapsed="false">
      <c r="A7" s="4" t="n">
        <v>3</v>
      </c>
      <c r="B7" s="4" t="s">
        <v>3319</v>
      </c>
      <c r="C7" s="13" t="s">
        <v>3320</v>
      </c>
      <c r="D7" s="4" t="s">
        <v>3321</v>
      </c>
      <c r="E7" s="4" t="s">
        <v>3315</v>
      </c>
      <c r="G7" s="14" t="n">
        <f aca="false">COUNTIF(Documents!$P$2:$P$408,"Private deed*")</f>
        <v>118</v>
      </c>
    </row>
    <row r="8" customFormat="false" ht="15" hidden="false" customHeight="false" outlineLevel="0" collapsed="false">
      <c r="A8" s="4" t="n">
        <v>4</v>
      </c>
      <c r="B8" s="4" t="s">
        <v>3322</v>
      </c>
      <c r="C8" s="13" t="s">
        <v>3323</v>
      </c>
      <c r="D8" s="4" t="s">
        <v>3324</v>
      </c>
      <c r="E8" s="13" t="s">
        <v>3325</v>
      </c>
      <c r="F8" s="14" t="n">
        <f aca="false">COUNTIFS(Documents!$P$2:$P$408,"Private deed*",Documents!$AI$2:$AI$408,1)</f>
        <v>83</v>
      </c>
      <c r="G8" s="14" t="n">
        <f aca="false">COUNTIF(Documents!$P$2:$P$408,"Private deed*")</f>
        <v>118</v>
      </c>
      <c r="H8" s="15" t="n">
        <f aca="false">IFERROR(F8/G8,0)</f>
        <v>0.703389830508475</v>
      </c>
    </row>
    <row r="9" customFormat="false" ht="15" hidden="false" customHeight="false" outlineLevel="0" collapsed="false">
      <c r="A9" s="4" t="n">
        <v>5</v>
      </c>
      <c r="B9" s="4" t="s">
        <v>3326</v>
      </c>
      <c r="C9" s="13" t="s">
        <v>3327</v>
      </c>
      <c r="D9" s="4" t="s">
        <v>3328</v>
      </c>
      <c r="E9" s="13" t="s">
        <v>3329</v>
      </c>
      <c r="F9" s="14" t="n">
        <f aca="false">COUNTIFS(Documents!$P$2:$P$408,"Private deed*",Documents!$AJ$2:$AJ$408,1)</f>
        <v>47</v>
      </c>
      <c r="G9" s="14" t="n">
        <f aca="false">COUNTIF(Documents!$P$2:$P$408,"Private deed*")</f>
        <v>118</v>
      </c>
      <c r="H9" s="15" t="n">
        <f aca="false">IFERROR(F9/G9,0)</f>
        <v>0.398305084745763</v>
      </c>
    </row>
    <row r="10" customFormat="false" ht="15" hidden="false" customHeight="false" outlineLevel="0" collapsed="false">
      <c r="A10" s="4" t="n">
        <v>6</v>
      </c>
      <c r="B10" s="4" t="s">
        <v>3330</v>
      </c>
      <c r="C10" s="13" t="s">
        <v>3331</v>
      </c>
      <c r="D10" s="4" t="s">
        <v>3332</v>
      </c>
      <c r="E10" s="13" t="s">
        <v>3333</v>
      </c>
      <c r="F10" s="14" t="n">
        <f aca="false">COUNTIFS(Documents!$P$2:$P$408,"Private deed*",Documents!$AK$2:$AK$408,1)</f>
        <v>79</v>
      </c>
      <c r="G10" s="14" t="n">
        <f aca="false">COUNTIF(Documents!$P$2:$P$408,"Private deed*")</f>
        <v>118</v>
      </c>
      <c r="H10" s="15" t="n">
        <f aca="false">IFERROR(F10/G10,0)</f>
        <v>0.669491525423729</v>
      </c>
    </row>
    <row r="11" customFormat="false" ht="15" hidden="false" customHeight="false" outlineLevel="0" collapsed="false">
      <c r="A11" s="4" t="n">
        <v>7</v>
      </c>
      <c r="B11" s="4" t="s">
        <v>3334</v>
      </c>
      <c r="C11" s="13" t="s">
        <v>3335</v>
      </c>
      <c r="D11" s="4" t="s">
        <v>3336</v>
      </c>
      <c r="E11" s="13" t="s">
        <v>56</v>
      </c>
      <c r="F11" s="14" t="n">
        <f aca="false">COUNTIFS(Documents!$P$2:$P$408,"Private deed*",Documents!$AL$2:$AL$408,1)</f>
        <v>71</v>
      </c>
      <c r="G11" s="14" t="n">
        <f aca="false">COUNTIF(Documents!$P$2:$P$408,"Private deed*")</f>
        <v>118</v>
      </c>
      <c r="H11" s="15" t="n">
        <f aca="false">IFERROR(F11/G11,0)</f>
        <v>0.601694915254237</v>
      </c>
    </row>
    <row r="12" customFormat="false" ht="15" hidden="false" customHeight="false" outlineLevel="0" collapsed="false">
      <c r="A12" s="4" t="n">
        <v>8</v>
      </c>
      <c r="B12" s="4" t="s">
        <v>3337</v>
      </c>
      <c r="C12" s="13" t="s">
        <v>3338</v>
      </c>
      <c r="D12" s="4" t="s">
        <v>3339</v>
      </c>
      <c r="E12" s="13" t="s">
        <v>3340</v>
      </c>
      <c r="F12" s="14" t="n">
        <f aca="false">COUNTIFS(Documents!$P$2:$P$408,"Private deed*",Documents!$AM$2:$AM$408,1)</f>
        <v>93</v>
      </c>
      <c r="G12" s="14" t="n">
        <f aca="false">COUNTIF(Documents!$P$2:$P$408,"Private deed*")</f>
        <v>118</v>
      </c>
      <c r="H12" s="15" t="n">
        <f aca="false">IFERROR(F12/G12,0)</f>
        <v>0.788135593220339</v>
      </c>
    </row>
    <row r="13" customFormat="false" ht="15" hidden="false" customHeight="false" outlineLevel="0" collapsed="false">
      <c r="A13" s="4" t="n">
        <v>9</v>
      </c>
      <c r="B13" s="4" t="s">
        <v>3341</v>
      </c>
      <c r="C13" s="13" t="s">
        <v>3342</v>
      </c>
      <c r="D13" s="4" t="s">
        <v>3343</v>
      </c>
      <c r="E13" s="13" t="s">
        <v>3344</v>
      </c>
      <c r="F13" s="14" t="n">
        <f aca="false">COUNTIFS(Documents!$P$2:$P$408,"Private deed*",Documents!$AN$2:$AN$408,1)</f>
        <v>77</v>
      </c>
      <c r="G13" s="14" t="n">
        <f aca="false">COUNTIF(Documents!$P$2:$P$408,"Private deed*")</f>
        <v>118</v>
      </c>
      <c r="H13" s="15" t="n">
        <f aca="false">IFERROR(F13/G13,0)</f>
        <v>0.652542372881356</v>
      </c>
    </row>
    <row r="14" customFormat="false" ht="15" hidden="false" customHeight="false" outlineLevel="0" collapsed="false">
      <c r="A14" s="4" t="n">
        <v>10</v>
      </c>
      <c r="B14" s="4" t="s">
        <v>3345</v>
      </c>
      <c r="C14" s="13" t="s">
        <v>3346</v>
      </c>
      <c r="D14" s="4" t="s">
        <v>3347</v>
      </c>
      <c r="E14" s="13" t="s">
        <v>3348</v>
      </c>
      <c r="F14" s="14" t="n">
        <f aca="false">COUNTIFS(Documents!$P$2:$P$408,"Private deed*",Documents!$AO$2:$AO$408,1)</f>
        <v>71</v>
      </c>
      <c r="G14" s="14" t="n">
        <f aca="false">COUNTIF(Documents!$P$2:$P$408,"Private deed*")</f>
        <v>118</v>
      </c>
      <c r="H14" s="15" t="n">
        <f aca="false">IFERROR(F14/G14,0)</f>
        <v>0.601694915254237</v>
      </c>
    </row>
    <row r="15" customFormat="false" ht="15" hidden="false" customHeight="false" outlineLevel="0" collapsed="false">
      <c r="A15" s="4" t="n">
        <v>11</v>
      </c>
      <c r="B15" s="4" t="s">
        <v>3349</v>
      </c>
      <c r="C15" s="13" t="s">
        <v>3350</v>
      </c>
      <c r="D15" s="4" t="s">
        <v>3351</v>
      </c>
      <c r="E15" s="13" t="s">
        <v>3352</v>
      </c>
      <c r="F15" s="14" t="n">
        <f aca="false">COUNTIFS(Documents!$P$2:$P$408,"Private deed*",Documents!$AP$2:$AP$408,1)</f>
        <v>40</v>
      </c>
      <c r="G15" s="14" t="n">
        <f aca="false">COUNTIF(Documents!$P$2:$P$408,"Private deed*")</f>
        <v>118</v>
      </c>
      <c r="H15" s="15" t="n">
        <f aca="false">IFERROR(F15/G15,0)</f>
        <v>0.338983050847458</v>
      </c>
    </row>
    <row r="16" customFormat="false" ht="29.85" hidden="false" customHeight="false" outlineLevel="0" collapsed="false">
      <c r="A16" s="4" t="n">
        <v>12</v>
      </c>
      <c r="B16" s="4" t="s">
        <v>3353</v>
      </c>
      <c r="C16" s="13" t="s">
        <v>3354</v>
      </c>
      <c r="D16" s="4" t="s">
        <v>3355</v>
      </c>
      <c r="E16" s="13" t="s">
        <v>3356</v>
      </c>
      <c r="F16" s="14" t="n">
        <f aca="false">COUNTIFS(Documents!$P$2:$P$408,"Private deed*",Documents!$AS$2:$AS$408,1)</f>
        <v>112</v>
      </c>
      <c r="G16" s="14" t="n">
        <f aca="false">COUNTIF(Documents!$P$2:$P$408,"Private deed*")</f>
        <v>118</v>
      </c>
      <c r="H16" s="15" t="n">
        <f aca="false">IFERROR(F16/G16,0)</f>
        <v>0.949152542372881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0"/>
  </cols>
  <sheetData>
    <row r="1" customFormat="false" ht="17.35" hidden="false" customHeight="false" outlineLevel="0" collapsed="false">
      <c r="A1" s="11" t="s">
        <v>3357</v>
      </c>
    </row>
    <row r="2" customFormat="false" ht="15" hidden="false" customHeight="false" outlineLevel="0" collapsed="false">
      <c r="A2" s="12" t="s">
        <v>3358</v>
      </c>
    </row>
    <row r="4" customFormat="false" ht="23.85" hidden="false" customHeight="false" outlineLevel="0" collapsed="false">
      <c r="A4" s="6" t="s">
        <v>3359</v>
      </c>
      <c r="B4" s="6" t="s">
        <v>3360</v>
      </c>
      <c r="C4" s="6" t="s">
        <v>3361</v>
      </c>
      <c r="D4" s="6" t="s">
        <v>3362</v>
      </c>
      <c r="E4" s="6" t="s">
        <v>3363</v>
      </c>
      <c r="F4" s="6" t="s">
        <v>3364</v>
      </c>
      <c r="G4" s="6" t="s">
        <v>3365</v>
      </c>
      <c r="H4" s="6" t="s">
        <v>3366</v>
      </c>
      <c r="I4" s="6" t="s">
        <v>3367</v>
      </c>
      <c r="J4" s="6" t="s">
        <v>3368</v>
      </c>
    </row>
    <row r="5" customFormat="false" ht="15" hidden="false" customHeight="false" outlineLevel="0" collapsed="false">
      <c r="A5" s="16" t="s">
        <v>3369</v>
      </c>
      <c r="B5" s="16" t="n">
        <f aca="false">COUNTIFS(Documents!$P$2:$P$408,"Private deed*",Documents!$F$2:$F$408,"pre-1796")</f>
        <v>9</v>
      </c>
      <c r="C5" s="16" t="n">
        <f aca="false">COUNTIFS(Documents!$P$2:$P$408,"Private deed*",Documents!$F$2:$F$408,"1796-1911")</f>
        <v>58</v>
      </c>
      <c r="D5" s="16" t="n">
        <f aca="false">COUNTIFS(Documents!$P$2:$P$408,"Private deed*",Documents!$F$2:$F$408,"1912-1948")</f>
        <v>43</v>
      </c>
      <c r="E5" s="16" t="n">
        <f aca="false">COUNTIFS(Documents!$P$2:$P$408,"Private deed*",Documents!$F$2:$F$408,"1949+")</f>
        <v>5</v>
      </c>
      <c r="F5" s="16" t="n">
        <f aca="false">COUNTIFS(Documents!$P$2:$P$408,"Private deed*",Documents!$F$2:$F$408,"?")</f>
        <v>3</v>
      </c>
      <c r="G5" s="16" t="n">
        <f aca="false">SUM(B5:F5)</f>
        <v>118</v>
      </c>
    </row>
    <row r="6" customFormat="false" ht="15" hidden="false" customHeight="false" outlineLevel="0" collapsed="false">
      <c r="A6" s="17" t="s">
        <v>3325</v>
      </c>
      <c r="B6" s="17" t="n">
        <f aca="false">COUNTIFS(Documents!$P$2:$P$408,"Private deed*",Documents!$F$2:$F$408,"pre-1796",Documents!$AI$2:$AI$408,1)</f>
        <v>4</v>
      </c>
      <c r="C6" s="17" t="n">
        <f aca="false">COUNTIFS(Documents!$P$2:$P$408,"Private deed*",Documents!$F$2:$F$408,"1796-1911",Documents!$AI$2:$AI$408,1)</f>
        <v>46</v>
      </c>
      <c r="D6" s="17" t="n">
        <f aca="false">COUNTIFS(Documents!$P$2:$P$408,"Private deed*",Documents!$F$2:$F$408,"1912-1948",Documents!$AI$2:$AI$408,1)</f>
        <v>29</v>
      </c>
      <c r="E6" s="17" t="n">
        <f aca="false">COUNTIFS(Documents!$P$2:$P$408,"Private deed*",Documents!$F$2:$F$408,"1949+",Documents!$AI$2:$AI$408,1)</f>
        <v>1</v>
      </c>
      <c r="F6" s="17" t="n">
        <f aca="false">COUNTIFS(Documents!$P$2:$P$408,"Private deed*",Documents!$F$2:$F$408,"?",Documents!$AI$2:$AI$408,1)</f>
        <v>3</v>
      </c>
      <c r="G6" s="17" t="n">
        <f aca="false">SUM(B6:F6)</f>
        <v>83</v>
      </c>
      <c r="H6" s="15" t="n">
        <f aca="false">IFERROR(B6/B$5,0)</f>
        <v>0.444444444444444</v>
      </c>
      <c r="I6" s="15" t="n">
        <f aca="false">IFERROR(C6/C$5,0)</f>
        <v>0.793103448275862</v>
      </c>
      <c r="J6" s="15" t="n">
        <f aca="false">IFERROR(D6/D$5,0)</f>
        <v>0.674418604651163</v>
      </c>
    </row>
    <row r="7" customFormat="false" ht="15" hidden="false" customHeight="false" outlineLevel="0" collapsed="false">
      <c r="A7" s="17" t="s">
        <v>3329</v>
      </c>
      <c r="B7" s="17" t="n">
        <f aca="false">COUNTIFS(Documents!$P$2:$P$408,"Private deed*",Documents!$F$2:$F$408,"pre-1796",Documents!$AJ$2:$AJ$408,1)</f>
        <v>3</v>
      </c>
      <c r="C7" s="17" t="n">
        <f aca="false">COUNTIFS(Documents!$P$2:$P$408,"Private deed*",Documents!$F$2:$F$408,"1796-1911",Documents!$AJ$2:$AJ$408,1)</f>
        <v>27</v>
      </c>
      <c r="D7" s="17" t="n">
        <f aca="false">COUNTIFS(Documents!$P$2:$P$408,"Private deed*",Documents!$F$2:$F$408,"1912-1948",Documents!$AJ$2:$AJ$408,1)</f>
        <v>15</v>
      </c>
      <c r="E7" s="17" t="n">
        <f aca="false">COUNTIFS(Documents!$P$2:$P$408,"Private deed*",Documents!$F$2:$F$408,"1949+",Documents!$AJ$2:$AJ$408,1)</f>
        <v>1</v>
      </c>
      <c r="F7" s="17" t="n">
        <f aca="false">COUNTIFS(Documents!$P$2:$P$408,"Private deed*",Documents!$F$2:$F$408,"?",Documents!$AJ$2:$AJ$408,1)</f>
        <v>1</v>
      </c>
      <c r="G7" s="17" t="n">
        <f aca="false">SUM(B7:F7)</f>
        <v>47</v>
      </c>
      <c r="H7" s="15" t="n">
        <f aca="false">IFERROR(B7/B$5,0)</f>
        <v>0.333333333333333</v>
      </c>
      <c r="I7" s="15" t="n">
        <f aca="false">IFERROR(C7/C$5,0)</f>
        <v>0.46551724137931</v>
      </c>
      <c r="J7" s="15" t="n">
        <f aca="false">IFERROR(D7/D$5,0)</f>
        <v>0.348837209302326</v>
      </c>
    </row>
    <row r="8" customFormat="false" ht="15" hidden="false" customHeight="false" outlineLevel="0" collapsed="false">
      <c r="A8" s="17" t="s">
        <v>3333</v>
      </c>
      <c r="B8" s="17" t="n">
        <f aca="false">COUNTIFS(Documents!$P$2:$P$408,"Private deed*",Documents!$F$2:$F$408,"pre-1796",Documents!$AK$2:$AK$408,1)</f>
        <v>4</v>
      </c>
      <c r="C8" s="17" t="n">
        <f aca="false">COUNTIFS(Documents!$P$2:$P$408,"Private deed*",Documents!$F$2:$F$408,"1796-1911",Documents!$AK$2:$AK$408,1)</f>
        <v>45</v>
      </c>
      <c r="D8" s="17" t="n">
        <f aca="false">COUNTIFS(Documents!$P$2:$P$408,"Private deed*",Documents!$F$2:$F$408,"1912-1948",Documents!$AK$2:$AK$408,1)</f>
        <v>26</v>
      </c>
      <c r="E8" s="17" t="n">
        <f aca="false">COUNTIFS(Documents!$P$2:$P$408,"Private deed*",Documents!$F$2:$F$408,"1949+",Documents!$AK$2:$AK$408,1)</f>
        <v>2</v>
      </c>
      <c r="F8" s="17" t="n">
        <f aca="false">COUNTIFS(Documents!$P$2:$P$408,"Private deed*",Documents!$F$2:$F$408,"?",Documents!$AK$2:$AK$408,1)</f>
        <v>2</v>
      </c>
      <c r="G8" s="17" t="n">
        <f aca="false">SUM(B8:F8)</f>
        <v>79</v>
      </c>
      <c r="H8" s="15" t="n">
        <f aca="false">IFERROR(B8/B$5,0)</f>
        <v>0.444444444444444</v>
      </c>
      <c r="I8" s="15" t="n">
        <f aca="false">IFERROR(C8/C$5,0)</f>
        <v>0.775862068965517</v>
      </c>
      <c r="J8" s="15" t="n">
        <f aca="false">IFERROR(D8/D$5,0)</f>
        <v>0.604651162790698</v>
      </c>
    </row>
    <row r="9" customFormat="false" ht="15" hidden="false" customHeight="false" outlineLevel="0" collapsed="false">
      <c r="A9" s="17" t="s">
        <v>56</v>
      </c>
      <c r="B9" s="17" t="n">
        <f aca="false">COUNTIFS(Documents!$P$2:$P$408,"Private deed*",Documents!$F$2:$F$408,"pre-1796",Documents!$AL$2:$AL$408,1)</f>
        <v>3</v>
      </c>
      <c r="C9" s="17" t="n">
        <f aca="false">COUNTIFS(Documents!$P$2:$P$408,"Private deed*",Documents!$F$2:$F$408,"1796-1911",Documents!$AL$2:$AL$408,1)</f>
        <v>40</v>
      </c>
      <c r="D9" s="17" t="n">
        <f aca="false">COUNTIFS(Documents!$P$2:$P$408,"Private deed*",Documents!$F$2:$F$408,"1912-1948",Documents!$AL$2:$AL$408,1)</f>
        <v>25</v>
      </c>
      <c r="E9" s="17" t="n">
        <f aca="false">COUNTIFS(Documents!$P$2:$P$408,"Private deed*",Documents!$F$2:$F$408,"1949+",Documents!$AL$2:$AL$408,1)</f>
        <v>3</v>
      </c>
      <c r="F9" s="17" t="n">
        <f aca="false">COUNTIFS(Documents!$P$2:$P$408,"Private deed*",Documents!$F$2:$F$408,"?",Documents!$AL$2:$AL$408,1)</f>
        <v>0</v>
      </c>
      <c r="G9" s="17" t="n">
        <f aca="false">SUM(B9:F9)</f>
        <v>71</v>
      </c>
      <c r="H9" s="15" t="n">
        <f aca="false">IFERROR(B9/B$5,0)</f>
        <v>0.333333333333333</v>
      </c>
      <c r="I9" s="15" t="n">
        <f aca="false">IFERROR(C9/C$5,0)</f>
        <v>0.689655172413793</v>
      </c>
      <c r="J9" s="15" t="n">
        <f aca="false">IFERROR(D9/D$5,0)</f>
        <v>0.581395348837209</v>
      </c>
    </row>
    <row r="10" customFormat="false" ht="15" hidden="false" customHeight="false" outlineLevel="0" collapsed="false">
      <c r="A10" s="17" t="s">
        <v>3340</v>
      </c>
      <c r="B10" s="17" t="n">
        <f aca="false">COUNTIFS(Documents!$P$2:$P$408,"Private deed*",Documents!$F$2:$F$408,"pre-1796",Documents!$AM$2:$AM$408,1)</f>
        <v>6</v>
      </c>
      <c r="C10" s="17" t="n">
        <f aca="false">COUNTIFS(Documents!$P$2:$P$408,"Private deed*",Documents!$F$2:$F$408,"1796-1911",Documents!$AM$2:$AM$408,1)</f>
        <v>47</v>
      </c>
      <c r="D10" s="17" t="n">
        <f aca="false">COUNTIFS(Documents!$P$2:$P$408,"Private deed*",Documents!$F$2:$F$408,"1912-1948",Documents!$AM$2:$AM$408,1)</f>
        <v>33</v>
      </c>
      <c r="E10" s="17" t="n">
        <f aca="false">COUNTIFS(Documents!$P$2:$P$408,"Private deed*",Documents!$F$2:$F$408,"1949+",Documents!$AM$2:$AM$408,1)</f>
        <v>4</v>
      </c>
      <c r="F10" s="17" t="n">
        <f aca="false">COUNTIFS(Documents!$P$2:$P$408,"Private deed*",Documents!$F$2:$F$408,"?",Documents!$AM$2:$AM$408,1)</f>
        <v>3</v>
      </c>
      <c r="G10" s="17" t="n">
        <f aca="false">SUM(B10:F10)</f>
        <v>93</v>
      </c>
      <c r="H10" s="15" t="n">
        <f aca="false">IFERROR(B10/B$5,0)</f>
        <v>0.666666666666667</v>
      </c>
      <c r="I10" s="15" t="n">
        <f aca="false">IFERROR(C10/C$5,0)</f>
        <v>0.810344827586207</v>
      </c>
      <c r="J10" s="15" t="n">
        <f aca="false">IFERROR(D10/D$5,0)</f>
        <v>0.767441860465116</v>
      </c>
    </row>
    <row r="11" customFormat="false" ht="15" hidden="false" customHeight="false" outlineLevel="0" collapsed="false">
      <c r="A11" s="17" t="s">
        <v>3344</v>
      </c>
      <c r="B11" s="17" t="n">
        <f aca="false">COUNTIFS(Documents!$P$2:$P$408,"Private deed*",Documents!$F$2:$F$408,"pre-1796",Documents!$AN$2:$AN$408,1)</f>
        <v>5</v>
      </c>
      <c r="C11" s="17" t="n">
        <f aca="false">COUNTIFS(Documents!$P$2:$P$408,"Private deed*",Documents!$F$2:$F$408,"1796-1911",Documents!$AN$2:$AN$408,1)</f>
        <v>39</v>
      </c>
      <c r="D11" s="17" t="n">
        <f aca="false">COUNTIFS(Documents!$P$2:$P$408,"Private deed*",Documents!$F$2:$F$408,"1912-1948",Documents!$AN$2:$AN$408,1)</f>
        <v>29</v>
      </c>
      <c r="E11" s="17" t="n">
        <f aca="false">COUNTIFS(Documents!$P$2:$P$408,"Private deed*",Documents!$F$2:$F$408,"1949+",Documents!$AN$2:$AN$408,1)</f>
        <v>1</v>
      </c>
      <c r="F11" s="17" t="n">
        <f aca="false">COUNTIFS(Documents!$P$2:$P$408,"Private deed*",Documents!$F$2:$F$408,"?",Documents!$AN$2:$AN$408,1)</f>
        <v>3</v>
      </c>
      <c r="G11" s="17" t="n">
        <f aca="false">SUM(B11:F11)</f>
        <v>77</v>
      </c>
      <c r="H11" s="15" t="n">
        <f aca="false">IFERROR(B11/B$5,0)</f>
        <v>0.555555555555556</v>
      </c>
      <c r="I11" s="15" t="n">
        <f aca="false">IFERROR(C11/C$5,0)</f>
        <v>0.672413793103448</v>
      </c>
      <c r="J11" s="15" t="n">
        <f aca="false">IFERROR(D11/D$5,0)</f>
        <v>0.674418604651163</v>
      </c>
    </row>
    <row r="12" customFormat="false" ht="15" hidden="false" customHeight="false" outlineLevel="0" collapsed="false">
      <c r="A12" s="17" t="s">
        <v>3348</v>
      </c>
      <c r="B12" s="17" t="n">
        <f aca="false">COUNTIFS(Documents!$P$2:$P$408,"Private deed*",Documents!$F$2:$F$408,"pre-1796",Documents!$AO$2:$AO$408,1)</f>
        <v>4</v>
      </c>
      <c r="C12" s="17" t="n">
        <f aca="false">COUNTIFS(Documents!$P$2:$P$408,"Private deed*",Documents!$F$2:$F$408,"1796-1911",Documents!$AO$2:$AO$408,1)</f>
        <v>34</v>
      </c>
      <c r="D12" s="17" t="n">
        <f aca="false">COUNTIFS(Documents!$P$2:$P$408,"Private deed*",Documents!$F$2:$F$408,"1912-1948",Documents!$AO$2:$AO$408,1)</f>
        <v>29</v>
      </c>
      <c r="E12" s="17" t="n">
        <f aca="false">COUNTIFS(Documents!$P$2:$P$408,"Private deed*",Documents!$F$2:$F$408,"1949+",Documents!$AO$2:$AO$408,1)</f>
        <v>1</v>
      </c>
      <c r="F12" s="17" t="n">
        <f aca="false">COUNTIFS(Documents!$P$2:$P$408,"Private deed*",Documents!$F$2:$F$408,"?",Documents!$AO$2:$AO$408,1)</f>
        <v>3</v>
      </c>
      <c r="G12" s="17" t="n">
        <f aca="false">SUM(B12:F12)</f>
        <v>71</v>
      </c>
      <c r="H12" s="15" t="n">
        <f aca="false">IFERROR(B12/B$5,0)</f>
        <v>0.444444444444444</v>
      </c>
      <c r="I12" s="15" t="n">
        <f aca="false">IFERROR(C12/C$5,0)</f>
        <v>0.586206896551724</v>
      </c>
      <c r="J12" s="15" t="n">
        <f aca="false">IFERROR(D12/D$5,0)</f>
        <v>0.674418604651163</v>
      </c>
    </row>
    <row r="13" customFormat="false" ht="15" hidden="false" customHeight="false" outlineLevel="0" collapsed="false">
      <c r="A13" s="17" t="s">
        <v>3352</v>
      </c>
      <c r="B13" s="17" t="n">
        <f aca="false">COUNTIFS(Documents!$P$2:$P$408,"Private deed*",Documents!$F$2:$F$408,"pre-1796",Documents!$AP$2:$AP$408,1)</f>
        <v>3</v>
      </c>
      <c r="C13" s="17" t="n">
        <f aca="false">COUNTIFS(Documents!$P$2:$P$408,"Private deed*",Documents!$F$2:$F$408,"1796-1911",Documents!$AP$2:$AP$408,1)</f>
        <v>20</v>
      </c>
      <c r="D13" s="17" t="n">
        <f aca="false">COUNTIFS(Documents!$P$2:$P$408,"Private deed*",Documents!$F$2:$F$408,"1912-1948",Documents!$AP$2:$AP$408,1)</f>
        <v>14</v>
      </c>
      <c r="E13" s="17" t="n">
        <f aca="false">COUNTIFS(Documents!$P$2:$P$408,"Private deed*",Documents!$F$2:$F$408,"1949+",Documents!$AP$2:$AP$408,1)</f>
        <v>0</v>
      </c>
      <c r="F13" s="17" t="n">
        <f aca="false">COUNTIFS(Documents!$P$2:$P$408,"Private deed*",Documents!$F$2:$F$408,"?",Documents!$AP$2:$AP$408,1)</f>
        <v>3</v>
      </c>
      <c r="G13" s="17" t="n">
        <f aca="false">SUM(B13:F13)</f>
        <v>40</v>
      </c>
      <c r="H13" s="15" t="n">
        <f aca="false">IFERROR(B13/B$5,0)</f>
        <v>0.333333333333333</v>
      </c>
      <c r="I13" s="15" t="n">
        <f aca="false">IFERROR(C13/C$5,0)</f>
        <v>0.344827586206897</v>
      </c>
      <c r="J13" s="15" t="n">
        <f aca="false">IFERROR(D13/D$5,0)</f>
        <v>0.325581395348837</v>
      </c>
    </row>
    <row r="14" customFormat="false" ht="15" hidden="false" customHeight="false" outlineLevel="0" collapsed="false">
      <c r="A14" s="17" t="s">
        <v>3370</v>
      </c>
      <c r="B14" s="17" t="n">
        <f aca="false">COUNTIFS(Documents!$P$2:$P$408,"Private deed*",Documents!$F$2:$F$408,"pre-1796",Documents!$AQ$2:$AQ$408,1)</f>
        <v>2</v>
      </c>
      <c r="C14" s="17" t="n">
        <f aca="false">COUNTIFS(Documents!$P$2:$P$408,"Private deed*",Documents!$F$2:$F$408,"1796-1911",Documents!$AQ$2:$AQ$408,1)</f>
        <v>28</v>
      </c>
      <c r="D14" s="17" t="n">
        <f aca="false">COUNTIFS(Documents!$P$2:$P$408,"Private deed*",Documents!$F$2:$F$408,"1912-1948",Documents!$AQ$2:$AQ$408,1)</f>
        <v>23</v>
      </c>
      <c r="E14" s="17" t="n">
        <f aca="false">COUNTIFS(Documents!$P$2:$P$408,"Private deed*",Documents!$F$2:$F$408,"1949+",Documents!$AQ$2:$AQ$408,1)</f>
        <v>0</v>
      </c>
      <c r="F14" s="17" t="n">
        <f aca="false">COUNTIFS(Documents!$P$2:$P$408,"Private deed*",Documents!$F$2:$F$408,"?",Documents!$AQ$2:$AQ$408,1)</f>
        <v>0</v>
      </c>
      <c r="G14" s="17" t="n">
        <f aca="false">SUM(B14:F14)</f>
        <v>53</v>
      </c>
      <c r="H14" s="15" t="n">
        <f aca="false">IFERROR(B14/B$5,0)</f>
        <v>0.222222222222222</v>
      </c>
      <c r="I14" s="15" t="n">
        <f aca="false">IFERROR(C14/C$5,0)</f>
        <v>0.482758620689655</v>
      </c>
      <c r="J14" s="15" t="n">
        <f aca="false">IFERROR(D14/D$5,0)</f>
        <v>0.534883720930233</v>
      </c>
    </row>
    <row r="15" customFormat="false" ht="15" hidden="false" customHeight="false" outlineLevel="0" collapsed="false">
      <c r="A15" s="17" t="s">
        <v>3371</v>
      </c>
      <c r="B15" s="17" t="n">
        <f aca="false">COUNTIFS(Documents!$P$2:$P$408,"Private deed*",Documents!$F$2:$F$408,"pre-1796",Documents!$AR$2:$AR$408,1)</f>
        <v>3</v>
      </c>
      <c r="C15" s="17" t="n">
        <f aca="false">COUNTIFS(Documents!$P$2:$P$408,"Private deed*",Documents!$F$2:$F$408,"1796-1911",Documents!$AR$2:$AR$408,1)</f>
        <v>32</v>
      </c>
      <c r="D15" s="17" t="n">
        <f aca="false">COUNTIFS(Documents!$P$2:$P$408,"Private deed*",Documents!$F$2:$F$408,"1912-1948",Documents!$AR$2:$AR$408,1)</f>
        <v>24</v>
      </c>
      <c r="E15" s="17" t="n">
        <f aca="false">COUNTIFS(Documents!$P$2:$P$408,"Private deed*",Documents!$F$2:$F$408,"1949+",Documents!$AR$2:$AR$408,1)</f>
        <v>1</v>
      </c>
      <c r="F15" s="17" t="n">
        <f aca="false">COUNTIFS(Documents!$P$2:$P$408,"Private deed*",Documents!$F$2:$F$408,"?",Documents!$AR$2:$AR$408,1)</f>
        <v>2</v>
      </c>
      <c r="G15" s="17" t="n">
        <f aca="false">SUM(B15:F15)</f>
        <v>62</v>
      </c>
      <c r="H15" s="15" t="n">
        <f aca="false">IFERROR(B15/B$5,0)</f>
        <v>0.333333333333333</v>
      </c>
      <c r="I15" s="15" t="n">
        <f aca="false">IFERROR(C15/C$5,0)</f>
        <v>0.551724137931035</v>
      </c>
      <c r="J15" s="15" t="n">
        <f aca="false">IFERROR(D15/D$5,0)</f>
        <v>0.558139534883721</v>
      </c>
    </row>
    <row r="16" customFormat="false" ht="15" hidden="false" customHeight="false" outlineLevel="0" collapsed="false">
      <c r="A16" s="17" t="s">
        <v>3356</v>
      </c>
      <c r="B16" s="17" t="n">
        <f aca="false">COUNTIFS(Documents!$P$2:$P$408,"Private deed*",Documents!$F$2:$F$408,"pre-1796",Documents!$AS$2:$AS$408,1)</f>
        <v>8</v>
      </c>
      <c r="C16" s="17" t="n">
        <f aca="false">COUNTIFS(Documents!$P$2:$P$408,"Private deed*",Documents!$F$2:$F$408,"1796-1911",Documents!$AS$2:$AS$408,1)</f>
        <v>55</v>
      </c>
      <c r="D16" s="17" t="n">
        <f aca="false">COUNTIFS(Documents!$P$2:$P$408,"Private deed*",Documents!$F$2:$F$408,"1912-1948",Documents!$AS$2:$AS$408,1)</f>
        <v>42</v>
      </c>
      <c r="E16" s="17" t="n">
        <f aca="false">COUNTIFS(Documents!$P$2:$P$408,"Private deed*",Documents!$F$2:$F$408,"1949+",Documents!$AS$2:$AS$408,1)</f>
        <v>4</v>
      </c>
      <c r="F16" s="17" t="n">
        <f aca="false">COUNTIFS(Documents!$P$2:$P$408,"Private deed*",Documents!$F$2:$F$408,"?",Documents!$AS$2:$AS$408,1)</f>
        <v>3</v>
      </c>
      <c r="G16" s="17" t="n">
        <f aca="false">SUM(B16:F16)</f>
        <v>112</v>
      </c>
      <c r="H16" s="15" t="n">
        <f aca="false">IFERROR(B16/B$5,0)</f>
        <v>0.888888888888889</v>
      </c>
      <c r="I16" s="15" t="n">
        <f aca="false">IFERROR(C16/C$5,0)</f>
        <v>0.948275862068966</v>
      </c>
      <c r="J16" s="15" t="n">
        <f aca="false">IFERROR(D16/D$5,0)</f>
        <v>0.976744186046512</v>
      </c>
    </row>
    <row r="17" customFormat="false" ht="15" hidden="false" customHeight="false" outlineLevel="0" collapsed="false">
      <c r="A17" s="17" t="s">
        <v>3372</v>
      </c>
      <c r="B17" s="17" t="n">
        <f aca="false">COUNTIFS(Documents!$P$2:$P$408,"Private deed*",Documents!$F$2:$F$408,"pre-1796",Documents!$AT$2:$AT$408,1)</f>
        <v>1</v>
      </c>
      <c r="C17" s="17" t="n">
        <f aca="false">COUNTIFS(Documents!$P$2:$P$408,"Private deed*",Documents!$F$2:$F$408,"1796-1911",Documents!$AT$2:$AT$408,1)</f>
        <v>17</v>
      </c>
      <c r="D17" s="17" t="n">
        <f aca="false">COUNTIFS(Documents!$P$2:$P$408,"Private deed*",Documents!$F$2:$F$408,"1912-1948",Documents!$AT$2:$AT$408,1)</f>
        <v>15</v>
      </c>
      <c r="E17" s="17" t="n">
        <f aca="false">COUNTIFS(Documents!$P$2:$P$408,"Private deed*",Documents!$F$2:$F$408,"1949+",Documents!$AT$2:$AT$408,1)</f>
        <v>0</v>
      </c>
      <c r="F17" s="17" t="n">
        <f aca="false">COUNTIFS(Documents!$P$2:$P$408,"Private deed*",Documents!$F$2:$F$408,"?",Documents!$AT$2:$AT$408,1)</f>
        <v>1</v>
      </c>
      <c r="G17" s="17" t="n">
        <f aca="false">SUM(B17:F17)</f>
        <v>34</v>
      </c>
      <c r="H17" s="15" t="n">
        <f aca="false">IFERROR(B17/B$5,0)</f>
        <v>0.111111111111111</v>
      </c>
      <c r="I17" s="15" t="n">
        <f aca="false">IFERROR(C17/C$5,0)</f>
        <v>0.293103448275862</v>
      </c>
      <c r="J17" s="15" t="n">
        <f aca="false">IFERROR(D17/D$5,0)</f>
        <v>0.348837209302326</v>
      </c>
    </row>
    <row r="18" customFormat="false" ht="15" hidden="false" customHeight="false" outlineLevel="0" collapsed="false">
      <c r="A18" s="17" t="s">
        <v>3373</v>
      </c>
      <c r="B18" s="17" t="n">
        <f aca="false">COUNTIFS(Documents!$P$2:$P$408,"Private deed*",Documents!$F$2:$F$408,"pre-1796",Documents!$AU$2:$AU$408,1)</f>
        <v>0</v>
      </c>
      <c r="C18" s="17" t="n">
        <f aca="false">COUNTIFS(Documents!$P$2:$P$408,"Private deed*",Documents!$F$2:$F$408,"1796-1911",Documents!$AU$2:$AU$408,1)</f>
        <v>9</v>
      </c>
      <c r="D18" s="17" t="n">
        <f aca="false">COUNTIFS(Documents!$P$2:$P$408,"Private deed*",Documents!$F$2:$F$408,"1912-1948",Documents!$AU$2:$AU$408,1)</f>
        <v>6</v>
      </c>
      <c r="E18" s="17" t="n">
        <f aca="false">COUNTIFS(Documents!$P$2:$P$408,"Private deed*",Documents!$F$2:$F$408,"1949+",Documents!$AU$2:$AU$408,1)</f>
        <v>0</v>
      </c>
      <c r="F18" s="17" t="n">
        <f aca="false">COUNTIFS(Documents!$P$2:$P$408,"Private deed*",Documents!$F$2:$F$408,"?",Documents!$AU$2:$AU$408,1)</f>
        <v>1</v>
      </c>
      <c r="G18" s="17" t="n">
        <f aca="false">SUM(B18:F18)</f>
        <v>16</v>
      </c>
      <c r="H18" s="15" t="n">
        <f aca="false">IFERROR(B18/B$5,0)</f>
        <v>0</v>
      </c>
      <c r="I18" s="15" t="n">
        <f aca="false">IFERROR(C18/C$5,0)</f>
        <v>0.155172413793103</v>
      </c>
      <c r="J18" s="15" t="n">
        <f aca="false">IFERROR(D18/D$5,0)</f>
        <v>0.13953488372093</v>
      </c>
    </row>
    <row r="19" customFormat="false" ht="15" hidden="false" customHeight="false" outlineLevel="0" collapsed="false">
      <c r="A19" s="17" t="s">
        <v>66</v>
      </c>
      <c r="B19" s="17" t="n">
        <f aca="false">COUNTIFS(Documents!$P$2:$P$408,"Private deed*",Documents!$F$2:$F$408,"pre-1796",Documents!$AV$2:$AV$408,1)</f>
        <v>0</v>
      </c>
      <c r="C19" s="17" t="n">
        <f aca="false">COUNTIFS(Documents!$P$2:$P$408,"Private deed*",Documents!$F$2:$F$408,"1796-1911",Documents!$AV$2:$AV$408,1)</f>
        <v>24</v>
      </c>
      <c r="D19" s="17" t="n">
        <f aca="false">COUNTIFS(Documents!$P$2:$P$408,"Private deed*",Documents!$F$2:$F$408,"1912-1948",Documents!$AV$2:$AV$408,1)</f>
        <v>4</v>
      </c>
      <c r="E19" s="17" t="n">
        <f aca="false">COUNTIFS(Documents!$P$2:$P$408,"Private deed*",Documents!$F$2:$F$408,"1949+",Documents!$AV$2:$AV$408,1)</f>
        <v>0</v>
      </c>
      <c r="F19" s="17" t="n">
        <f aca="false">COUNTIFS(Documents!$P$2:$P$408,"Private deed*",Documents!$F$2:$F$408,"?",Documents!$AV$2:$AV$408,1)</f>
        <v>0</v>
      </c>
      <c r="G19" s="17" t="n">
        <f aca="false">SUM(B19:F19)</f>
        <v>28</v>
      </c>
      <c r="H19" s="15" t="n">
        <f aca="false">IFERROR(B19/B$5,0)</f>
        <v>0</v>
      </c>
      <c r="I19" s="15" t="n">
        <f aca="false">IFERROR(C19/C$5,0)</f>
        <v>0.413793103448276</v>
      </c>
      <c r="J19" s="15" t="n">
        <f aca="false">IFERROR(D19/D$5,0)</f>
        <v>0.0930232558139535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46"/>
    <col collapsed="false" customWidth="true" hidden="false" outlineLevel="0" max="7" min="4" style="0" width="9"/>
  </cols>
  <sheetData>
    <row r="1" customFormat="false" ht="17.35" hidden="false" customHeight="false" outlineLevel="0" collapsed="false">
      <c r="A1" s="11" t="s">
        <v>3374</v>
      </c>
    </row>
    <row r="2" customFormat="false" ht="15" hidden="false" customHeight="false" outlineLevel="0" collapsed="false">
      <c r="A2" s="12" t="s">
        <v>3375</v>
      </c>
    </row>
    <row r="4" customFormat="false" ht="15" hidden="false" customHeight="false" outlineLevel="0" collapsed="false">
      <c r="A4" s="6" t="s">
        <v>3376</v>
      </c>
      <c r="B4" s="6" t="s">
        <v>3359</v>
      </c>
      <c r="C4" s="6" t="s">
        <v>3307</v>
      </c>
      <c r="D4" s="6" t="s">
        <v>3377</v>
      </c>
      <c r="E4" s="6" t="s">
        <v>3378</v>
      </c>
      <c r="F4" s="6" t="s">
        <v>3379</v>
      </c>
      <c r="G4" s="6" t="s">
        <v>3365</v>
      </c>
    </row>
    <row r="5" customFormat="false" ht="15" hidden="false" customHeight="false" outlineLevel="0" collapsed="false">
      <c r="A5" s="17" t="n">
        <v>1</v>
      </c>
      <c r="B5" s="17" t="s">
        <v>67</v>
      </c>
      <c r="C5" s="14" t="s">
        <v>3380</v>
      </c>
      <c r="D5" s="17" t="n">
        <f aca="false">COUNTIFS(Documents!$P$2:$P$408,"Official form",Documents!$G$2:$G$408,"Qing",Documents!$AW$2:$AW$408,1)+COUNTIFS(Documents!$P$2:$P$408,"Private deed + state certificate",Documents!$G$2:$G$408,"Qing",Documents!$AW$2:$AW$408,1)</f>
        <v>21</v>
      </c>
      <c r="E5" s="17" t="n">
        <f aca="false">COUNTIFS(Documents!$P$2:$P$408,"Official form",Documents!$G$2:$G$408,"Republic",Documents!$AW$2:$AW$408,1)+COUNTIFS(Documents!$P$2:$P$408,"Private deed + state certificate",Documents!$G$2:$G$408,"Republic",Documents!$AW$2:$AW$408,1)</f>
        <v>51</v>
      </c>
      <c r="F5" s="17" t="n">
        <f aca="false">COUNTIFS(Documents!$P$2:$P$408,"Official form",Documents!$G$2:$G$408,"PRC",Documents!$AW$2:$AW$408,1)+COUNTIFS(Documents!$P$2:$P$408,"Private deed + state certificate",Documents!$G$2:$G$408,"PRC",Documents!$AW$2:$AW$408,1)</f>
        <v>0</v>
      </c>
      <c r="G5" s="17" t="n">
        <f aca="false">SUM(D5:F5)</f>
        <v>72</v>
      </c>
    </row>
    <row r="6" customFormat="false" ht="15" hidden="false" customHeight="false" outlineLevel="0" collapsed="false">
      <c r="A6" s="17" t="n">
        <v>2</v>
      </c>
      <c r="B6" s="17" t="s">
        <v>3381</v>
      </c>
      <c r="C6" s="14" t="s">
        <v>3382</v>
      </c>
      <c r="D6" s="17" t="n">
        <f aca="false">COUNTIFS(Documents!$P$2:$P$408,"Official form",Documents!$G$2:$G$408,"Qing",Documents!$AX$2:$AX$408,1)+COUNTIFS(Documents!$P$2:$P$408,"Private deed + state certificate",Documents!$G$2:$G$408,"Qing",Documents!$AX$2:$AX$408,1)</f>
        <v>16</v>
      </c>
      <c r="E6" s="17" t="n">
        <f aca="false">COUNTIFS(Documents!$P$2:$P$408,"Official form",Documents!$G$2:$G$408,"Republic",Documents!$AX$2:$AX$408,1)+COUNTIFS(Documents!$P$2:$P$408,"Private deed + state certificate",Documents!$G$2:$G$408,"Republic",Documents!$AX$2:$AX$408,1)</f>
        <v>38</v>
      </c>
      <c r="F6" s="17" t="n">
        <f aca="false">COUNTIFS(Documents!$P$2:$P$408,"Official form",Documents!$G$2:$G$408,"PRC",Documents!$AX$2:$AX$408,1)+COUNTIFS(Documents!$P$2:$P$408,"Private deed + state certificate",Documents!$G$2:$G$408,"PRC",Documents!$AX$2:$AX$408,1)</f>
        <v>0</v>
      </c>
      <c r="G6" s="17" t="n">
        <f aca="false">SUM(D6:F6)</f>
        <v>54</v>
      </c>
    </row>
    <row r="7" customFormat="false" ht="15" hidden="false" customHeight="false" outlineLevel="0" collapsed="false">
      <c r="A7" s="17" t="n">
        <v>3</v>
      </c>
      <c r="B7" s="17" t="s">
        <v>69</v>
      </c>
      <c r="C7" s="14" t="s">
        <v>3383</v>
      </c>
      <c r="D7" s="17" t="n">
        <f aca="false">COUNTIFS(Documents!$P$2:$P$408,"Official form",Documents!$G$2:$G$408,"Qing",Documents!$AY$2:$AY$408,1)+COUNTIFS(Documents!$P$2:$P$408,"Private deed + state certificate",Documents!$G$2:$G$408,"Qing",Documents!$AY$2:$AY$408,1)</f>
        <v>11</v>
      </c>
      <c r="E7" s="17" t="n">
        <f aca="false">COUNTIFS(Documents!$P$2:$P$408,"Official form",Documents!$G$2:$G$408,"Republic",Documents!$AY$2:$AY$408,1)+COUNTIFS(Documents!$P$2:$P$408,"Private deed + state certificate",Documents!$G$2:$G$408,"Republic",Documents!$AY$2:$AY$408,1)</f>
        <v>46</v>
      </c>
      <c r="F7" s="17" t="n">
        <f aca="false">COUNTIFS(Documents!$P$2:$P$408,"Official form",Documents!$G$2:$G$408,"PRC",Documents!$AY$2:$AY$408,1)+COUNTIFS(Documents!$P$2:$P$408,"Private deed + state certificate",Documents!$G$2:$G$408,"PRC",Documents!$AY$2:$AY$408,1)</f>
        <v>0</v>
      </c>
      <c r="G7" s="17" t="n">
        <f aca="false">SUM(D7:F7)</f>
        <v>57</v>
      </c>
    </row>
    <row r="8" customFormat="false" ht="15" hidden="false" customHeight="false" outlineLevel="0" collapsed="false">
      <c r="A8" s="17" t="n">
        <v>4</v>
      </c>
      <c r="B8" s="17" t="s">
        <v>3384</v>
      </c>
      <c r="C8" s="14" t="s">
        <v>3385</v>
      </c>
      <c r="D8" s="17" t="n">
        <f aca="false">COUNTIFS(Documents!$P$2:$P$408,"Official form",Documents!$G$2:$G$408,"Qing",Documents!$AZ$2:$AZ$408,1)+COUNTIFS(Documents!$P$2:$P$408,"Private deed + state certificate",Documents!$G$2:$G$408,"Qing",Documents!$AZ$2:$AZ$408,1)</f>
        <v>11</v>
      </c>
      <c r="E8" s="17" t="n">
        <f aca="false">COUNTIFS(Documents!$P$2:$P$408,"Official form",Documents!$G$2:$G$408,"Republic",Documents!$AZ$2:$AZ$408,1)+COUNTIFS(Documents!$P$2:$P$408,"Private deed + state certificate",Documents!$G$2:$G$408,"Republic",Documents!$AZ$2:$AZ$408,1)</f>
        <v>37</v>
      </c>
      <c r="F8" s="17" t="n">
        <f aca="false">COUNTIFS(Documents!$P$2:$P$408,"Official form",Documents!$G$2:$G$408,"PRC",Documents!$AZ$2:$AZ$408,1)+COUNTIFS(Documents!$P$2:$P$408,"Private deed + state certificate",Documents!$G$2:$G$408,"PRC",Documents!$AZ$2:$AZ$408,1)</f>
        <v>0</v>
      </c>
      <c r="G8" s="17" t="n">
        <f aca="false">SUM(D8:F8)</f>
        <v>48</v>
      </c>
    </row>
    <row r="9" customFormat="false" ht="15" hidden="false" customHeight="false" outlineLevel="0" collapsed="false">
      <c r="A9" s="14" t="s">
        <v>3386</v>
      </c>
      <c r="B9" s="17" t="s">
        <v>3387</v>
      </c>
      <c r="C9" s="14" t="s">
        <v>3388</v>
      </c>
      <c r="D9" s="17" t="n">
        <f aca="false">COUNTIFS(Documents!$P$2:$P$408,"Official form",Documents!$G$2:$G$408,"Qing",Documents!$BA$2:$BA$408,1)+COUNTIFS(Documents!$P$2:$P$408,"Private deed + state certificate",Documents!$G$2:$G$408,"Qing",Documents!$BA$2:$BA$408,1)</f>
        <v>9</v>
      </c>
      <c r="E9" s="17" t="n">
        <f aca="false">COUNTIFS(Documents!$P$2:$P$408,"Official form",Documents!$G$2:$G$408,"Republic",Documents!$BA$2:$BA$408,1)+COUNTIFS(Documents!$P$2:$P$408,"Private deed + state certificate",Documents!$G$2:$G$408,"Republic",Documents!$BA$2:$BA$408,1)</f>
        <v>38</v>
      </c>
      <c r="F9" s="17" t="n">
        <f aca="false">COUNTIFS(Documents!$P$2:$P$408,"Official form",Documents!$G$2:$G$408,"PRC",Documents!$BA$2:$BA$408,1)+COUNTIFS(Documents!$P$2:$P$408,"Private deed + state certificate",Documents!$G$2:$G$408,"PRC",Documents!$BA$2:$BA$408,1)</f>
        <v>3</v>
      </c>
      <c r="G9" s="17" t="n">
        <f aca="false">SUM(D9:F9)</f>
        <v>50</v>
      </c>
    </row>
    <row r="10" customFormat="false" ht="15" hidden="false" customHeight="false" outlineLevel="0" collapsed="false">
      <c r="A10" s="14" t="s">
        <v>3386</v>
      </c>
      <c r="B10" s="17" t="s">
        <v>3389</v>
      </c>
      <c r="C10" s="14" t="s">
        <v>3390</v>
      </c>
      <c r="D10" s="17" t="n">
        <f aca="false">COUNTIFS(Documents!$P$2:$P$408,"Official form",Documents!$G$2:$G$408,"Qing",Documents!$BB$2:$BB$408,1)+COUNTIFS(Documents!$P$2:$P$408,"Private deed + state certificate",Documents!$G$2:$G$408,"Qing",Documents!$BB$2:$BB$408,1)</f>
        <v>5</v>
      </c>
      <c r="E10" s="17" t="n">
        <f aca="false">COUNTIFS(Documents!$P$2:$P$408,"Official form",Documents!$G$2:$G$408,"Republic",Documents!$BB$2:$BB$408,1)+COUNTIFS(Documents!$P$2:$P$408,"Private deed + state certificate",Documents!$G$2:$G$408,"Republic",Documents!$BB$2:$BB$408,1)</f>
        <v>27</v>
      </c>
      <c r="F10" s="17" t="n">
        <f aca="false">COUNTIFS(Documents!$P$2:$P$408,"Official form",Documents!$G$2:$G$408,"PRC",Documents!$BB$2:$BB$408,1)+COUNTIFS(Documents!$P$2:$P$408,"Private deed + state certificate",Documents!$G$2:$G$408,"PRC",Documents!$BB$2:$BB$408,1)</f>
        <v>2</v>
      </c>
      <c r="G10" s="17" t="n">
        <f aca="false">SUM(D10:F10)</f>
        <v>34</v>
      </c>
    </row>
    <row r="12" customFormat="false" ht="15" hidden="false" customHeight="false" outlineLevel="0" collapsed="false">
      <c r="A12" s="16" t="s">
        <v>3391</v>
      </c>
      <c r="D12" s="16" t="n">
        <f aca="false">COUNTIFS(Documents!$P$2:$P$408,"Official form",Documents!$G$2:$G$408,"Qing")+COUNTIFS(Documents!$P$2:$P$408,"Private deed + state certificate",Documents!$G$2:$G$408,"Qing")</f>
        <v>66</v>
      </c>
      <c r="E12" s="16" t="n">
        <f aca="false">COUNTIFS(Documents!$P$2:$P$408,"Official form",Documents!$G$2:$G$408,"Republic")+COUNTIFS(Documents!$P$2:$P$408,"Private deed + state certificate",Documents!$G$2:$G$408,"Republic")</f>
        <v>135</v>
      </c>
      <c r="F12" s="16" t="n">
        <f aca="false">COUNTIFS(Documents!$P$2:$P$408,"Official form",Documents!$G$2:$G$408,"PRC")+COUNTIFS(Documents!$P$2:$P$408,"Private deed + state certificate",Documents!$G$2:$G$408,"PRC")</f>
        <v>25</v>
      </c>
      <c r="G12" s="16" t="n">
        <f aca="false">SUM(D12:F12)</f>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8"/>
    <col collapsed="false" customWidth="true" hidden="false" outlineLevel="0" max="5" min="5" style="0" width="24"/>
  </cols>
  <sheetData>
    <row r="1" customFormat="false" ht="21.6" hidden="false" customHeight="false" outlineLevel="0" collapsed="false">
      <c r="A1" s="11" t="s">
        <v>3392</v>
      </c>
    </row>
    <row r="2" customFormat="false" ht="15" hidden="false" customHeight="false" outlineLevel="0" collapsed="false">
      <c r="A2" s="12" t="s">
        <v>3393</v>
      </c>
    </row>
    <row r="4" customFormat="false" ht="15" hidden="false" customHeight="false" outlineLevel="0" collapsed="false">
      <c r="A4" s="6" t="s">
        <v>3394</v>
      </c>
      <c r="B4" s="6" t="s">
        <v>3395</v>
      </c>
      <c r="C4" s="6" t="s">
        <v>3396</v>
      </c>
      <c r="E4" s="18" t="s">
        <v>3395</v>
      </c>
      <c r="F4" s="18" t="s">
        <v>3396</v>
      </c>
    </row>
    <row r="5" customFormat="false" ht="15" hidden="false" customHeight="false" outlineLevel="0" collapsed="false">
      <c r="A5" s="17" t="s">
        <v>300</v>
      </c>
      <c r="B5" s="14" t="s">
        <v>3397</v>
      </c>
      <c r="C5" s="17" t="n">
        <f aca="false">COUNTIFS(Documents!$Q$2:$Q$408,A5,Documents!$P$2:$P$408,"Private deed*")</f>
        <v>17</v>
      </c>
      <c r="E5" s="14" t="s">
        <v>3397</v>
      </c>
      <c r="F5" s="17" t="n">
        <f aca="false">SUMIF($B$5:$B$52,E5,$C$5:$C$52)</f>
        <v>32</v>
      </c>
    </row>
    <row r="6" customFormat="false" ht="15" hidden="false" customHeight="false" outlineLevel="0" collapsed="false">
      <c r="A6" s="17" t="s">
        <v>134</v>
      </c>
      <c r="B6" s="14" t="s">
        <v>3398</v>
      </c>
      <c r="C6" s="17" t="n">
        <f aca="false">COUNTIFS(Documents!$Q$2:$Q$408,A6,Documents!$P$2:$P$408,"Private deed*")</f>
        <v>15</v>
      </c>
      <c r="E6" s="14" t="s">
        <v>3399</v>
      </c>
      <c r="F6" s="17" t="n">
        <f aca="false">SUMIF($B$5:$B$52,E6,$C$5:$C$52)</f>
        <v>8</v>
      </c>
    </row>
    <row r="7" customFormat="false" ht="15" hidden="false" customHeight="false" outlineLevel="0" collapsed="false">
      <c r="A7" s="17" t="s">
        <v>453</v>
      </c>
      <c r="B7" s="14" t="s">
        <v>3400</v>
      </c>
      <c r="C7" s="17" t="n">
        <f aca="false">COUNTIFS(Documents!$Q$2:$Q$408,A7,Documents!$P$2:$P$408,"Private deed*")</f>
        <v>13</v>
      </c>
      <c r="E7" s="14" t="s">
        <v>3401</v>
      </c>
      <c r="F7" s="17" t="n">
        <f aca="false">SUMIF($B$5:$B$52,E7,$C$5:$C$52)</f>
        <v>12</v>
      </c>
    </row>
    <row r="8" customFormat="false" ht="15" hidden="false" customHeight="false" outlineLevel="0" collapsed="false">
      <c r="A8" s="17" t="s">
        <v>98</v>
      </c>
      <c r="B8" s="14" t="s">
        <v>3402</v>
      </c>
      <c r="C8" s="17" t="n">
        <f aca="false">COUNTIFS(Documents!$Q$2:$Q$408,A8,Documents!$P$2:$P$408,"Private deed*")</f>
        <v>10</v>
      </c>
      <c r="E8" s="14" t="s">
        <v>3398</v>
      </c>
      <c r="F8" s="17" t="n">
        <f aca="false">SUMIF($B$5:$B$52,E8,$C$5:$C$52)</f>
        <v>29</v>
      </c>
    </row>
    <row r="9" customFormat="false" ht="15" hidden="false" customHeight="false" outlineLevel="0" collapsed="false">
      <c r="A9" s="17" t="s">
        <v>367</v>
      </c>
      <c r="B9" s="14" t="s">
        <v>3398</v>
      </c>
      <c r="C9" s="17" t="n">
        <f aca="false">COUNTIFS(Documents!$Q$2:$Q$408,A9,Documents!$P$2:$P$408,"Private deed*")</f>
        <v>5</v>
      </c>
      <c r="E9" s="14" t="s">
        <v>3400</v>
      </c>
      <c r="F9" s="17" t="n">
        <f aca="false">SUMIF($B$5:$B$52,E9,$C$5:$C$52)</f>
        <v>21</v>
      </c>
    </row>
    <row r="10" customFormat="false" ht="15" hidden="false" customHeight="false" outlineLevel="0" collapsed="false">
      <c r="A10" s="17" t="s">
        <v>2066</v>
      </c>
      <c r="B10" s="14" t="s">
        <v>3401</v>
      </c>
      <c r="C10" s="17" t="n">
        <f aca="false">COUNTIFS(Documents!$Q$2:$Q$408,A10,Documents!$P$2:$P$408,"Private deed*")</f>
        <v>4</v>
      </c>
      <c r="E10" s="14" t="s">
        <v>3403</v>
      </c>
      <c r="F10" s="17" t="n">
        <f aca="false">SUMIF($B$5:$B$52,E10,$C$5:$C$52)</f>
        <v>1</v>
      </c>
    </row>
    <row r="11" customFormat="false" ht="15" hidden="false" customHeight="false" outlineLevel="0" collapsed="false">
      <c r="A11" s="17" t="s">
        <v>352</v>
      </c>
      <c r="B11" s="14" t="s">
        <v>3397</v>
      </c>
      <c r="C11" s="17" t="n">
        <f aca="false">COUNTIFS(Documents!$Q$2:$Q$408,A11,Documents!$P$2:$P$408,"Private deed*")</f>
        <v>3</v>
      </c>
      <c r="E11" s="14" t="s">
        <v>3404</v>
      </c>
      <c r="F11" s="17" t="n">
        <f aca="false">SUMIF($B$5:$B$52,E11,$C$5:$C$52)</f>
        <v>0</v>
      </c>
    </row>
    <row r="12" customFormat="false" ht="15" hidden="false" customHeight="false" outlineLevel="0" collapsed="false">
      <c r="A12" s="17" t="s">
        <v>1440</v>
      </c>
      <c r="B12" s="14" t="s">
        <v>3401</v>
      </c>
      <c r="C12" s="17" t="n">
        <f aca="false">COUNTIFS(Documents!$Q$2:$Q$408,A12,Documents!$P$2:$P$408,"Private deed*")</f>
        <v>3</v>
      </c>
      <c r="E12" s="14" t="s">
        <v>3405</v>
      </c>
      <c r="F12" s="17" t="n">
        <f aca="false">SUMIF($B$5:$B$52,E12,$C$5:$C$52)</f>
        <v>3</v>
      </c>
    </row>
    <row r="13" customFormat="false" ht="15" hidden="false" customHeight="false" outlineLevel="0" collapsed="false">
      <c r="A13" s="17" t="s">
        <v>148</v>
      </c>
      <c r="B13" s="14" t="s">
        <v>3398</v>
      </c>
      <c r="C13" s="17" t="n">
        <f aca="false">COUNTIFS(Documents!$Q$2:$Q$408,A13,Documents!$P$2:$P$408,"Private deed*")</f>
        <v>2</v>
      </c>
      <c r="E13" s="14" t="s">
        <v>3402</v>
      </c>
      <c r="F13" s="17" t="n">
        <f aca="false">SUMIF($B$5:$B$52,E13,$C$5:$C$52)</f>
        <v>12</v>
      </c>
    </row>
    <row r="14" customFormat="false" ht="15" hidden="false" customHeight="false" outlineLevel="0" collapsed="false">
      <c r="A14" s="17" t="s">
        <v>312</v>
      </c>
      <c r="B14" s="14" t="s">
        <v>3399</v>
      </c>
      <c r="C14" s="17" t="n">
        <f aca="false">COUNTIFS(Documents!$Q$2:$Q$408,A14,Documents!$P$2:$P$408,"Private deed*")</f>
        <v>2</v>
      </c>
    </row>
    <row r="15" customFormat="false" ht="15" hidden="false" customHeight="false" outlineLevel="0" collapsed="false">
      <c r="A15" s="17" t="s">
        <v>413</v>
      </c>
      <c r="B15" s="14" t="s">
        <v>3400</v>
      </c>
      <c r="C15" s="17" t="n">
        <f aca="false">COUNTIFS(Documents!$Q$2:$Q$408,A15,Documents!$P$2:$P$408,"Private deed*")</f>
        <v>2</v>
      </c>
    </row>
    <row r="16" customFormat="false" ht="15" hidden="false" customHeight="false" outlineLevel="0" collapsed="false">
      <c r="A16" s="17" t="s">
        <v>611</v>
      </c>
      <c r="B16" s="14" t="s">
        <v>3397</v>
      </c>
      <c r="C16" s="17" t="n">
        <f aca="false">COUNTIFS(Documents!$Q$2:$Q$408,A16,Documents!$P$2:$P$408,"Private deed*")</f>
        <v>2</v>
      </c>
    </row>
    <row r="17" customFormat="false" ht="15" hidden="false" customHeight="false" outlineLevel="0" collapsed="false">
      <c r="A17" s="17" t="s">
        <v>663</v>
      </c>
      <c r="B17" s="14" t="s">
        <v>3397</v>
      </c>
      <c r="C17" s="17" t="n">
        <f aca="false">COUNTIFS(Documents!$Q$2:$Q$408,A17,Documents!$P$2:$P$408,"Private deed*")</f>
        <v>2</v>
      </c>
    </row>
    <row r="18" customFormat="false" ht="15" hidden="false" customHeight="false" outlineLevel="0" collapsed="false">
      <c r="A18" s="17" t="s">
        <v>677</v>
      </c>
      <c r="B18" s="14" t="s">
        <v>3405</v>
      </c>
      <c r="C18" s="17" t="n">
        <f aca="false">COUNTIFS(Documents!$Q$2:$Q$408,A18,Documents!$P$2:$P$408,"Private deed*")</f>
        <v>2</v>
      </c>
    </row>
    <row r="19" customFormat="false" ht="15" hidden="false" customHeight="false" outlineLevel="0" collapsed="false">
      <c r="A19" s="17" t="s">
        <v>733</v>
      </c>
      <c r="B19" s="14" t="s">
        <v>3399</v>
      </c>
      <c r="C19" s="17" t="n">
        <f aca="false">COUNTIFS(Documents!$Q$2:$Q$408,A19,Documents!$P$2:$P$408,"Private deed*")</f>
        <v>2</v>
      </c>
    </row>
    <row r="20" customFormat="false" ht="15" hidden="false" customHeight="false" outlineLevel="0" collapsed="false">
      <c r="A20" s="17" t="s">
        <v>2870</v>
      </c>
      <c r="B20" s="14" t="s">
        <v>3397</v>
      </c>
      <c r="C20" s="17" t="n">
        <f aca="false">COUNTIFS(Documents!$Q$2:$Q$408,A20,Documents!$P$2:$P$408,"Private deed*")</f>
        <v>2</v>
      </c>
    </row>
    <row r="21" customFormat="false" ht="15" hidden="false" customHeight="false" outlineLevel="0" collapsed="false">
      <c r="A21" s="17" t="s">
        <v>163</v>
      </c>
      <c r="B21" s="14" t="s">
        <v>3402</v>
      </c>
      <c r="C21" s="17" t="n">
        <f aca="false">COUNTIFS(Documents!$Q$2:$Q$408,A21,Documents!$P$2:$P$408,"Private deed*")</f>
        <v>1</v>
      </c>
    </row>
    <row r="22" customFormat="false" ht="15" hidden="false" customHeight="false" outlineLevel="0" collapsed="false">
      <c r="A22" s="17" t="s">
        <v>241</v>
      </c>
      <c r="B22" s="14" t="s">
        <v>3397</v>
      </c>
      <c r="C22" s="17" t="n">
        <f aca="false">COUNTIFS(Documents!$Q$2:$Q$408,A22,Documents!$P$2:$P$408,"Private deed*")</f>
        <v>1</v>
      </c>
    </row>
    <row r="23" customFormat="false" ht="15" hidden="false" customHeight="false" outlineLevel="0" collapsed="false">
      <c r="A23" s="17" t="s">
        <v>263</v>
      </c>
      <c r="B23" s="14" t="s">
        <v>3401</v>
      </c>
      <c r="C23" s="17" t="n">
        <f aca="false">COUNTIFS(Documents!$Q$2:$Q$408,A23,Documents!$P$2:$P$408,"Private deed*")</f>
        <v>1</v>
      </c>
    </row>
    <row r="24" customFormat="false" ht="15" hidden="false" customHeight="false" outlineLevel="0" collapsed="false">
      <c r="A24" s="17" t="s">
        <v>324</v>
      </c>
      <c r="B24" s="14" t="s">
        <v>3400</v>
      </c>
      <c r="C24" s="17" t="n">
        <f aca="false">COUNTIFS(Documents!$Q$2:$Q$408,A24,Documents!$P$2:$P$408,"Private deed*")</f>
        <v>1</v>
      </c>
    </row>
    <row r="25" customFormat="false" ht="15" hidden="false" customHeight="false" outlineLevel="0" collapsed="false">
      <c r="A25" s="17" t="s">
        <v>439</v>
      </c>
      <c r="B25" s="14" t="s">
        <v>3400</v>
      </c>
      <c r="C25" s="17" t="n">
        <f aca="false">COUNTIFS(Documents!$Q$2:$Q$408,A25,Documents!$P$2:$P$408,"Private deed*")</f>
        <v>1</v>
      </c>
    </row>
    <row r="26" customFormat="false" ht="15" hidden="false" customHeight="false" outlineLevel="0" collapsed="false">
      <c r="A26" s="17" t="s">
        <v>532</v>
      </c>
      <c r="B26" s="14" t="s">
        <v>3399</v>
      </c>
      <c r="C26" s="17" t="n">
        <f aca="false">COUNTIFS(Documents!$Q$2:$Q$408,A26,Documents!$P$2:$P$408,"Private deed*")</f>
        <v>1</v>
      </c>
    </row>
    <row r="27" customFormat="false" ht="15" hidden="false" customHeight="false" outlineLevel="0" collapsed="false">
      <c r="A27" s="17" t="s">
        <v>553</v>
      </c>
      <c r="B27" s="14" t="s">
        <v>3399</v>
      </c>
      <c r="C27" s="17" t="n">
        <f aca="false">COUNTIFS(Documents!$Q$2:$Q$408,A27,Documents!$P$2:$P$408,"Private deed*")</f>
        <v>1</v>
      </c>
    </row>
    <row r="28" customFormat="false" ht="15" hidden="false" customHeight="false" outlineLevel="0" collapsed="false">
      <c r="A28" s="17" t="s">
        <v>646</v>
      </c>
      <c r="B28" s="14" t="s">
        <v>3397</v>
      </c>
      <c r="C28" s="17" t="n">
        <f aca="false">COUNTIFS(Documents!$Q$2:$Q$408,A28,Documents!$P$2:$P$408,"Private deed*")</f>
        <v>1</v>
      </c>
    </row>
    <row r="29" customFormat="false" ht="15" hidden="false" customHeight="false" outlineLevel="0" collapsed="false">
      <c r="A29" s="17" t="s">
        <v>783</v>
      </c>
      <c r="B29" s="14" t="s">
        <v>3400</v>
      </c>
      <c r="C29" s="17" t="n">
        <f aca="false">COUNTIFS(Documents!$Q$2:$Q$408,A29,Documents!$P$2:$P$408,"Private deed*")</f>
        <v>1</v>
      </c>
    </row>
    <row r="30" customFormat="false" ht="15" hidden="false" customHeight="false" outlineLevel="0" collapsed="false">
      <c r="A30" s="17" t="s">
        <v>849</v>
      </c>
      <c r="B30" s="14" t="s">
        <v>3401</v>
      </c>
      <c r="C30" s="17" t="n">
        <f aca="false">COUNTIFS(Documents!$Q$2:$Q$408,A30,Documents!$P$2:$P$408,"Private deed*")</f>
        <v>1</v>
      </c>
    </row>
    <row r="31" customFormat="false" ht="15" hidden="false" customHeight="false" outlineLevel="0" collapsed="false">
      <c r="A31" s="17" t="s">
        <v>1660</v>
      </c>
      <c r="B31" s="14" t="s">
        <v>3399</v>
      </c>
      <c r="C31" s="17" t="n">
        <f aca="false">COUNTIFS(Documents!$Q$2:$Q$408,A31,Documents!$P$2:$P$408,"Private deed*")</f>
        <v>1</v>
      </c>
    </row>
    <row r="32" customFormat="false" ht="15" hidden="false" customHeight="false" outlineLevel="0" collapsed="false">
      <c r="A32" s="17" t="s">
        <v>1672</v>
      </c>
      <c r="B32" s="14" t="s">
        <v>3398</v>
      </c>
      <c r="C32" s="17" t="n">
        <f aca="false">COUNTIFS(Documents!$Q$2:$Q$408,A32,Documents!$P$2:$P$408,"Private deed*")</f>
        <v>1</v>
      </c>
    </row>
    <row r="33" customFormat="false" ht="15" hidden="false" customHeight="false" outlineLevel="0" collapsed="false">
      <c r="A33" s="17" t="s">
        <v>1683</v>
      </c>
      <c r="B33" s="14" t="s">
        <v>3400</v>
      </c>
      <c r="C33" s="17" t="n">
        <f aca="false">COUNTIFS(Documents!$Q$2:$Q$408,A33,Documents!$P$2:$P$408,"Private deed*")</f>
        <v>1</v>
      </c>
    </row>
    <row r="34" customFormat="false" ht="15" hidden="false" customHeight="false" outlineLevel="0" collapsed="false">
      <c r="A34" s="17" t="s">
        <v>1844</v>
      </c>
      <c r="B34" s="14" t="s">
        <v>3397</v>
      </c>
      <c r="C34" s="17" t="n">
        <f aca="false">COUNTIFS(Documents!$Q$2:$Q$408,A34,Documents!$P$2:$P$408,"Private deed*")</f>
        <v>1</v>
      </c>
    </row>
    <row r="35" customFormat="false" ht="15" hidden="false" customHeight="false" outlineLevel="0" collapsed="false">
      <c r="A35" s="17" t="s">
        <v>1879</v>
      </c>
      <c r="B35" s="14" t="s">
        <v>3401</v>
      </c>
      <c r="C35" s="17" t="n">
        <f aca="false">COUNTIFS(Documents!$Q$2:$Q$408,A35,Documents!$P$2:$P$408,"Private deed*")</f>
        <v>1</v>
      </c>
    </row>
    <row r="36" customFormat="false" ht="15" hidden="false" customHeight="false" outlineLevel="0" collapsed="false">
      <c r="A36" s="17" t="s">
        <v>1934</v>
      </c>
      <c r="B36" s="14" t="s">
        <v>3401</v>
      </c>
      <c r="C36" s="17" t="n">
        <f aca="false">COUNTIFS(Documents!$Q$2:$Q$408,A36,Documents!$P$2:$P$408,"Private deed*")</f>
        <v>1</v>
      </c>
    </row>
    <row r="37" customFormat="false" ht="15" hidden="false" customHeight="false" outlineLevel="0" collapsed="false">
      <c r="A37" s="17" t="s">
        <v>1979</v>
      </c>
      <c r="B37" s="14" t="s">
        <v>3400</v>
      </c>
      <c r="C37" s="17" t="n">
        <f aca="false">COUNTIFS(Documents!$Q$2:$Q$408,A37,Documents!$P$2:$P$408,"Private deed*")</f>
        <v>1</v>
      </c>
    </row>
    <row r="38" customFormat="false" ht="15" hidden="false" customHeight="false" outlineLevel="0" collapsed="false">
      <c r="A38" s="17" t="s">
        <v>2002</v>
      </c>
      <c r="B38" s="14" t="s">
        <v>3397</v>
      </c>
      <c r="C38" s="17" t="n">
        <f aca="false">COUNTIFS(Documents!$Q$2:$Q$408,A38,Documents!$P$2:$P$408,"Private deed*")</f>
        <v>1</v>
      </c>
    </row>
    <row r="39" customFormat="false" ht="15" hidden="false" customHeight="false" outlineLevel="0" collapsed="false">
      <c r="A39" s="17" t="s">
        <v>2036</v>
      </c>
      <c r="B39" s="14" t="s">
        <v>3398</v>
      </c>
      <c r="C39" s="17" t="n">
        <f aca="false">COUNTIFS(Documents!$Q$2:$Q$408,A39,Documents!$P$2:$P$408,"Private deed*")</f>
        <v>1</v>
      </c>
    </row>
    <row r="40" customFormat="false" ht="15" hidden="false" customHeight="false" outlineLevel="0" collapsed="false">
      <c r="A40" s="17" t="s">
        <v>2122</v>
      </c>
      <c r="B40" s="14" t="s">
        <v>3403</v>
      </c>
      <c r="C40" s="17" t="n">
        <f aca="false">COUNTIFS(Documents!$Q$2:$Q$408,A40,Documents!$P$2:$P$408,"Private deed*")</f>
        <v>1</v>
      </c>
    </row>
    <row r="41" customFormat="false" ht="15" hidden="false" customHeight="false" outlineLevel="0" collapsed="false">
      <c r="A41" s="17" t="s">
        <v>2347</v>
      </c>
      <c r="B41" s="14" t="s">
        <v>3401</v>
      </c>
      <c r="C41" s="17" t="n">
        <f aca="false">COUNTIFS(Documents!$Q$2:$Q$408,A41,Documents!$P$2:$P$408,"Private deed*")</f>
        <v>1</v>
      </c>
    </row>
    <row r="42" customFormat="false" ht="15" hidden="false" customHeight="false" outlineLevel="0" collapsed="false">
      <c r="A42" s="17" t="s">
        <v>2356</v>
      </c>
      <c r="B42" s="14" t="s">
        <v>3398</v>
      </c>
      <c r="C42" s="17" t="n">
        <f aca="false">COUNTIFS(Documents!$Q$2:$Q$408,A42,Documents!$P$2:$P$408,"Private deed*")</f>
        <v>1</v>
      </c>
    </row>
    <row r="43" customFormat="false" ht="15" hidden="false" customHeight="false" outlineLevel="0" collapsed="false">
      <c r="A43" s="17" t="s">
        <v>2471</v>
      </c>
      <c r="B43" s="14" t="s">
        <v>3398</v>
      </c>
      <c r="C43" s="17" t="n">
        <f aca="false">COUNTIFS(Documents!$Q$2:$Q$408,A43,Documents!$P$2:$P$408,"Private deed*")</f>
        <v>1</v>
      </c>
    </row>
    <row r="44" customFormat="false" ht="15" hidden="false" customHeight="false" outlineLevel="0" collapsed="false">
      <c r="A44" s="17" t="s">
        <v>2538</v>
      </c>
      <c r="B44" s="14" t="s">
        <v>3398</v>
      </c>
      <c r="C44" s="17" t="n">
        <f aca="false">COUNTIFS(Documents!$Q$2:$Q$408,A44,Documents!$P$2:$P$408,"Private deed*")</f>
        <v>1</v>
      </c>
    </row>
    <row r="45" customFormat="false" ht="15" hidden="false" customHeight="false" outlineLevel="0" collapsed="false">
      <c r="A45" s="17" t="s">
        <v>2682</v>
      </c>
      <c r="B45" s="14" t="s">
        <v>3398</v>
      </c>
      <c r="C45" s="17" t="n">
        <f aca="false">COUNTIFS(Documents!$Q$2:$Q$408,A45,Documents!$P$2:$P$408,"Private deed*")</f>
        <v>1</v>
      </c>
    </row>
    <row r="46" customFormat="false" ht="15" hidden="false" customHeight="false" outlineLevel="0" collapsed="false">
      <c r="A46" s="17" t="s">
        <v>2708</v>
      </c>
      <c r="B46" s="14" t="s">
        <v>3397</v>
      </c>
      <c r="C46" s="17" t="n">
        <f aca="false">COUNTIFS(Documents!$Q$2:$Q$408,A46,Documents!$P$2:$P$408,"Private deed*")</f>
        <v>1</v>
      </c>
    </row>
    <row r="47" customFormat="false" ht="15" hidden="false" customHeight="false" outlineLevel="0" collapsed="false">
      <c r="A47" s="17" t="s">
        <v>2762</v>
      </c>
      <c r="B47" s="14" t="s">
        <v>3405</v>
      </c>
      <c r="C47" s="17" t="n">
        <f aca="false">COUNTIFS(Documents!$Q$2:$Q$408,A47,Documents!$P$2:$P$408,"Private deed*")</f>
        <v>1</v>
      </c>
    </row>
    <row r="48" customFormat="false" ht="15" hidden="false" customHeight="false" outlineLevel="0" collapsed="false">
      <c r="A48" s="17" t="s">
        <v>2923</v>
      </c>
      <c r="B48" s="14" t="s">
        <v>3398</v>
      </c>
      <c r="C48" s="17" t="n">
        <f aca="false">COUNTIFS(Documents!$Q$2:$Q$408,A48,Documents!$P$2:$P$408,"Private deed*")</f>
        <v>1</v>
      </c>
    </row>
    <row r="49" customFormat="false" ht="15" hidden="false" customHeight="false" outlineLevel="0" collapsed="false">
      <c r="A49" s="17" t="s">
        <v>3047</v>
      </c>
      <c r="B49" s="14" t="s">
        <v>3397</v>
      </c>
      <c r="C49" s="17" t="n">
        <f aca="false">COUNTIFS(Documents!$Q$2:$Q$408,A49,Documents!$P$2:$P$408,"Private deed*")</f>
        <v>1</v>
      </c>
    </row>
    <row r="50" customFormat="false" ht="15" hidden="false" customHeight="false" outlineLevel="0" collapsed="false">
      <c r="A50" s="17" t="s">
        <v>3147</v>
      </c>
      <c r="B50" s="14" t="s">
        <v>3399</v>
      </c>
      <c r="C50" s="17" t="n">
        <f aca="false">COUNTIFS(Documents!$Q$2:$Q$408,A50,Documents!$P$2:$P$408,"Private deed*")</f>
        <v>1</v>
      </c>
    </row>
    <row r="51" customFormat="false" ht="15" hidden="false" customHeight="false" outlineLevel="0" collapsed="false">
      <c r="A51" s="17" t="s">
        <v>3226</v>
      </c>
      <c r="B51" s="14" t="s">
        <v>3400</v>
      </c>
      <c r="C51" s="17" t="n">
        <f aca="false">COUNTIFS(Documents!$Q$2:$Q$408,A51,Documents!$P$2:$P$408,"Private deed*")</f>
        <v>1</v>
      </c>
    </row>
    <row r="52" customFormat="false" ht="15" hidden="false" customHeight="false" outlineLevel="0" collapsed="false">
      <c r="A52" s="17" t="s">
        <v>2904</v>
      </c>
      <c r="B52" s="14" t="s">
        <v>3402</v>
      </c>
      <c r="C52" s="17" t="n">
        <f aca="false">COUNTIFS(Documents!$Q$2:$Q$408,A52,Documents!$P$2:$P$408,"Private deed*")</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8"/>
  </cols>
  <sheetData>
    <row r="1" customFormat="false" ht="17.35" hidden="false" customHeight="false" outlineLevel="0" collapsed="false">
      <c r="A1" s="11" t="s">
        <v>3406</v>
      </c>
    </row>
    <row r="2" customFormat="false" ht="15" hidden="false" customHeight="false" outlineLevel="0" collapsed="false">
      <c r="A2" s="12" t="s">
        <v>3407</v>
      </c>
    </row>
    <row r="4" customFormat="false" ht="15" hidden="false" customHeight="false" outlineLevel="0" collapsed="false">
      <c r="A4" s="6" t="s">
        <v>3408</v>
      </c>
      <c r="B4" s="6" t="s">
        <v>3409</v>
      </c>
      <c r="C4" s="6" t="s">
        <v>3396</v>
      </c>
    </row>
    <row r="5" customFormat="false" ht="15" hidden="false" customHeight="false" outlineLevel="0" collapsed="false">
      <c r="A5" s="17" t="s">
        <v>602</v>
      </c>
      <c r="B5" s="14" t="s">
        <v>3410</v>
      </c>
      <c r="C5" s="17" t="n">
        <f aca="false">COUNTIF(Documents!$Y$2:$Y$408,"*田根*")</f>
        <v>12</v>
      </c>
    </row>
    <row r="6" customFormat="false" ht="15" hidden="false" customHeight="false" outlineLevel="0" collapsed="false">
      <c r="A6" s="17" t="s">
        <v>500</v>
      </c>
      <c r="B6" s="14" t="s">
        <v>3411</v>
      </c>
      <c r="C6" s="17" t="n">
        <f aca="false">COUNTIF(Documents!$Y$2:$Y$408,"*田面*")</f>
        <v>14</v>
      </c>
    </row>
    <row r="7" customFormat="false" ht="15" hidden="false" customHeight="false" outlineLevel="0" collapsed="false">
      <c r="A7" s="17" t="s">
        <v>372</v>
      </c>
      <c r="B7" s="14" t="s">
        <v>3412</v>
      </c>
      <c r="C7" s="17" t="n">
        <f aca="false">COUNTIF(Documents!$Y$2:$Y$408,"*根面全田*")</f>
        <v>11</v>
      </c>
    </row>
    <row r="8" customFormat="false" ht="15" hidden="false" customHeight="false" outlineLevel="0" collapsed="false">
      <c r="A8" s="17" t="s">
        <v>458</v>
      </c>
      <c r="B8" s="14" t="s">
        <v>3413</v>
      </c>
      <c r="C8" s="17" t="n">
        <f aca="false">COUNTIF(Documents!$Y$2:$Y$408,"*皮骨*")</f>
        <v>6</v>
      </c>
    </row>
    <row r="9" customFormat="false" ht="15" hidden="false" customHeight="false" outlineLevel="0" collapsed="false">
      <c r="A9" s="17" t="s">
        <v>1429</v>
      </c>
      <c r="B9" s="14" t="s">
        <v>3414</v>
      </c>
      <c r="C9" s="17" t="n">
        <f aca="false">COUNTIF(Documents!$Y$2:$Y$408,"*苗米*")</f>
        <v>7</v>
      </c>
    </row>
    <row r="10" customFormat="false" ht="15" hidden="false" customHeight="false" outlineLevel="0" collapsed="false">
      <c r="A10" s="17" t="s">
        <v>306</v>
      </c>
      <c r="B10" s="14" t="s">
        <v>3415</v>
      </c>
      <c r="C10" s="17" t="n">
        <f aca="false">COUNTIF(Documents!$Y$2:$Y$408,"*民田*")</f>
        <v>40</v>
      </c>
    </row>
    <row r="11" customFormat="false" ht="15" hidden="false" customHeight="false" outlineLevel="0" collapsed="false">
      <c r="A11" s="17" t="s">
        <v>3416</v>
      </c>
      <c r="B11" s="14" t="s">
        <v>3417</v>
      </c>
      <c r="C11" s="17" t="n">
        <f aca="false">COUNTIF(Documents!$Y$2:$Y$408,"*山場*")</f>
        <v>5</v>
      </c>
    </row>
    <row r="12" customFormat="false" ht="15" hidden="false" customHeight="false" outlineLevel="0" collapsed="false">
      <c r="A12" s="17" t="s">
        <v>3418</v>
      </c>
      <c r="B12" s="14" t="s">
        <v>3419</v>
      </c>
      <c r="C12" s="17" t="n">
        <f aca="false">COUNTIF(Documents!$Y$2:$Y$408,"*山埔*")</f>
        <v>1</v>
      </c>
    </row>
    <row r="13" customFormat="false" ht="15" hidden="false" customHeight="false" outlineLevel="0" collapsed="false">
      <c r="A13" s="17" t="s">
        <v>198</v>
      </c>
      <c r="B13" s="14" t="s">
        <v>3420</v>
      </c>
      <c r="C13" s="17" t="n">
        <f aca="false">COUNTIF(Documents!$Y$2:$Y$408,"*厝屋*")</f>
        <v>19</v>
      </c>
    </row>
    <row r="14" customFormat="false" ht="15" hidden="false" customHeight="false" outlineLevel="0" collapsed="false">
      <c r="A14" s="17" t="s">
        <v>1761</v>
      </c>
      <c r="B14" s="14" t="s">
        <v>3421</v>
      </c>
      <c r="C14" s="17" t="n">
        <f aca="false">COUNTIF(Documents!$Y$2:$Y$408,"*店屋*")</f>
        <v>7</v>
      </c>
    </row>
    <row r="15" customFormat="false" ht="15" hidden="false" customHeight="false" outlineLevel="0" collapsed="false">
      <c r="A15" s="17" t="s">
        <v>477</v>
      </c>
      <c r="B15" s="14" t="s">
        <v>3422</v>
      </c>
      <c r="C15" s="17" t="n">
        <f aca="false">COUNTIF(Documents!$Y$2:$Y$408,"*基地*")</f>
        <v>8</v>
      </c>
    </row>
    <row r="16" customFormat="false" ht="15" hidden="false" customHeight="false" outlineLevel="0" collapsed="false">
      <c r="A16" s="17" t="s">
        <v>3423</v>
      </c>
      <c r="B16" s="14" t="s">
        <v>3424</v>
      </c>
      <c r="C16" s="17" t="n">
        <f aca="false">COUNTIF(Documents!$Y$2:$Y$408,"*茶山*")</f>
        <v>3</v>
      </c>
    </row>
    <row r="17" customFormat="false" ht="15" hidden="false" customHeight="false" outlineLevel="0" collapsed="false">
      <c r="A17" s="17" t="s">
        <v>167</v>
      </c>
      <c r="B17" s="14" t="s">
        <v>3425</v>
      </c>
      <c r="C17" s="17" t="n">
        <f aca="false">COUNTIF(Documents!$Y$2:$Y$408,"*墳*")</f>
        <v>7</v>
      </c>
    </row>
    <row r="20" customFormat="false" ht="15" hidden="false" customHeight="false" outlineLevel="0" collapsed="false">
      <c r="A20" s="6" t="s">
        <v>40</v>
      </c>
      <c r="B20" s="6" t="s">
        <v>3409</v>
      </c>
      <c r="C20" s="6" t="s">
        <v>3396</v>
      </c>
    </row>
    <row r="21" customFormat="false" ht="15" hidden="false" customHeight="false" outlineLevel="0" collapsed="false">
      <c r="A21" s="17" t="s">
        <v>534</v>
      </c>
      <c r="B21" s="14" t="s">
        <v>3426</v>
      </c>
      <c r="C21" s="17" t="n">
        <f aca="false">COUNTIF(Documents!$V$2:$V$408,"*紋銀*")</f>
        <v>4</v>
      </c>
    </row>
    <row r="22" customFormat="false" ht="15" hidden="false" customHeight="false" outlineLevel="0" collapsed="false">
      <c r="A22" s="17" t="s">
        <v>340</v>
      </c>
      <c r="B22" s="14" t="s">
        <v>3427</v>
      </c>
      <c r="C22" s="17" t="n">
        <f aca="false">COUNTIF(Documents!$V$2:$V$408,"*番銀*")</f>
        <v>2</v>
      </c>
    </row>
    <row r="23" customFormat="false" ht="15" hidden="false" customHeight="false" outlineLevel="0" collapsed="false">
      <c r="A23" s="17" t="s">
        <v>3428</v>
      </c>
      <c r="B23" s="14" t="s">
        <v>3429</v>
      </c>
      <c r="C23" s="17" t="n">
        <f aca="false">COUNTIF(Documents!$V$2:$V$408,"*先番*")</f>
        <v>1</v>
      </c>
    </row>
    <row r="24" customFormat="false" ht="15" hidden="false" customHeight="false" outlineLevel="0" collapsed="false">
      <c r="A24" s="17" t="s">
        <v>1471</v>
      </c>
      <c r="B24" s="14" t="s">
        <v>3427</v>
      </c>
      <c r="C24" s="17" t="n">
        <f aca="false">COUNTIF(Documents!$V$2:$V$408,"*洋銀*")</f>
        <v>8</v>
      </c>
    </row>
    <row r="25" customFormat="false" ht="15" hidden="false" customHeight="false" outlineLevel="0" collapsed="false">
      <c r="A25" s="17" t="s">
        <v>1847</v>
      </c>
      <c r="B25" s="14" t="s">
        <v>3430</v>
      </c>
      <c r="C25" s="17" t="n">
        <f aca="false">COUNTIF(Documents!$V$2:$V$408,"*佛銀*")</f>
        <v>1</v>
      </c>
    </row>
    <row r="26" customFormat="false" ht="15" hidden="false" customHeight="false" outlineLevel="0" collapsed="false">
      <c r="A26" s="17" t="s">
        <v>244</v>
      </c>
      <c r="B26" s="14" t="s">
        <v>3431</v>
      </c>
      <c r="C26" s="17" t="n">
        <f aca="false">COUNTIF(Documents!$V$2:$V$408,"*台伏*")</f>
        <v>4</v>
      </c>
    </row>
    <row r="27" customFormat="false" ht="15" hidden="false" customHeight="false" outlineLevel="0" collapsed="false">
      <c r="A27" s="17" t="s">
        <v>229</v>
      </c>
      <c r="B27" s="14" t="s">
        <v>3432</v>
      </c>
      <c r="C27" s="17" t="n">
        <f aca="false">COUNTIF(Documents!$V$2:$V$408,"*大洋*")</f>
        <v>22</v>
      </c>
    </row>
    <row r="28" customFormat="false" ht="15" hidden="false" customHeight="false" outlineLevel="0" collapsed="false">
      <c r="A28" s="17" t="s">
        <v>2644</v>
      </c>
      <c r="B28" s="14" t="s">
        <v>3433</v>
      </c>
      <c r="C28" s="17" t="n">
        <f aca="false">COUNTIF(Documents!$V$2:$V$408,"*小洋*")</f>
        <v>1</v>
      </c>
    </row>
    <row r="29" customFormat="false" ht="15" hidden="false" customHeight="false" outlineLevel="0" collapsed="false">
      <c r="A29" s="17" t="s">
        <v>1750</v>
      </c>
      <c r="B29" s="14" t="s">
        <v>3434</v>
      </c>
      <c r="C29" s="17" t="n">
        <f aca="false">COUNTIF(Documents!$V$2:$V$408,"*錢文*")</f>
        <v>6</v>
      </c>
    </row>
    <row r="30" customFormat="false" ht="15" hidden="false" customHeight="false" outlineLevel="0" collapsed="false">
      <c r="A30" s="17" t="s">
        <v>327</v>
      </c>
      <c r="B30" s="14" t="s">
        <v>3435</v>
      </c>
      <c r="C30" s="17" t="n">
        <f aca="false">COUNTIF(Documents!$V$2:$V$408,"*國幣*")</f>
        <v>15</v>
      </c>
    </row>
    <row r="31" customFormat="false" ht="15" hidden="false" customHeight="false" outlineLevel="0" collapsed="false">
      <c r="A31" s="17" t="s">
        <v>1508</v>
      </c>
      <c r="B31" s="14" t="s">
        <v>3436</v>
      </c>
      <c r="C31" s="17" t="n">
        <f aca="false">COUNTIF(Documents!$V$2:$V$408,"*法幣*")</f>
        <v>4</v>
      </c>
    </row>
    <row r="32" customFormat="false" ht="15" hidden="false" customHeight="false" outlineLevel="0" collapsed="false">
      <c r="A32" s="17" t="s">
        <v>396</v>
      </c>
      <c r="B32" s="14" t="s">
        <v>3437</v>
      </c>
      <c r="C32" s="17" t="n">
        <f aca="false">COUNTIF(Documents!$V$2:$V$408,"*銀元*")</f>
        <v>5</v>
      </c>
    </row>
    <row r="33" customFormat="false" ht="15" hidden="false" customHeight="false" outlineLevel="0" collapsed="false">
      <c r="A33" s="17" t="s">
        <v>2299</v>
      </c>
      <c r="B33" s="14" t="s">
        <v>3438</v>
      </c>
      <c r="C33" s="17" t="n">
        <f aca="false">COUNTIF(Documents!$V$2:$V$408,"*人民幣*")</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0"/>
    <col collapsed="false" customWidth="true" hidden="false" outlineLevel="0" max="4" min="4" style="0" width="24"/>
    <col collapsed="false" customWidth="true" hidden="false" outlineLevel="0" max="5" min="5" style="0" width="16"/>
    <col collapsed="false" customWidth="true" hidden="false" outlineLevel="0" max="6" min="6" style="0" width="24"/>
    <col collapsed="false" customWidth="true" hidden="false" outlineLevel="0" max="7" min="7" style="0" width="14"/>
    <col collapsed="false" customWidth="true" hidden="false" outlineLevel="0" max="8" min="8" style="0" width="12"/>
    <col collapsed="false" customWidth="true" hidden="false" outlineLevel="0" max="9" min="9" style="0" width="46"/>
  </cols>
  <sheetData>
    <row r="1" customFormat="false" ht="17.35" hidden="false" customHeight="false" outlineLevel="0" collapsed="false">
      <c r="A1" s="11" t="s">
        <v>3439</v>
      </c>
    </row>
    <row r="3" customFormat="false" ht="15" hidden="false" customHeight="false" outlineLevel="0" collapsed="false">
      <c r="A3" s="6" t="s">
        <v>3440</v>
      </c>
      <c r="B3" s="6" t="s">
        <v>19</v>
      </c>
      <c r="C3" s="6" t="s">
        <v>3441</v>
      </c>
      <c r="D3" s="6" t="s">
        <v>3442</v>
      </c>
      <c r="E3" s="6" t="s">
        <v>3443</v>
      </c>
      <c r="F3" s="6" t="s">
        <v>3444</v>
      </c>
      <c r="G3" s="6" t="s">
        <v>3445</v>
      </c>
      <c r="H3" s="6" t="s">
        <v>3446</v>
      </c>
      <c r="I3" s="6" t="s">
        <v>3447</v>
      </c>
    </row>
    <row r="4" customFormat="false" ht="23.85" hidden="false" customHeight="false" outlineLevel="0" collapsed="false">
      <c r="A4" s="4" t="s">
        <v>3448</v>
      </c>
      <c r="B4" s="4" t="s">
        <v>756</v>
      </c>
      <c r="C4" s="4" t="s">
        <v>541</v>
      </c>
      <c r="D4" s="13" t="s">
        <v>3449</v>
      </c>
      <c r="E4" s="13" t="s">
        <v>758</v>
      </c>
      <c r="F4" s="13" t="s">
        <v>3450</v>
      </c>
      <c r="G4" s="13" t="s">
        <v>3451</v>
      </c>
      <c r="H4" s="13" t="s">
        <v>3452</v>
      </c>
      <c r="I4" s="4" t="s">
        <v>3453</v>
      </c>
    </row>
    <row r="5" customFormat="false" ht="29.85" hidden="false" customHeight="false" outlineLevel="0" collapsed="false">
      <c r="A5" s="4" t="s">
        <v>3448</v>
      </c>
      <c r="B5" s="4" t="s">
        <v>799</v>
      </c>
      <c r="C5" s="4" t="s">
        <v>1420</v>
      </c>
      <c r="D5" s="13" t="s">
        <v>3454</v>
      </c>
      <c r="E5" s="13" t="s">
        <v>3455</v>
      </c>
      <c r="F5" s="13" t="s">
        <v>804</v>
      </c>
      <c r="G5" s="13" t="s">
        <v>3456</v>
      </c>
      <c r="H5" s="13" t="s">
        <v>3452</v>
      </c>
      <c r="I5" s="4" t="s">
        <v>3457</v>
      </c>
    </row>
    <row r="6" customFormat="false" ht="23.85" hidden="false" customHeight="false" outlineLevel="0" collapsed="false">
      <c r="A6" s="4" t="s">
        <v>3458</v>
      </c>
      <c r="B6" s="4" t="s">
        <v>189</v>
      </c>
      <c r="C6" s="4" t="s">
        <v>1679</v>
      </c>
      <c r="D6" s="13" t="s">
        <v>3459</v>
      </c>
      <c r="E6" s="13" t="s">
        <v>3460</v>
      </c>
      <c r="F6" s="13" t="s">
        <v>3461</v>
      </c>
      <c r="G6" s="13" t="s">
        <v>3462</v>
      </c>
      <c r="H6" s="13" t="s">
        <v>3463</v>
      </c>
      <c r="I6" s="4" t="s">
        <v>3464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6"/>
    <col collapsed="false" customWidth="true" hidden="false" outlineLevel="0" max="4" min="4" style="0" width="44"/>
  </cols>
  <sheetData>
    <row r="1" customFormat="false" ht="17.35" hidden="false" customHeight="false" outlineLevel="0" collapsed="false">
      <c r="A1" s="11" t="s">
        <v>3465</v>
      </c>
    </row>
    <row r="3" customFormat="false" ht="15" hidden="false" customHeight="false" outlineLevel="0" collapsed="false">
      <c r="A3" s="6" t="s">
        <v>3466</v>
      </c>
      <c r="B3" s="6" t="s">
        <v>3467</v>
      </c>
      <c r="C3" s="6" t="s">
        <v>3468</v>
      </c>
      <c r="D3" s="6" t="s">
        <v>3469</v>
      </c>
    </row>
    <row r="4" customFormat="false" ht="15" hidden="false" customHeight="false" outlineLevel="0" collapsed="false">
      <c r="A4" s="4" t="s">
        <v>3470</v>
      </c>
      <c r="B4" s="13" t="s">
        <v>3471</v>
      </c>
      <c r="C4" s="13" t="s">
        <v>3472</v>
      </c>
      <c r="D4" s="4" t="s">
        <v>3473</v>
      </c>
    </row>
    <row r="5" customFormat="false" ht="15" hidden="false" customHeight="false" outlineLevel="0" collapsed="false">
      <c r="A5" s="4" t="s">
        <v>3470</v>
      </c>
      <c r="B5" s="13" t="s">
        <v>3474</v>
      </c>
      <c r="C5" s="13" t="s">
        <v>3475</v>
      </c>
      <c r="D5" s="4" t="s">
        <v>3476</v>
      </c>
    </row>
    <row r="6" customFormat="false" ht="15" hidden="false" customHeight="false" outlineLevel="0" collapsed="false">
      <c r="A6" s="4" t="s">
        <v>3470</v>
      </c>
      <c r="B6" s="13" t="s">
        <v>3477</v>
      </c>
      <c r="C6" s="13" t="s">
        <v>3478</v>
      </c>
      <c r="D6" s="4" t="s">
        <v>3479</v>
      </c>
    </row>
    <row r="7" customFormat="false" ht="15" hidden="false" customHeight="false" outlineLevel="0" collapsed="false">
      <c r="A7" s="4" t="s">
        <v>3470</v>
      </c>
      <c r="B7" s="13" t="s">
        <v>3480</v>
      </c>
      <c r="C7" s="13" t="s">
        <v>3481</v>
      </c>
      <c r="D7" s="4" t="s">
        <v>3482</v>
      </c>
    </row>
    <row r="8" customFormat="false" ht="15" hidden="false" customHeight="false" outlineLevel="0" collapsed="false">
      <c r="A8" s="4" t="s">
        <v>3470</v>
      </c>
      <c r="B8" s="13" t="s">
        <v>3483</v>
      </c>
      <c r="C8" s="13" t="s">
        <v>3484</v>
      </c>
      <c r="D8" s="4" t="s">
        <v>3485</v>
      </c>
    </row>
    <row r="9" customFormat="false" ht="15" hidden="false" customHeight="false" outlineLevel="0" collapsed="false">
      <c r="A9" s="4" t="s">
        <v>3470</v>
      </c>
      <c r="B9" s="13" t="s">
        <v>3486</v>
      </c>
      <c r="C9" s="13" t="s">
        <v>3487</v>
      </c>
      <c r="D9" s="4" t="s">
        <v>3488</v>
      </c>
    </row>
    <row r="10" customFormat="false" ht="15" hidden="false" customHeight="false" outlineLevel="0" collapsed="false">
      <c r="A10" s="4" t="s">
        <v>3489</v>
      </c>
      <c r="B10" s="13" t="s">
        <v>1912</v>
      </c>
      <c r="C10" s="13" t="s">
        <v>3490</v>
      </c>
      <c r="D10" s="4" t="s">
        <v>3491</v>
      </c>
    </row>
    <row r="11" customFormat="false" ht="15" hidden="false" customHeight="false" outlineLevel="0" collapsed="false">
      <c r="A11" s="4" t="s">
        <v>3492</v>
      </c>
      <c r="B11" s="13" t="s">
        <v>3493</v>
      </c>
      <c r="C11" s="4" t="s">
        <v>3494</v>
      </c>
      <c r="D11" s="4" t="s">
        <v>3495</v>
      </c>
    </row>
    <row r="12" customFormat="false" ht="15" hidden="false" customHeight="false" outlineLevel="0" collapsed="false">
      <c r="A12" s="4" t="s">
        <v>3496</v>
      </c>
      <c r="B12" s="4" t="s">
        <v>3497</v>
      </c>
      <c r="C12" s="4" t="s">
        <v>3494</v>
      </c>
      <c r="D12" s="4" t="s">
        <v>3498</v>
      </c>
    </row>
    <row r="13" customFormat="false" ht="15" hidden="false" customHeight="false" outlineLevel="0" collapsed="false">
      <c r="A13" s="4" t="s">
        <v>3499</v>
      </c>
      <c r="B13" s="4" t="s">
        <v>3500</v>
      </c>
      <c r="C13" s="4" t="s">
        <v>3494</v>
      </c>
      <c r="D13" s="4" t="s">
        <v>3501</v>
      </c>
    </row>
    <row r="15" customFormat="false" ht="15" hidden="false" customHeight="false" outlineLevel="0" collapsed="false">
      <c r="A15" s="16" t="s">
        <v>3502</v>
      </c>
      <c r="B15" s="16" t="n">
        <f aca="false">COUNTIF(Documents!$BE$2:$BE$408,"&gt;0")</f>
        <v>43</v>
      </c>
    </row>
    <row r="16" customFormat="false" ht="15" hidden="false" customHeight="false" outlineLevel="0" collapsed="false">
      <c r="A16" s="16" t="s">
        <v>3503</v>
      </c>
      <c r="B16" s="16" t="n">
        <f aca="false">COUNTIF(Documents!$BF$2:$BF$408,"&gt;0")</f>
        <v>12</v>
      </c>
    </row>
    <row r="17" customFormat="false" ht="15" hidden="false" customHeight="false" outlineLevel="0" collapsed="false">
      <c r="A17" s="16" t="s">
        <v>3504</v>
      </c>
      <c r="B17" s="16" t="n">
        <f aca="false">SUM(Documents!$BE$2:$BE$408)</f>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2026-10-07T15:26:50Z</dcterms:created>
  <dc:creator>openpyxl</dc:creator>
  <dc:description/>
  <dc:language>en-US</dc:language>
  <cp:lastModifiedBy/>
  <dcterms:modified xsi:type="dcterms:W3CDTF">2026-10-07T15:26:50Z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